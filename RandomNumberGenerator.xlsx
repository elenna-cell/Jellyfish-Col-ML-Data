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yWorks\Ag\"/>
    </mc:Choice>
  </mc:AlternateContent>
  <xr:revisionPtr revIDLastSave="0" documentId="13_ncr:1_{F63FB0A1-FC43-49CF-ACB1-3424B175EC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NG HERE" sheetId="3" r:id="rId2"/>
    <sheet name="Sheet2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3" l="1" a="1"/>
  <c r="X2" i="3" s="1"/>
  <c r="AC13" i="2" l="1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B15" i="2"/>
  <c r="AB17" i="2"/>
  <c r="AB19" i="2"/>
  <c r="AB21" i="2"/>
  <c r="AB13" i="2"/>
  <c r="AA17" i="2"/>
  <c r="AA15" i="2"/>
  <c r="AA19" i="2"/>
  <c r="AA21" i="2"/>
  <c r="AA13" i="2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Q2" i="1"/>
  <c r="R2" i="1"/>
  <c r="S2" i="1"/>
  <c r="T2" i="1"/>
  <c r="U2" i="1"/>
  <c r="V2" i="1"/>
  <c r="W2" i="1"/>
  <c r="X2" i="1"/>
  <c r="Y2" i="1"/>
  <c r="Z2" i="1"/>
  <c r="AA2" i="1"/>
  <c r="Q3" i="1"/>
  <c r="R3" i="1"/>
  <c r="S3" i="1"/>
  <c r="T3" i="1"/>
  <c r="U3" i="1"/>
  <c r="V3" i="1"/>
  <c r="W3" i="1"/>
  <c r="X3" i="1"/>
  <c r="Y3" i="1"/>
  <c r="Z3" i="1"/>
  <c r="AA3" i="1"/>
  <c r="Q4" i="1"/>
  <c r="R4" i="1"/>
  <c r="S4" i="1"/>
  <c r="T4" i="1"/>
  <c r="U4" i="1"/>
  <c r="V4" i="1"/>
  <c r="W4" i="1"/>
  <c r="X4" i="1"/>
  <c r="Y4" i="1"/>
  <c r="Z4" i="1"/>
  <c r="AA4" i="1"/>
  <c r="Q5" i="1"/>
  <c r="R5" i="1"/>
  <c r="S5" i="1"/>
  <c r="T5" i="1"/>
  <c r="U5" i="1"/>
  <c r="V5" i="1"/>
  <c r="W5" i="1"/>
  <c r="X5" i="1"/>
  <c r="Y5" i="1"/>
  <c r="Z5" i="1"/>
  <c r="AA5" i="1"/>
  <c r="Q6" i="1"/>
  <c r="R6" i="1"/>
  <c r="S6" i="1"/>
  <c r="T6" i="1"/>
  <c r="U6" i="1"/>
  <c r="V6" i="1"/>
  <c r="W6" i="1"/>
  <c r="X6" i="1"/>
  <c r="Y6" i="1"/>
  <c r="Z6" i="1"/>
  <c r="AA6" i="1"/>
  <c r="E2" i="1"/>
  <c r="F2" i="1"/>
  <c r="G2" i="1"/>
  <c r="H2" i="1"/>
  <c r="I2" i="1"/>
  <c r="J2" i="1"/>
  <c r="K2" i="1"/>
  <c r="L2" i="1"/>
  <c r="M2" i="1"/>
  <c r="N2" i="1"/>
  <c r="O2" i="1"/>
  <c r="P2" i="1"/>
  <c r="E3" i="1"/>
  <c r="F3" i="1"/>
  <c r="G3" i="1"/>
  <c r="H3" i="1"/>
  <c r="I3" i="1"/>
  <c r="J3" i="1"/>
  <c r="K3" i="1"/>
  <c r="L3" i="1"/>
  <c r="M3" i="1"/>
  <c r="N3" i="1"/>
  <c r="O3" i="1"/>
  <c r="P3" i="1"/>
  <c r="E4" i="1"/>
  <c r="F4" i="1"/>
  <c r="G4" i="1"/>
  <c r="H4" i="1"/>
  <c r="I4" i="1"/>
  <c r="J4" i="1"/>
  <c r="K4" i="1"/>
  <c r="L4" i="1"/>
  <c r="M4" i="1"/>
  <c r="N4" i="1"/>
  <c r="O4" i="1"/>
  <c r="P4" i="1"/>
  <c r="E5" i="1"/>
  <c r="F5" i="1"/>
  <c r="G5" i="1"/>
  <c r="H5" i="1"/>
  <c r="I5" i="1"/>
  <c r="J5" i="1"/>
  <c r="K5" i="1"/>
  <c r="L5" i="1"/>
  <c r="M5" i="1"/>
  <c r="N5" i="1"/>
  <c r="O5" i="1"/>
  <c r="P5" i="1"/>
  <c r="E6" i="1"/>
  <c r="F6" i="1"/>
  <c r="G6" i="1"/>
  <c r="H6" i="1"/>
  <c r="I6" i="1"/>
  <c r="J6" i="1"/>
  <c r="K6" i="1"/>
  <c r="L6" i="1"/>
  <c r="M6" i="1"/>
  <c r="N6" i="1"/>
  <c r="O6" i="1"/>
  <c r="P6" i="1"/>
  <c r="D3" i="1"/>
  <c r="D4" i="1"/>
  <c r="D5" i="1"/>
  <c r="D6" i="1"/>
  <c r="D2" i="1"/>
  <c r="D151" i="3" a="1"/>
  <c r="J151" i="3" a="1"/>
  <c r="O149" i="3" a="1"/>
  <c r="M144" i="3" a="1"/>
  <c r="R146" i="3" a="1"/>
  <c r="N143" i="3" a="1"/>
  <c r="P147" i="3" a="1"/>
  <c r="O150" i="3" a="1"/>
  <c r="E151" i="3" a="1"/>
  <c r="A131" i="3" a="1"/>
  <c r="B146" i="3" a="1"/>
  <c r="W138" i="3" a="1"/>
  <c r="M146" i="3" a="1"/>
  <c r="A126" i="3" a="1"/>
  <c r="E149" i="3" a="1"/>
  <c r="S127" i="3" a="1"/>
  <c r="G143" i="3" a="1"/>
  <c r="E136" i="3" a="1"/>
  <c r="E134" i="3" a="1"/>
  <c r="P141" i="3" a="1"/>
  <c r="H129" i="3" a="1"/>
  <c r="B134" i="3" a="1"/>
  <c r="H123" i="3" a="1"/>
  <c r="N142" i="3" a="1"/>
  <c r="J130" i="3" a="1"/>
  <c r="R115" i="3" a="1"/>
  <c r="D128" i="3" a="1"/>
  <c r="I142" i="3" a="1"/>
  <c r="B126" i="3" a="1"/>
  <c r="J140" i="3" a="1"/>
  <c r="N123" i="3" a="1"/>
  <c r="D135" i="3" a="1"/>
  <c r="D142" i="3" a="1"/>
  <c r="W126" i="3" a="1"/>
  <c r="S118" i="3" a="1"/>
  <c r="K139" i="3" a="1"/>
  <c r="K127" i="3" a="1"/>
  <c r="H139" i="3" a="1"/>
  <c r="U124" i="3" a="1"/>
  <c r="V115" i="3" a="1"/>
  <c r="L132" i="3" a="1"/>
  <c r="V145" i="3" a="1"/>
  <c r="G118" i="3" a="1"/>
  <c r="E106" i="3" a="1"/>
  <c r="T115" i="3" a="1"/>
  <c r="A104" i="3" a="1"/>
  <c r="T122" i="3" a="1"/>
  <c r="T111" i="3" a="1"/>
  <c r="D101" i="3" a="1"/>
  <c r="I121" i="3" a="1"/>
  <c r="B106" i="3" a="1"/>
  <c r="T129" i="3" a="1"/>
  <c r="P129" i="3" a="1"/>
  <c r="X118" i="3" a="1"/>
  <c r="K118" i="3" a="1"/>
  <c r="K120" i="3" a="1"/>
  <c r="V105" i="3" a="1"/>
  <c r="V91" i="3" a="1"/>
  <c r="R108" i="3" a="1"/>
  <c r="G127" i="3" a="1"/>
  <c r="G106" i="3" a="1"/>
  <c r="M92" i="3" a="1"/>
  <c r="P109" i="3" a="1"/>
  <c r="D114" i="3" a="1"/>
  <c r="M98" i="3" a="1"/>
  <c r="B132" i="3" a="1"/>
  <c r="P105" i="3" a="1"/>
  <c r="T125" i="3" a="1"/>
  <c r="W108" i="3" a="1"/>
  <c r="I97" i="3" a="1"/>
  <c r="X106" i="3" a="1"/>
  <c r="O119" i="3" a="1"/>
  <c r="R103" i="3" a="1"/>
  <c r="L101" i="3" a="1"/>
  <c r="T102" i="3" a="1"/>
  <c r="F90" i="3" a="1"/>
  <c r="I93" i="3" a="1"/>
  <c r="H82" i="3" a="1"/>
  <c r="I114" i="3" a="1"/>
  <c r="L92" i="3" a="1"/>
  <c r="L103" i="3" a="1"/>
  <c r="V151" i="3" a="1"/>
  <c r="T150" i="3" a="1"/>
  <c r="B151" i="3" a="1"/>
  <c r="X148" i="3" a="1"/>
  <c r="B144" i="3" a="1"/>
  <c r="I145" i="3" a="1"/>
  <c r="D143" i="3" a="1"/>
  <c r="E147" i="3" a="1"/>
  <c r="X149" i="3" a="1"/>
  <c r="I149" i="3" a="1"/>
  <c r="Q129" i="3" a="1"/>
  <c r="O145" i="3" a="1"/>
  <c r="M138" i="3" a="1"/>
  <c r="A146" i="3" a="1"/>
  <c r="Q124" i="3" a="1"/>
  <c r="K147" i="3" a="1"/>
  <c r="K126" i="3" a="1"/>
  <c r="U142" i="3" a="1"/>
  <c r="R135" i="3" a="1"/>
  <c r="M133" i="3" a="1"/>
  <c r="T140" i="3" a="1"/>
  <c r="T128" i="3" a="1"/>
  <c r="K133" i="3" a="1"/>
  <c r="W122" i="3" a="1"/>
  <c r="N141" i="3" a="1"/>
  <c r="U129" i="3" a="1"/>
  <c r="A115" i="3" a="1"/>
  <c r="O127" i="3" a="1"/>
  <c r="K141" i="3" a="1"/>
  <c r="M125" i="3" a="1"/>
  <c r="S138" i="3" a="1"/>
  <c r="E123" i="3" a="1"/>
  <c r="I134" i="3" a="1"/>
  <c r="L139" i="3" a="1"/>
  <c r="J126" i="3" a="1"/>
  <c r="B118" i="3" a="1"/>
  <c r="O138" i="3" a="1"/>
  <c r="V126" i="3" a="1"/>
  <c r="N138" i="3" a="1"/>
  <c r="I124" i="3" a="1"/>
  <c r="E115" i="3" a="1"/>
  <c r="U131" i="3" a="1"/>
  <c r="P136" i="3" a="1"/>
  <c r="H116" i="3" a="1"/>
  <c r="L105" i="3" a="1"/>
  <c r="I115" i="3" a="1"/>
  <c r="H103" i="3" a="1"/>
  <c r="L121" i="3" a="1"/>
  <c r="C111" i="3" a="1"/>
  <c r="T100" i="3" a="1"/>
  <c r="S120" i="3" a="1"/>
  <c r="I105" i="3" a="1"/>
  <c r="A128" i="3" a="1"/>
  <c r="U127" i="3" a="1"/>
  <c r="L118" i="3" a="1"/>
  <c r="J117" i="3" a="1"/>
  <c r="J119" i="3" a="1"/>
  <c r="L104" i="3" a="1"/>
  <c r="J137" i="3" a="1"/>
  <c r="M122" i="3" a="1"/>
  <c r="C124" i="3" a="1"/>
  <c r="U104" i="3" a="1"/>
  <c r="T91" i="3" a="1"/>
  <c r="Q106" i="3" a="1"/>
  <c r="V112" i="3" a="1"/>
  <c r="T97" i="3" a="1"/>
  <c r="R123" i="3" a="1"/>
  <c r="F104" i="3" a="1"/>
  <c r="I123" i="3" a="1"/>
  <c r="X107" i="3" a="1"/>
  <c r="P96" i="3" a="1"/>
  <c r="N105" i="3" a="1"/>
  <c r="Q118" i="3" a="1"/>
  <c r="E102" i="3" a="1"/>
  <c r="F100" i="3" a="1"/>
  <c r="J101" i="3" a="1"/>
  <c r="T124" i="3" a="1"/>
  <c r="W92" i="3" a="1"/>
  <c r="O81" i="3" a="1"/>
  <c r="H110" i="3" a="1"/>
  <c r="Q91" i="3" a="1"/>
  <c r="Q102" i="3" a="1"/>
  <c r="V86" i="3" a="1"/>
  <c r="D78" i="3" a="1"/>
  <c r="S97" i="3" a="1"/>
  <c r="U116" i="3" a="1"/>
  <c r="B94" i="3" a="1"/>
  <c r="F101" i="3" a="1"/>
  <c r="V99" i="3" a="1"/>
  <c r="D98" i="3" a="1"/>
  <c r="D87" i="3" a="1"/>
  <c r="V104" i="3" a="1"/>
  <c r="E88" i="3" a="1"/>
  <c r="V103" i="3" a="1"/>
  <c r="P106" i="3" a="1"/>
  <c r="D88" i="3" a="1"/>
  <c r="X78" i="3" a="1"/>
  <c r="E87" i="3" a="1"/>
  <c r="P74" i="3" a="1"/>
  <c r="R87" i="3" a="1"/>
  <c r="I70" i="3" a="1"/>
  <c r="K90" i="3" a="1"/>
  <c r="O78" i="3" a="1"/>
  <c r="I76" i="3" a="1"/>
  <c r="Q65" i="3" a="1"/>
  <c r="K83" i="3" a="1"/>
  <c r="R71" i="3" a="1"/>
  <c r="K93" i="3" a="1"/>
  <c r="U83" i="3" a="1"/>
  <c r="O70" i="3" a="1"/>
  <c r="G76" i="3" a="1"/>
  <c r="O65" i="3" a="1"/>
  <c r="W54" i="3" a="1"/>
  <c r="F81" i="3" a="1"/>
  <c r="B90" i="3" a="1"/>
  <c r="H72" i="3" a="1"/>
  <c r="U86" i="3" a="1"/>
  <c r="R73" i="3" a="1"/>
  <c r="B63" i="3" a="1"/>
  <c r="J52" i="3" a="1"/>
  <c r="Q79" i="3" a="1"/>
  <c r="P67" i="3" a="1"/>
  <c r="X56" i="3" a="1"/>
  <c r="O91" i="3" a="1"/>
  <c r="S78" i="3" a="1"/>
  <c r="N151" i="3" a="1"/>
  <c r="L150" i="3" a="1"/>
  <c r="R150" i="3" a="1"/>
  <c r="K148" i="3" a="1"/>
  <c r="O143" i="3" a="1"/>
  <c r="A144" i="3" a="1"/>
  <c r="P142" i="3" a="1"/>
  <c r="P146" i="3" a="1"/>
  <c r="K149" i="3" a="1"/>
  <c r="O147" i="3" a="1"/>
  <c r="I128" i="3" a="1"/>
  <c r="E145" i="3" a="1"/>
  <c r="B138" i="3" a="1"/>
  <c r="Q144" i="3" a="1"/>
  <c r="G124" i="3" a="1"/>
  <c r="K146" i="3" a="1"/>
  <c r="C125" i="3" a="1"/>
  <c r="J142" i="3" a="1"/>
  <c r="G135" i="3" a="1"/>
  <c r="W132" i="3" a="1"/>
  <c r="V139" i="3" a="1"/>
  <c r="F128" i="3" a="1"/>
  <c r="U132" i="3" a="1"/>
  <c r="N122" i="3" a="1"/>
  <c r="P140" i="3" a="1"/>
  <c r="G129" i="3" a="1"/>
  <c r="H114" i="3" a="1"/>
  <c r="D127" i="3" a="1"/>
  <c r="C138" i="3" a="1"/>
  <c r="X124" i="3" a="1"/>
  <c r="G137" i="3" a="1"/>
  <c r="S122" i="3" a="1"/>
  <c r="T133" i="3" a="1"/>
  <c r="Q138" i="3" a="1"/>
  <c r="V125" i="3" a="1"/>
  <c r="I117" i="3" a="1"/>
  <c r="U137" i="3" a="1"/>
  <c r="I126" i="3" a="1"/>
  <c r="A137" i="3" a="1"/>
  <c r="V123" i="3" a="1"/>
  <c r="L114" i="3" a="1"/>
  <c r="F131" i="3" a="1"/>
  <c r="F133" i="3" a="1"/>
  <c r="J115" i="3" a="1"/>
  <c r="S104" i="3" a="1"/>
  <c r="W114" i="3" a="1"/>
  <c r="O102" i="3" a="1"/>
  <c r="I141" i="3" a="1"/>
  <c r="R110" i="3" a="1"/>
  <c r="L100" i="3" a="1"/>
  <c r="C118" i="3" a="1"/>
  <c r="P104" i="3" a="1"/>
  <c r="G126" i="3" a="1"/>
  <c r="T138" i="3" a="1"/>
  <c r="W117" i="3" a="1"/>
  <c r="X115" i="3" a="1"/>
  <c r="R137" i="3" a="1"/>
  <c r="B102" i="3" a="1"/>
  <c r="C128" i="3" a="1"/>
  <c r="G120" i="3" a="1"/>
  <c r="L122" i="3" a="1"/>
  <c r="I104" i="3" a="1"/>
  <c r="C91" i="3" a="1"/>
  <c r="R105" i="3" a="1"/>
  <c r="H112" i="3" a="1"/>
  <c r="C97" i="3" a="1"/>
  <c r="W119" i="3" a="1"/>
  <c r="X125" i="3" a="1"/>
  <c r="T120" i="3" a="1"/>
  <c r="N106" i="3" a="1"/>
  <c r="W95" i="3" a="1"/>
  <c r="B105" i="3" a="1"/>
  <c r="T117" i="3" a="1"/>
  <c r="O99" i="3" a="1"/>
  <c r="X98" i="3" a="1"/>
  <c r="K98" i="3" a="1"/>
  <c r="P117" i="3" a="1"/>
  <c r="C92" i="3" a="1"/>
  <c r="V80" i="3" a="1"/>
  <c r="F105" i="3" a="1"/>
  <c r="H91" i="3" a="1"/>
  <c r="A102" i="3" a="1"/>
  <c r="E86" i="3" a="1"/>
  <c r="T77" i="3" a="1"/>
  <c r="G97" i="3" a="1"/>
  <c r="O111" i="3" a="1"/>
  <c r="P93" i="3" a="1"/>
  <c r="N100" i="3" a="1"/>
  <c r="F99" i="3" a="1"/>
  <c r="P97" i="3" a="1"/>
  <c r="K86" i="3" a="1"/>
  <c r="D103" i="3" a="1"/>
  <c r="L87" i="3" a="1"/>
  <c r="Q101" i="3" a="1"/>
  <c r="T103" i="3" a="1"/>
  <c r="K87" i="3" a="1"/>
  <c r="P78" i="3" a="1"/>
  <c r="P86" i="3" a="1"/>
  <c r="W73" i="3" a="1"/>
  <c r="A83" i="3" a="1"/>
  <c r="F151" i="3" a="1"/>
  <c r="D150" i="3" a="1"/>
  <c r="J150" i="3" a="1"/>
  <c r="U147" i="3" a="1"/>
  <c r="E143" i="3" a="1"/>
  <c r="Q142" i="3" a="1"/>
  <c r="F142" i="3" a="1"/>
  <c r="S145" i="3" a="1"/>
  <c r="U148" i="3" a="1"/>
  <c r="C147" i="3" a="1"/>
  <c r="Q151" i="3" a="1"/>
  <c r="R144" i="3" a="1"/>
  <c r="O137" i="3" a="1"/>
  <c r="I143" i="3" a="1"/>
  <c r="I150" i="3" a="1"/>
  <c r="C145" i="3" a="1"/>
  <c r="F124" i="3" a="1"/>
  <c r="W141" i="3" a="1"/>
  <c r="U134" i="3" a="1"/>
  <c r="H132" i="3" a="1"/>
  <c r="N137" i="3" a="1"/>
  <c r="Q127" i="3" a="1"/>
  <c r="F132" i="3" a="1"/>
  <c r="E122" i="3" a="1"/>
  <c r="T139" i="3" a="1"/>
  <c r="R128" i="3" a="1"/>
  <c r="G150" i="3" a="1"/>
  <c r="O126" i="3" a="1"/>
  <c r="I137" i="3" a="1"/>
  <c r="M124" i="3" a="1"/>
  <c r="L134" i="3" a="1"/>
  <c r="J122" i="3" a="1"/>
  <c r="E133" i="3" a="1"/>
  <c r="Q135" i="3" a="1"/>
  <c r="J125" i="3" a="1"/>
  <c r="V150" i="3" a="1"/>
  <c r="T149" i="3" a="1"/>
  <c r="B150" i="3" a="1"/>
  <c r="G147" i="3" a="1"/>
  <c r="R142" i="3" a="1"/>
  <c r="G151" i="3" a="1"/>
  <c r="T141" i="3" a="1"/>
  <c r="K144" i="3" a="1"/>
  <c r="E146" i="3" a="1"/>
  <c r="O146" i="3" a="1"/>
  <c r="P151" i="3" a="1"/>
  <c r="G144" i="3" a="1"/>
  <c r="E137" i="3" a="1"/>
  <c r="A142" i="3" a="1"/>
  <c r="O148" i="3" a="1"/>
  <c r="S143" i="3" a="1"/>
  <c r="M151" i="3" a="1"/>
  <c r="M141" i="3" a="1"/>
  <c r="J134" i="3" a="1"/>
  <c r="R131" i="3" a="1"/>
  <c r="V136" i="3" a="1"/>
  <c r="Q126" i="3" a="1"/>
  <c r="B131" i="3" a="1"/>
  <c r="T121" i="3" a="1"/>
  <c r="X138" i="3" a="1"/>
  <c r="D125" i="3" a="1"/>
  <c r="Q143" i="3" a="1"/>
  <c r="D126" i="3" a="1"/>
  <c r="W135" i="3" a="1"/>
  <c r="O123" i="3" a="1"/>
  <c r="A132" i="3" a="1"/>
  <c r="H149" i="3" a="1"/>
  <c r="N132" i="3" a="1"/>
  <c r="B135" i="3" a="1"/>
  <c r="V124" i="3" a="1"/>
  <c r="W115" i="3" a="1"/>
  <c r="L136" i="3" a="1"/>
  <c r="L123" i="3" a="1"/>
  <c r="G134" i="3" a="1"/>
  <c r="B123" i="3" a="1"/>
  <c r="M148" i="3" a="1"/>
  <c r="B130" i="3" a="1"/>
  <c r="U128" i="3" a="1"/>
  <c r="Q113" i="3" a="1"/>
  <c r="Q103" i="3" a="1"/>
  <c r="U111" i="3" a="1"/>
  <c r="E101" i="3" a="1"/>
  <c r="O132" i="3" a="1"/>
  <c r="H109" i="3" a="1"/>
  <c r="T99" i="3" a="1"/>
  <c r="G115" i="3" a="1"/>
  <c r="F103" i="3" a="1"/>
  <c r="U121" i="3" a="1"/>
  <c r="L131" i="3" a="1"/>
  <c r="N115" i="3" a="1"/>
  <c r="P114" i="3" a="1"/>
  <c r="P122" i="3" a="1"/>
  <c r="G100" i="3" a="1"/>
  <c r="O122" i="3" a="1"/>
  <c r="S115" i="3" a="1"/>
  <c r="F120" i="3" a="1"/>
  <c r="W102" i="3" a="1"/>
  <c r="Q89" i="3" a="1"/>
  <c r="H104" i="3" a="1"/>
  <c r="P110" i="3" a="1"/>
  <c r="Q95" i="3" a="1"/>
  <c r="R114" i="3" a="1"/>
  <c r="V118" i="3" a="1"/>
  <c r="S125" i="3" a="1"/>
  <c r="D105" i="3" a="1"/>
  <c r="R125" i="3" a="1"/>
  <c r="P103" i="3" a="1"/>
  <c r="N114" i="3" a="1"/>
  <c r="L98" i="3" a="1"/>
  <c r="O94" i="3" a="1"/>
  <c r="V96" i="3" a="1"/>
  <c r="A112" i="3" a="1"/>
  <c r="T89" i="3" a="1"/>
  <c r="U79" i="3" a="1"/>
  <c r="S102" i="3" a="1"/>
  <c r="N90" i="3" a="1"/>
  <c r="S96" i="3" a="1"/>
  <c r="S84" i="3" a="1"/>
  <c r="D77" i="3" a="1"/>
  <c r="F96" i="3" a="1"/>
  <c r="A107" i="3" a="1"/>
  <c r="T92" i="3" a="1"/>
  <c r="R98" i="3" a="1"/>
  <c r="P95" i="3" a="1"/>
  <c r="C96" i="3" a="1"/>
  <c r="A85" i="3" a="1"/>
  <c r="B101" i="3" a="1"/>
  <c r="B86" i="3" a="1"/>
  <c r="I100" i="3" a="1"/>
  <c r="I102" i="3" a="1"/>
  <c r="A86" i="3" a="1"/>
  <c r="X77" i="3" a="1"/>
  <c r="O85" i="3" a="1"/>
  <c r="M72" i="3" a="1"/>
  <c r="X81" i="3" a="1"/>
  <c r="F68" i="3" a="1"/>
  <c r="G88" i="3" a="1"/>
  <c r="P99" i="3" a="1"/>
  <c r="F74" i="3" a="1"/>
  <c r="N63" i="3" a="1"/>
  <c r="I80" i="3" a="1"/>
  <c r="W69" i="3" a="1"/>
  <c r="N87" i="3" a="1"/>
  <c r="J79" i="3" a="1"/>
  <c r="N98" i="3" a="1"/>
  <c r="D74" i="3" a="1"/>
  <c r="L63" i="3" a="1"/>
  <c r="T52" i="3" a="1"/>
  <c r="V78" i="3" a="1"/>
  <c r="U85" i="3" a="1"/>
  <c r="E70" i="3" a="1"/>
  <c r="G85" i="3" a="1"/>
  <c r="W71" i="3" a="1"/>
  <c r="G61" i="3" a="1"/>
  <c r="O50" i="3" a="1"/>
  <c r="E76" i="3" a="1"/>
  <c r="M65" i="3" a="1"/>
  <c r="U54" i="3" a="1"/>
  <c r="V87" i="3" a="1"/>
  <c r="N76" i="3" a="1"/>
  <c r="E85" i="3" a="1"/>
  <c r="X73" i="3" a="1"/>
  <c r="N150" i="3" a="1"/>
  <c r="L149" i="3" a="1"/>
  <c r="R149" i="3" a="1"/>
  <c r="K145" i="3" a="1"/>
  <c r="G142" i="3" a="1"/>
  <c r="P150" i="3" a="1"/>
  <c r="H141" i="3" a="1"/>
  <c r="C143" i="3" a="1"/>
  <c r="R145" i="3" a="1"/>
  <c r="Q145" i="3" a="1"/>
  <c r="C151" i="3" a="1"/>
  <c r="U143" i="3" a="1"/>
  <c r="R136" i="3" a="1"/>
  <c r="Q140" i="3" a="1"/>
  <c r="X147" i="3" a="1"/>
  <c r="K142" i="3" a="1"/>
  <c r="Q149" i="3" a="1"/>
  <c r="B141" i="3" a="1"/>
  <c r="W133" i="3" a="1"/>
  <c r="D144" i="3" a="1"/>
  <c r="D136" i="3" a="1"/>
  <c r="U150" i="3" a="1"/>
  <c r="L130" i="3" a="1"/>
  <c r="K121" i="3" a="1"/>
  <c r="L137" i="3" a="1"/>
  <c r="D124" i="3" a="1"/>
  <c r="Q139" i="3" a="1"/>
  <c r="B147" i="3" a="1"/>
  <c r="G133" i="3" a="1"/>
  <c r="F123" i="3" a="1"/>
  <c r="K131" i="3" a="1"/>
  <c r="I146" i="3" a="1"/>
  <c r="X131" i="3" a="1"/>
  <c r="H134" i="3" a="1"/>
  <c r="J124" i="3" a="1"/>
  <c r="F115" i="3" a="1"/>
  <c r="P135" i="3" a="1"/>
  <c r="O121" i="3" a="1"/>
  <c r="A133" i="3" a="1"/>
  <c r="Q122" i="3" a="1"/>
  <c r="H144" i="3" a="1"/>
  <c r="L129" i="3" a="1"/>
  <c r="C127" i="3" a="1"/>
  <c r="H113" i="3" a="1"/>
  <c r="X102" i="3" a="1"/>
  <c r="D111" i="3" a="1"/>
  <c r="U100" i="3" a="1"/>
  <c r="G130" i="3" a="1"/>
  <c r="O108" i="3" a="1"/>
  <c r="L99" i="3" a="1"/>
  <c r="T114" i="3" a="1"/>
  <c r="M102" i="3" a="1"/>
  <c r="H121" i="3" a="1"/>
  <c r="K129" i="3" a="1"/>
  <c r="C115" i="3" a="1"/>
  <c r="F114" i="3" a="1"/>
  <c r="N117" i="3" a="1"/>
  <c r="I99" i="3" a="1"/>
  <c r="H120" i="3" a="1"/>
  <c r="O113" i="3" a="1"/>
  <c r="F119" i="3" a="1"/>
  <c r="M101" i="3" a="1"/>
  <c r="V133" i="3" a="1"/>
  <c r="U103" i="3" a="1"/>
  <c r="O109" i="3" a="1"/>
  <c r="H133" i="3" a="1"/>
  <c r="A114" i="3" a="1"/>
  <c r="X117" i="3" a="1"/>
  <c r="G123" i="3" a="1"/>
  <c r="O104" i="3" a="1"/>
  <c r="Q119" i="3" a="1"/>
  <c r="F102" i="3" a="1"/>
  <c r="U113" i="3" a="1"/>
  <c r="X97" i="3" a="1"/>
  <c r="E94" i="3" a="1"/>
  <c r="I96" i="3" a="1"/>
  <c r="I110" i="3" a="1"/>
  <c r="K89" i="3" a="1"/>
  <c r="M79" i="3" a="1"/>
  <c r="F150" i="3" a="1"/>
  <c r="D149" i="3" a="1"/>
  <c r="J149" i="3" a="1"/>
  <c r="W151" i="3" a="1"/>
  <c r="U141" i="3" a="1"/>
  <c r="C150" i="3" a="1"/>
  <c r="V140" i="3" a="1"/>
  <c r="S141" i="3" a="1"/>
  <c r="G145" i="3" a="1"/>
  <c r="I144" i="3" a="1"/>
  <c r="M150" i="3" a="1"/>
  <c r="J143" i="3" a="1"/>
  <c r="G136" i="3" a="1"/>
  <c r="I139" i="3" a="1"/>
  <c r="W146" i="3" a="1"/>
  <c r="C141" i="3" a="1"/>
  <c r="W147" i="3" a="1"/>
  <c r="O140" i="3" a="1"/>
  <c r="E148" i="3" a="1"/>
  <c r="U140" i="3" a="1"/>
  <c r="L135" i="3" a="1"/>
  <c r="L145" i="3" a="1"/>
  <c r="S128" i="3" a="1"/>
  <c r="R120" i="3" a="1"/>
  <c r="T136" i="3" a="1"/>
  <c r="D122" i="3" a="1"/>
  <c r="E138" i="3" a="1"/>
  <c r="A145" i="3" a="1"/>
  <c r="P132" i="3" a="1"/>
  <c r="U122" i="3" a="1"/>
  <c r="B129" i="3" a="1"/>
  <c r="S144" i="3" a="1"/>
  <c r="J131" i="3" a="1"/>
  <c r="R133" i="3" a="1"/>
  <c r="W123" i="3" a="1"/>
  <c r="M114" i="3" a="1"/>
  <c r="X134" i="3" a="1"/>
  <c r="V120" i="3" a="1"/>
  <c r="Q130" i="3" a="1"/>
  <c r="H122" i="3" a="1"/>
  <c r="X142" i="3" a="1"/>
  <c r="J128" i="3" a="1"/>
  <c r="Q125" i="3" a="1"/>
  <c r="W112" i="3" a="1"/>
  <c r="G102" i="3" a="1"/>
  <c r="K110" i="3" a="1"/>
  <c r="M100" i="3" a="1"/>
  <c r="H128" i="3" a="1"/>
  <c r="V107" i="3" a="1"/>
  <c r="V135" i="3" a="1"/>
  <c r="L112" i="3" a="1"/>
  <c r="T101" i="3" a="1"/>
  <c r="Q120" i="3" a="1"/>
  <c r="T127" i="3" a="1"/>
  <c r="Q114" i="3" a="1"/>
  <c r="Q112" i="3" a="1"/>
  <c r="B115" i="3" a="1"/>
  <c r="P98" i="3" a="1"/>
  <c r="I119" i="3" a="1"/>
  <c r="J112" i="3" a="1"/>
  <c r="H118" i="3" a="1"/>
  <c r="W98" i="3" a="1"/>
  <c r="B124" i="3" a="1"/>
  <c r="J103" i="3" a="1"/>
  <c r="C108" i="3" a="1"/>
  <c r="S123" i="3" a="1"/>
  <c r="J113" i="3" a="1"/>
  <c r="C117" i="3" a="1"/>
  <c r="R119" i="3" a="1"/>
  <c r="E103" i="3" a="1"/>
  <c r="X116" i="3" a="1"/>
  <c r="R101" i="3" a="1"/>
  <c r="F113" i="3" a="1"/>
  <c r="K97" i="3" a="1"/>
  <c r="J93" i="3" a="1"/>
  <c r="U95" i="3" a="1"/>
  <c r="T108" i="3" a="1"/>
  <c r="R88" i="3" a="1"/>
  <c r="E79" i="3" a="1"/>
  <c r="J99" i="3" a="1"/>
  <c r="I88" i="3" a="1"/>
  <c r="H95" i="3" a="1"/>
  <c r="I83" i="3" a="1"/>
  <c r="L76" i="3" a="1"/>
  <c r="L94" i="3" a="1"/>
  <c r="A105" i="3" a="1"/>
  <c r="U90" i="3" a="1"/>
  <c r="E97" i="3" a="1"/>
  <c r="T94" i="3" a="1"/>
  <c r="J94" i="3" a="1"/>
  <c r="W83" i="3" a="1"/>
  <c r="O95" i="3" a="1"/>
  <c r="X84" i="3" a="1"/>
  <c r="D99" i="3" a="1"/>
  <c r="Q99" i="3" a="1"/>
  <c r="W84" i="3" a="1"/>
  <c r="H77" i="3" a="1"/>
  <c r="N84" i="3" a="1"/>
  <c r="C71" i="3" a="1"/>
  <c r="W80" i="3" a="1"/>
  <c r="T66" i="3" a="1"/>
  <c r="O86" i="3" a="1"/>
  <c r="F91" i="3" a="1"/>
  <c r="T72" i="3" a="1"/>
  <c r="D62" i="3" a="1"/>
  <c r="K79" i="3" a="1"/>
  <c r="M68" i="3" a="1"/>
  <c r="K84" i="3" a="1"/>
  <c r="B78" i="3" a="1"/>
  <c r="V149" i="3" a="1"/>
  <c r="T148" i="3" a="1"/>
  <c r="B149" i="3" a="1"/>
  <c r="H151" i="3" a="1"/>
  <c r="J141" i="3" a="1"/>
  <c r="M149" i="3" a="1"/>
  <c r="L140" i="3" a="1"/>
  <c r="K140" i="3" a="1"/>
  <c r="U144" i="3" a="1"/>
  <c r="A143" i="3" a="1"/>
  <c r="Q148" i="3" a="1"/>
  <c r="W142" i="3" a="1"/>
  <c r="U135" i="3" a="1"/>
  <c r="A138" i="3" a="1"/>
  <c r="X145" i="3" a="1"/>
  <c r="S139" i="3" a="1"/>
  <c r="I147" i="3" a="1"/>
  <c r="E140" i="3" a="1"/>
  <c r="P145" i="3" a="1"/>
  <c r="W139" i="3" a="1"/>
  <c r="R134" i="3" a="1"/>
  <c r="V143" i="3" a="1"/>
  <c r="E128" i="3" a="1"/>
  <c r="A120" i="3" a="1"/>
  <c r="B136" i="3" a="1"/>
  <c r="S121" i="3" a="1"/>
  <c r="K137" i="3" a="1"/>
  <c r="P143" i="3" a="1"/>
  <c r="C132" i="3" a="1"/>
  <c r="K122" i="3" a="1"/>
  <c r="X127" i="3" a="1"/>
  <c r="H143" i="3" a="1"/>
  <c r="T130" i="3" a="1"/>
  <c r="D133" i="3" a="1"/>
  <c r="M123" i="3" a="1"/>
  <c r="T113" i="3" a="1"/>
  <c r="P133" i="3" a="1"/>
  <c r="E120" i="3" a="1"/>
  <c r="C130" i="3" a="1"/>
  <c r="W121" i="3" a="1"/>
  <c r="X140" i="3" a="1"/>
  <c r="H127" i="3" a="1"/>
  <c r="N124" i="3" a="1"/>
  <c r="F112" i="3" a="1"/>
  <c r="N101" i="3" a="1"/>
  <c r="B110" i="3" a="1"/>
  <c r="E100" i="3" a="1"/>
  <c r="S126" i="3" a="1"/>
  <c r="E107" i="3" a="1"/>
  <c r="J132" i="3" a="1"/>
  <c r="S111" i="3" a="1"/>
  <c r="C101" i="3" a="1"/>
  <c r="C120" i="3" a="1"/>
  <c r="F126" i="3" a="1"/>
  <c r="X137" i="3" a="1"/>
  <c r="X111" i="3" a="1"/>
  <c r="B113" i="3" a="1"/>
  <c r="W97" i="3" a="1"/>
  <c r="I118" i="3" a="1"/>
  <c r="V111" i="3" a="1"/>
  <c r="X114" i="3" a="1"/>
  <c r="F98" i="3" a="1"/>
  <c r="G122" i="3" a="1"/>
  <c r="V102" i="3" a="1"/>
  <c r="P107" i="3" a="1"/>
  <c r="F122" i="3" a="1"/>
  <c r="T112" i="3" a="1"/>
  <c r="L115" i="3" a="1"/>
  <c r="U118" i="3" a="1"/>
  <c r="R102" i="3" a="1"/>
  <c r="D116" i="3" a="1"/>
  <c r="C99" i="3" a="1"/>
  <c r="P112" i="3" a="1"/>
  <c r="W96" i="3" a="1"/>
  <c r="D92" i="3" a="1"/>
  <c r="J95" i="3" a="1"/>
  <c r="I107" i="3" a="1"/>
  <c r="A88" i="3" a="1"/>
  <c r="U78" i="3" a="1"/>
  <c r="U98" i="3" a="1"/>
  <c r="X87" i="3" a="1"/>
  <c r="C94" i="3" a="1"/>
  <c r="X82" i="3" a="1"/>
  <c r="S113" i="3" a="1"/>
  <c r="Q93" i="3" a="1"/>
  <c r="I103" i="3" a="1"/>
  <c r="L90" i="3" a="1"/>
  <c r="Q96" i="3" a="1"/>
  <c r="S92" i="3" a="1"/>
  <c r="X93" i="3" a="1"/>
  <c r="F83" i="3" a="1"/>
  <c r="N149" i="3" a="1"/>
  <c r="L148" i="3" a="1"/>
  <c r="R148" i="3" a="1"/>
  <c r="S150" i="3" a="1"/>
  <c r="W140" i="3" a="1"/>
  <c r="Q147" i="3" a="1"/>
  <c r="X139" i="3" a="1"/>
  <c r="C139" i="3" a="1"/>
  <c r="J144" i="3" a="1"/>
  <c r="Q141" i="3" a="1"/>
  <c r="N147" i="3" a="1"/>
  <c r="M142" i="3" a="1"/>
  <c r="J135" i="3" a="1"/>
  <c r="Q136" i="3" a="1"/>
  <c r="N145" i="3" a="1"/>
  <c r="K138" i="3" a="1"/>
  <c r="V146" i="3" a="1"/>
  <c r="R139" i="3" a="1"/>
  <c r="V142" i="3" a="1"/>
  <c r="E139" i="3" a="1"/>
  <c r="C134" i="3" a="1"/>
  <c r="S142" i="3" a="1"/>
  <c r="P127" i="3" a="1"/>
  <c r="H119" i="3" a="1"/>
  <c r="H135" i="3" a="1"/>
  <c r="B121" i="3" a="1"/>
  <c r="S136" i="3" a="1"/>
  <c r="L142" i="3" a="1"/>
  <c r="M131" i="3" a="1"/>
  <c r="B122" i="3" a="1"/>
  <c r="M127" i="3" a="1"/>
  <c r="F141" i="3" a="1"/>
  <c r="F130" i="3" a="1"/>
  <c r="W131" i="3" a="1"/>
  <c r="C123" i="3" a="1"/>
  <c r="K113" i="3" a="1"/>
  <c r="B133" i="3" a="1"/>
  <c r="L119" i="3" a="1"/>
  <c r="W128" i="3" a="1"/>
  <c r="F121" i="3" a="1"/>
  <c r="D140" i="3" a="1"/>
  <c r="H124" i="3" a="1"/>
  <c r="P123" i="3" a="1"/>
  <c r="M111" i="3" a="1"/>
  <c r="N136" i="3" a="1"/>
  <c r="I109" i="3" a="1"/>
  <c r="U99" i="3" a="1"/>
  <c r="K124" i="3" a="1"/>
  <c r="L106" i="3" a="1"/>
  <c r="X129" i="3" a="1"/>
  <c r="J111" i="3" a="1"/>
  <c r="S100" i="3" a="1"/>
  <c r="N116" i="3" a="1"/>
  <c r="A125" i="3" a="1"/>
  <c r="F134" i="3" a="1"/>
  <c r="G111" i="3" a="1"/>
  <c r="W111" i="3" a="1"/>
  <c r="F97" i="3" a="1"/>
  <c r="L117" i="3" a="1"/>
  <c r="S110" i="3" a="1"/>
  <c r="N113" i="3" a="1"/>
  <c r="U97" i="3" a="1"/>
  <c r="C121" i="3" a="1"/>
  <c r="U133" i="3" a="1"/>
  <c r="F106" i="3" a="1"/>
  <c r="A121" i="3" a="1"/>
  <c r="G112" i="3" a="1"/>
  <c r="X113" i="3" a="1"/>
  <c r="U117" i="3" a="1"/>
  <c r="S101" i="3" a="1"/>
  <c r="G113" i="3" a="1"/>
  <c r="J98" i="3" a="1"/>
  <c r="L110" i="3" a="1"/>
  <c r="F94" i="3" a="1"/>
  <c r="B125" i="3" a="1"/>
  <c r="X94" i="3" a="1"/>
  <c r="H106" i="3" a="1"/>
  <c r="P87" i="3" a="1"/>
  <c r="M78" i="3" a="1"/>
  <c r="I98" i="3" a="1"/>
  <c r="G87" i="3" a="1"/>
  <c r="U92" i="3" a="1"/>
  <c r="G82" i="3" a="1"/>
  <c r="Q111" i="3" a="1"/>
  <c r="G93" i="3" a="1"/>
  <c r="P102" i="3" a="1"/>
  <c r="C90" i="3" a="1"/>
  <c r="K94" i="3" a="1"/>
  <c r="X91" i="3" a="1"/>
  <c r="N93" i="3" a="1"/>
  <c r="M82" i="3" a="1"/>
  <c r="I94" i="3" a="1"/>
  <c r="N83" i="3" a="1"/>
  <c r="O97" i="3" a="1"/>
  <c r="N97" i="3" a="1"/>
  <c r="M83" i="3" a="1"/>
  <c r="P76" i="3" a="1"/>
  <c r="A82" i="3" a="1"/>
  <c r="A70" i="3" a="1"/>
  <c r="B76" i="3" a="1"/>
  <c r="J65" i="3" a="1"/>
  <c r="N85" i="3" a="1"/>
  <c r="N89" i="3" a="1"/>
  <c r="J71" i="3" a="1"/>
  <c r="L95" i="3" a="1"/>
  <c r="C78" i="3" a="1"/>
  <c r="C67" i="3" a="1"/>
  <c r="B91" i="3" a="1"/>
  <c r="R76" i="3" a="1"/>
  <c r="C88" i="3" a="1"/>
  <c r="P71" i="3" a="1"/>
  <c r="X60" i="3" a="1"/>
  <c r="H89" i="3" a="1"/>
  <c r="F149" i="3" a="1"/>
  <c r="D148" i="3" a="1"/>
  <c r="J148" i="3" a="1"/>
  <c r="E150" i="3" a="1"/>
  <c r="M140" i="3" a="1"/>
  <c r="Q146" i="3" a="1"/>
  <c r="N139" i="3" a="1"/>
  <c r="S137" i="3" a="1"/>
  <c r="W143" i="3" a="1"/>
  <c r="I140" i="3" a="1"/>
  <c r="A147" i="3" a="1"/>
  <c r="B142" i="3" a="1"/>
  <c r="W134" i="3" a="1"/>
  <c r="I135" i="3" a="1"/>
  <c r="D145" i="3" a="1"/>
  <c r="C137" i="3" a="1"/>
  <c r="J146" i="3" a="1"/>
  <c r="G139" i="3" a="1"/>
  <c r="A140" i="3" a="1"/>
  <c r="H138" i="3" a="1"/>
  <c r="L133" i="3" a="1"/>
  <c r="S140" i="3" a="1"/>
  <c r="E127" i="3" a="1"/>
  <c r="O118" i="3" a="1"/>
  <c r="P134" i="3" a="1"/>
  <c r="I120" i="3" a="1"/>
  <c r="A136" i="3" a="1"/>
  <c r="L141" i="3" a="1"/>
  <c r="V130" i="3" a="1"/>
  <c r="P149" i="3" a="1"/>
  <c r="X126" i="3" a="1"/>
  <c r="H140" i="3" a="1"/>
  <c r="O129" i="3" a="1"/>
  <c r="H131" i="3" a="1"/>
  <c r="R122" i="3" a="1"/>
  <c r="A149" i="3" a="1"/>
  <c r="M132" i="3" a="1"/>
  <c r="C119" i="3" a="1"/>
  <c r="K128" i="3" a="1"/>
  <c r="M120" i="3" a="1"/>
  <c r="T137" i="3" a="1"/>
  <c r="U123" i="3" a="1"/>
  <c r="V122" i="3" a="1"/>
  <c r="T110" i="3" a="1"/>
  <c r="O128" i="3" a="1"/>
  <c r="P108" i="3" a="1"/>
  <c r="M99" i="3" a="1"/>
  <c r="A122" i="3" a="1"/>
  <c r="S105" i="3" a="1"/>
  <c r="R126" i="3" a="1"/>
  <c r="Q110" i="3" a="1"/>
  <c r="K100" i="3" a="1"/>
  <c r="B116" i="3" a="1"/>
  <c r="L138" i="3" a="1"/>
  <c r="E131" i="3" a="1"/>
  <c r="N110" i="3" a="1"/>
  <c r="U110" i="3" a="1"/>
  <c r="U96" i="3" a="1"/>
  <c r="U115" i="3" a="1"/>
  <c r="S109" i="3" a="1"/>
  <c r="X112" i="3" a="1"/>
  <c r="D97" i="3" a="1"/>
  <c r="E119" i="3" a="1"/>
  <c r="F127" i="3" a="1"/>
  <c r="Q105" i="3" a="1"/>
  <c r="A119" i="3" a="1"/>
  <c r="O110" i="3" a="1"/>
  <c r="S112" i="3" a="1"/>
  <c r="A117" i="3" a="1"/>
  <c r="H101" i="3" a="1"/>
  <c r="C112" i="3" a="1"/>
  <c r="Q97" i="3" a="1"/>
  <c r="K109" i="3" a="1"/>
  <c r="T93" i="3" a="1"/>
  <c r="S117" i="3" a="1"/>
  <c r="S93" i="3" a="1"/>
  <c r="C102" i="3" a="1"/>
  <c r="W86" i="3" a="1"/>
  <c r="E78" i="3" a="1"/>
  <c r="H97" i="3" a="1"/>
  <c r="X122" i="3" a="1"/>
  <c r="B92" i="3" a="1"/>
  <c r="N81" i="3" a="1"/>
  <c r="I108" i="3" a="1"/>
  <c r="K92" i="3" a="1"/>
  <c r="V148" i="3" a="1"/>
  <c r="T147" i="3" a="1"/>
  <c r="B148" i="3" a="1"/>
  <c r="I148" i="3" a="1"/>
  <c r="B140" i="3" a="1"/>
  <c r="F146" i="3" a="1"/>
  <c r="D139" i="3" a="1"/>
  <c r="K136" i="3" a="1"/>
  <c r="M143" i="3" a="1"/>
  <c r="A139" i="3" a="1"/>
  <c r="N146" i="3" a="1"/>
  <c r="O141" i="3" a="1"/>
  <c r="O151" i="3" a="1"/>
  <c r="A134" i="3" a="1"/>
  <c r="P144" i="3" a="1"/>
  <c r="S135" i="3" a="1"/>
  <c r="W145" i="3" a="1"/>
  <c r="U138" i="3" a="1"/>
  <c r="I138" i="3" a="1"/>
  <c r="M135" i="3" a="1"/>
  <c r="V132" i="3" a="1"/>
  <c r="B139" i="3" a="1"/>
  <c r="P126" i="3" a="1"/>
  <c r="V117" i="3" a="1"/>
  <c r="X133" i="3" a="1"/>
  <c r="P119" i="3" a="1"/>
  <c r="O134" i="3" a="1"/>
  <c r="N140" i="3" a="1"/>
  <c r="R129" i="3" a="1"/>
  <c r="U146" i="3" a="1"/>
  <c r="M126" i="3" a="1"/>
  <c r="M139" i="3" a="1"/>
  <c r="A129" i="3" a="1"/>
  <c r="S130" i="3" a="1"/>
  <c r="I122" i="3" a="1"/>
  <c r="D146" i="3" a="1"/>
  <c r="V131" i="3" a="1"/>
  <c r="J118" i="3" a="1"/>
  <c r="V127" i="3" a="1"/>
  <c r="T119" i="3" a="1"/>
  <c r="X136" i="3" a="1"/>
  <c r="N121" i="3" a="1"/>
  <c r="C122" i="3" a="1"/>
  <c r="C110" i="3" a="1"/>
  <c r="A127" i="3" a="1"/>
  <c r="W107" i="3" a="1"/>
  <c r="V141" i="3" a="1"/>
  <c r="J121" i="3" a="1"/>
  <c r="J105" i="3" a="1"/>
  <c r="G125" i="3" a="1"/>
  <c r="X109" i="3" a="1"/>
  <c r="C100" i="3" a="1"/>
  <c r="P115" i="3" a="1"/>
  <c r="M134" i="3" a="1"/>
  <c r="I129" i="3" a="1"/>
  <c r="U109" i="3" a="1"/>
  <c r="T109" i="3" a="1"/>
  <c r="N148" i="3" a="1"/>
  <c r="L147" i="3" a="1"/>
  <c r="R147" i="3" a="1"/>
  <c r="S146" i="3" a="1"/>
  <c r="Q150" i="3" a="1"/>
  <c r="T145" i="3" a="1"/>
  <c r="P138" i="3" a="1"/>
  <c r="C135" i="3" a="1"/>
  <c r="B143" i="3" a="1"/>
  <c r="Q137" i="3" a="1"/>
  <c r="A151" i="3" a="1"/>
  <c r="E141" i="3" a="1"/>
  <c r="X150" i="3" a="1"/>
  <c r="Q132" i="3" a="1"/>
  <c r="F144" i="3" a="1"/>
  <c r="K134" i="3" a="1"/>
  <c r="M145" i="3" a="1"/>
  <c r="J138" i="3" a="1"/>
  <c r="P137" i="3" a="1"/>
  <c r="S134" i="3" a="1"/>
  <c r="G132" i="3" a="1"/>
  <c r="G138" i="3" a="1"/>
  <c r="E126" i="3" a="1"/>
  <c r="E117" i="3" a="1"/>
  <c r="J133" i="3" a="1"/>
  <c r="W118" i="3" a="1"/>
  <c r="I133" i="3" a="1"/>
  <c r="P139" i="3" a="1"/>
  <c r="E129" i="3" a="1"/>
  <c r="L143" i="3" a="1"/>
  <c r="W125" i="3" a="1"/>
  <c r="R138" i="3" a="1"/>
  <c r="M128" i="3" a="1"/>
  <c r="E130" i="3" a="1"/>
  <c r="F148" i="3" a="1"/>
  <c r="D147" i="3" a="1"/>
  <c r="J147" i="3" a="1"/>
  <c r="G146" i="3" a="1"/>
  <c r="W148" i="3" a="1"/>
  <c r="H145" i="3" a="1"/>
  <c r="F138" i="3" a="1"/>
  <c r="S133" i="3" a="1"/>
  <c r="O142" i="3" a="1"/>
  <c r="I136" i="3" a="1"/>
  <c r="G149" i="3" a="1"/>
  <c r="R140" i="3" a="1"/>
  <c r="K150" i="3" a="1"/>
  <c r="I131" i="3" a="1"/>
  <c r="T143" i="3" a="1"/>
  <c r="C133" i="3" a="1"/>
  <c r="B145" i="3" a="1"/>
  <c r="W137" i="3" a="1"/>
  <c r="W136" i="3" a="1"/>
  <c r="D134" i="3" a="1"/>
  <c r="P131" i="3" a="1"/>
  <c r="U136" i="3" a="1"/>
  <c r="P125" i="3" a="1"/>
  <c r="L116" i="3" a="1"/>
  <c r="T132" i="3" a="1"/>
  <c r="F118" i="3" a="1"/>
  <c r="S132" i="3" a="1"/>
  <c r="V138" i="3" a="1"/>
  <c r="B128" i="3" a="1"/>
  <c r="H142" i="3" a="1"/>
  <c r="L125" i="3" a="1"/>
  <c r="V137" i="3" a="1"/>
  <c r="L126" i="3" a="1"/>
  <c r="N129" i="3" a="1"/>
  <c r="G121" i="3" a="1"/>
  <c r="F143" i="3" a="1"/>
  <c r="R130" i="3" a="1"/>
  <c r="S148" i="3" a="1"/>
  <c r="U126" i="3" a="1"/>
  <c r="R118" i="3" a="1"/>
  <c r="O135" i="3" a="1"/>
  <c r="D120" i="3" a="1"/>
  <c r="X120" i="3" a="1"/>
  <c r="A109" i="3" a="1"/>
  <c r="R117" i="3" a="1"/>
  <c r="M106" i="3" a="1"/>
  <c r="H130" i="3" a="1"/>
  <c r="Q116" i="3" a="1"/>
  <c r="X103" i="3" a="1"/>
  <c r="D132" i="3" a="1"/>
  <c r="N108" i="3" a="1"/>
  <c r="K99" i="3" a="1"/>
  <c r="B112" i="3" a="1"/>
  <c r="R127" i="3" a="1"/>
  <c r="D123" i="3" a="1"/>
  <c r="K108" i="3" a="1"/>
  <c r="F108" i="3" a="1"/>
  <c r="R94" i="3" a="1"/>
  <c r="A113" i="3" a="1"/>
  <c r="U105" i="3" a="1"/>
  <c r="E109" i="3" a="1"/>
  <c r="A95" i="3" a="1"/>
  <c r="M113" i="3" a="1"/>
  <c r="B119" i="3" a="1"/>
  <c r="U102" i="3" a="1"/>
  <c r="O115" i="3" a="1"/>
  <c r="M108" i="3" a="1"/>
  <c r="A108" i="3" a="1"/>
  <c r="V113" i="3" a="1"/>
  <c r="X99" i="3" a="1"/>
  <c r="W109" i="3" a="1"/>
  <c r="F125" i="3" a="1"/>
  <c r="D115" i="3" a="1"/>
  <c r="L107" i="3" a="1"/>
  <c r="V147" i="3" a="1"/>
  <c r="T146" i="3" a="1"/>
  <c r="X151" i="3" a="1"/>
  <c r="U145" i="3" a="1"/>
  <c r="H148" i="3" a="1"/>
  <c r="V144" i="3" a="1"/>
  <c r="U151" i="3" a="1"/>
  <c r="K132" i="3" a="1"/>
  <c r="E142" i="3" a="1"/>
  <c r="A135" i="3" a="1"/>
  <c r="P148" i="3" a="1"/>
  <c r="G140" i="3" a="1"/>
  <c r="U149" i="3" a="1"/>
  <c r="A130" i="3" a="1"/>
  <c r="W150" i="3" a="1"/>
  <c r="S131" i="3" a="1"/>
  <c r="O144" i="3" a="1"/>
  <c r="M137" i="3" a="1"/>
  <c r="F136" i="3" a="1"/>
  <c r="Q131" i="3" a="1"/>
  <c r="D131" i="3" a="1"/>
  <c r="C136" i="3" a="1"/>
  <c r="E125" i="3" a="1"/>
  <c r="C116" i="3" a="1"/>
  <c r="E132" i="3" a="1"/>
  <c r="M117" i="3" a="1"/>
  <c r="I130" i="3" a="1"/>
  <c r="D138" i="3" a="1"/>
  <c r="N127" i="3" a="1"/>
  <c r="T144" i="3" a="1"/>
  <c r="W124" i="3" a="1"/>
  <c r="F137" i="3" a="1"/>
  <c r="K125" i="3" a="1"/>
  <c r="X128" i="3" a="1"/>
  <c r="N120" i="3" a="1"/>
  <c r="C142" i="3" a="1"/>
  <c r="D130" i="3" a="1"/>
  <c r="C146" i="3" a="1"/>
  <c r="H126" i="3" a="1"/>
  <c r="A118" i="3" a="1"/>
  <c r="V134" i="3" a="1"/>
  <c r="S119" i="3" a="1"/>
  <c r="J120" i="3" a="1"/>
  <c r="H108" i="3" a="1"/>
  <c r="F117" i="3" a="1"/>
  <c r="T105" i="3" a="1"/>
  <c r="N128" i="3" a="1"/>
  <c r="H115" i="3" a="1"/>
  <c r="G103" i="3" a="1"/>
  <c r="W129" i="3" a="1"/>
  <c r="U107" i="3" a="1"/>
  <c r="O139" i="3" a="1"/>
  <c r="I111" i="3" a="1"/>
  <c r="A124" i="3" a="1"/>
  <c r="D121" i="3" a="1"/>
  <c r="C140" i="3" a="1"/>
  <c r="S107" i="3" a="1"/>
  <c r="A94" i="3" a="1"/>
  <c r="H111" i="3" a="1"/>
  <c r="H105" i="3" a="1"/>
  <c r="Q108" i="3" a="1"/>
  <c r="H94" i="3" a="1"/>
  <c r="I112" i="3" a="1"/>
  <c r="E118" i="3" a="1"/>
  <c r="J102" i="3" a="1"/>
  <c r="S114" i="3" a="1"/>
  <c r="N107" i="3" a="1"/>
  <c r="M107" i="3" a="1"/>
  <c r="D112" i="3" a="1"/>
  <c r="N99" i="3" a="1"/>
  <c r="V108" i="3" a="1"/>
  <c r="A123" i="3" a="1"/>
  <c r="X108" i="3" a="1"/>
  <c r="T151" i="3" a="1"/>
  <c r="R141" i="3" a="1"/>
  <c r="E144" i="3" a="1"/>
  <c r="O131" i="3" a="1"/>
  <c r="C149" i="3" a="1"/>
  <c r="Q117" i="3" a="1"/>
  <c r="U120" i="3" a="1"/>
  <c r="F107" i="3" a="1"/>
  <c r="J123" i="3" a="1"/>
  <c r="J129" i="3" a="1"/>
  <c r="D96" i="3" a="1"/>
  <c r="Q109" i="3" a="1"/>
  <c r="J116" i="3" a="1"/>
  <c r="D106" i="3" a="1"/>
  <c r="O130" i="3" a="1"/>
  <c r="D129" i="3" a="1"/>
  <c r="I91" i="3" a="1"/>
  <c r="Q82" i="3" a="1"/>
  <c r="W90" i="3" a="1"/>
  <c r="O87" i="3" a="1"/>
  <c r="P100" i="3" a="1"/>
  <c r="W99" i="3" a="1"/>
  <c r="G99" i="3" a="1"/>
  <c r="W104" i="3" a="1"/>
  <c r="T81" i="3" a="1"/>
  <c r="D91" i="3" a="1"/>
  <c r="C98" i="3" a="1"/>
  <c r="Q92" i="3" a="1"/>
  <c r="P77" i="3" a="1"/>
  <c r="S77" i="3" a="1"/>
  <c r="L82" i="3" a="1"/>
  <c r="H64" i="3" a="1"/>
  <c r="W81" i="3" a="1"/>
  <c r="W74" i="3" a="1"/>
  <c r="E91" i="3" a="1"/>
  <c r="U73" i="3" a="1"/>
  <c r="T88" i="3" a="1"/>
  <c r="F75" i="3" a="1"/>
  <c r="S80" i="3" a="1"/>
  <c r="H66" i="3" a="1"/>
  <c r="N104" i="3" a="1"/>
  <c r="V75" i="3" a="1"/>
  <c r="P80" i="3" a="1"/>
  <c r="S91" i="3" a="1"/>
  <c r="U75" i="3" a="1"/>
  <c r="S63" i="3" a="1"/>
  <c r="H51" i="3" a="1"/>
  <c r="S74" i="3" a="1"/>
  <c r="A63" i="3" a="1"/>
  <c r="W50" i="3" a="1"/>
  <c r="Q83" i="3" a="1"/>
  <c r="D89" i="3" a="1"/>
  <c r="J77" i="3" a="1"/>
  <c r="T65" i="3" a="1"/>
  <c r="O84" i="3" a="1"/>
  <c r="L71" i="3" a="1"/>
  <c r="L88" i="3" a="1"/>
  <c r="V52" i="3" a="1"/>
  <c r="J56" i="3" a="1"/>
  <c r="A55" i="3" a="1"/>
  <c r="H81" i="3" a="1"/>
  <c r="E57" i="3" a="1"/>
  <c r="V66" i="3" a="1"/>
  <c r="J55" i="3" a="1"/>
  <c r="A54" i="3" a="1"/>
  <c r="A62" i="3" a="1"/>
  <c r="H55" i="3" a="1"/>
  <c r="P43" i="3" a="1"/>
  <c r="P83" i="3" a="1"/>
  <c r="E59" i="3" a="1"/>
  <c r="L151" i="3" a="1"/>
  <c r="S151" i="3" a="1"/>
  <c r="R143" i="3" a="1"/>
  <c r="X130" i="3" a="1"/>
  <c r="H146" i="3" a="1"/>
  <c r="X141" i="3" a="1"/>
  <c r="H137" i="3" a="1"/>
  <c r="C105" i="3" a="1"/>
  <c r="G128" i="3" a="1"/>
  <c r="R121" i="3" a="1"/>
  <c r="K95" i="3" a="1"/>
  <c r="D108" i="3" a="1"/>
  <c r="U114" i="3" a="1"/>
  <c r="W120" i="3" a="1"/>
  <c r="N111" i="3" a="1"/>
  <c r="U108" i="3" a="1"/>
  <c r="X90" i="3" a="1"/>
  <c r="E80" i="3" a="1"/>
  <c r="B89" i="3" a="1"/>
  <c r="L85" i="3" a="1"/>
  <c r="T98" i="3" a="1"/>
  <c r="H99" i="3" a="1"/>
  <c r="R97" i="3" a="1"/>
  <c r="L102" i="3" a="1"/>
  <c r="C81" i="3" a="1"/>
  <c r="S90" i="3" a="1"/>
  <c r="B97" i="3" a="1"/>
  <c r="U91" i="3" a="1"/>
  <c r="X76" i="3" a="1"/>
  <c r="V76" i="3" a="1"/>
  <c r="L81" i="3" a="1"/>
  <c r="O63" i="3" a="1"/>
  <c r="W79" i="3" a="1"/>
  <c r="M73" i="3" a="1"/>
  <c r="H90" i="3" a="1"/>
  <c r="D73" i="3" a="1"/>
  <c r="A87" i="3" a="1"/>
  <c r="M74" i="3" a="1"/>
  <c r="I79" i="3" a="1"/>
  <c r="V64" i="3" a="1"/>
  <c r="C93" i="3" a="1"/>
  <c r="E75" i="3" a="1"/>
  <c r="F76" i="3" a="1"/>
  <c r="X89" i="3" a="1"/>
  <c r="D75" i="3" a="1"/>
  <c r="Q62" i="3" a="1"/>
  <c r="V49" i="3" a="1"/>
  <c r="B74" i="3" a="1"/>
  <c r="H62" i="3" a="1"/>
  <c r="F50" i="3" a="1"/>
  <c r="D83" i="3" a="1"/>
  <c r="O101" i="3" a="1"/>
  <c r="W76" i="3" a="1"/>
  <c r="C65" i="3" a="1"/>
  <c r="O83" i="3" a="1"/>
  <c r="S70" i="3" a="1"/>
  <c r="E71" i="3" a="1"/>
  <c r="L52" i="3" a="1"/>
  <c r="V55" i="3" a="1"/>
  <c r="O54" i="3" a="1"/>
  <c r="H75" i="3" a="1"/>
  <c r="S56" i="3" a="1"/>
  <c r="E66" i="3" a="1"/>
  <c r="L54" i="3" a="1"/>
  <c r="O53" i="3" a="1"/>
  <c r="A61" i="3" a="1"/>
  <c r="X53" i="3" a="1"/>
  <c r="W42" i="3" a="1"/>
  <c r="J76" i="3" a="1"/>
  <c r="R58" i="3" a="1"/>
  <c r="H76" i="3" a="1"/>
  <c r="D68" i="3" a="1"/>
  <c r="A56" i="3" a="1"/>
  <c r="K56" i="3" a="1"/>
  <c r="J53" i="3" a="1"/>
  <c r="T42" i="3" a="1"/>
  <c r="B27" i="3" a="1"/>
  <c r="B16" i="3" a="1"/>
  <c r="I51" i="3" a="1"/>
  <c r="W35" i="3" a="1"/>
  <c r="B29" i="3" a="1"/>
  <c r="J19" i="3" a="1"/>
  <c r="C48" i="3" a="1"/>
  <c r="T39" i="3" a="1"/>
  <c r="A17" i="3" a="1"/>
  <c r="F58" i="3" a="1"/>
  <c r="F41" i="3" a="1"/>
  <c r="Q31" i="3" a="1"/>
  <c r="I26" i="3" a="1"/>
  <c r="I20" i="3" a="1"/>
  <c r="I9" i="3" a="1"/>
  <c r="P50" i="3" a="1"/>
  <c r="N36" i="3" a="1"/>
  <c r="H29" i="3" a="1"/>
  <c r="L146" i="3" a="1"/>
  <c r="Q133" i="3" a="1"/>
  <c r="B137" i="3" a="1"/>
  <c r="T116" i="3" a="1"/>
  <c r="W127" i="3" a="1"/>
  <c r="A141" i="3" a="1"/>
  <c r="N133" i="3" a="1"/>
  <c r="R104" i="3" a="1"/>
  <c r="V121" i="3" a="1"/>
  <c r="M119" i="3" a="1"/>
  <c r="H93" i="3" a="1"/>
  <c r="Q107" i="3" a="1"/>
  <c r="R111" i="3" a="1"/>
  <c r="P111" i="3" a="1"/>
  <c r="X110" i="3" a="1"/>
  <c r="M104" i="3" a="1"/>
  <c r="O90" i="3" a="1"/>
  <c r="U77" i="3" a="1"/>
  <c r="B117" i="3" a="1"/>
  <c r="B84" i="3" a="1"/>
  <c r="H98" i="3" a="1"/>
  <c r="G98" i="3" a="1"/>
  <c r="L120" i="3" a="1"/>
  <c r="E99" i="3" a="1"/>
  <c r="J80" i="3" a="1"/>
  <c r="V88" i="3" a="1"/>
  <c r="N96" i="3" a="1"/>
  <c r="L91" i="3" a="1"/>
  <c r="P118" i="3" a="1"/>
  <c r="K76" i="3" a="1"/>
  <c r="K80" i="3" a="1"/>
  <c r="V62" i="3" a="1"/>
  <c r="B79" i="3" a="1"/>
  <c r="C72" i="3" a="1"/>
  <c r="M89" i="3" a="1"/>
  <c r="K72" i="3" a="1"/>
  <c r="C95" i="3" a="1"/>
  <c r="T73" i="3" a="1"/>
  <c r="A78" i="3" a="1"/>
  <c r="E64" i="3" a="1"/>
  <c r="A91" i="3" a="1"/>
  <c r="L74" i="3" a="1"/>
  <c r="M75" i="3" a="1"/>
  <c r="F89" i="3" a="1"/>
  <c r="K74" i="3" a="1"/>
  <c r="X61" i="3" a="1"/>
  <c r="M97" i="3" a="1"/>
  <c r="Q73" i="3" a="1"/>
  <c r="O61" i="3" a="1"/>
  <c r="M49" i="3" a="1"/>
  <c r="P82" i="3" a="1"/>
  <c r="U89" i="3" a="1"/>
  <c r="S75" i="3" a="1"/>
  <c r="J64" i="3" a="1"/>
  <c r="N82" i="3" a="1"/>
  <c r="B70" i="3" a="1"/>
  <c r="C70" i="3" a="1"/>
  <c r="R151" i="3" a="1"/>
  <c r="I132" i="3" a="1"/>
  <c r="O136" i="3" a="1"/>
  <c r="K116" i="3" a="1"/>
  <c r="L127" i="3" a="1"/>
  <c r="J136" i="3" a="1"/>
  <c r="N130" i="3" a="1"/>
  <c r="V101" i="3" a="1"/>
  <c r="Q115" i="3" a="1"/>
  <c r="W116" i="3" a="1"/>
  <c r="O92" i="3" a="1"/>
  <c r="K103" i="3" a="1"/>
  <c r="T104" i="3" a="1"/>
  <c r="B111" i="3" a="1"/>
  <c r="J108" i="3" a="1"/>
  <c r="O103" i="3" a="1"/>
  <c r="J114" i="3" a="1"/>
  <c r="M77" i="3" a="1"/>
  <c r="W113" i="3" a="1"/>
  <c r="U80" i="3" a="1"/>
  <c r="R96" i="3" a="1"/>
  <c r="E96" i="3" a="1"/>
  <c r="F116" i="3" a="1"/>
  <c r="Q98" i="3" a="1"/>
  <c r="N119" i="3" a="1"/>
  <c r="S86" i="3" a="1"/>
  <c r="A96" i="3" a="1"/>
  <c r="U88" i="3" a="1"/>
  <c r="V110" i="3" a="1"/>
  <c r="R75" i="3" a="1"/>
  <c r="Q75" i="3" a="1"/>
  <c r="E62" i="3" a="1"/>
  <c r="R77" i="3" a="1"/>
  <c r="A71" i="3" a="1"/>
  <c r="F88" i="3" a="1"/>
  <c r="I71" i="3" a="1"/>
  <c r="G90" i="3" a="1"/>
  <c r="C73" i="3" a="1"/>
  <c r="Q76" i="3" a="1"/>
  <c r="S62" i="3" a="1"/>
  <c r="J86" i="3" a="1"/>
  <c r="S73" i="3" a="1"/>
  <c r="T74" i="3" a="1"/>
  <c r="O88" i="3" a="1"/>
  <c r="I73" i="3" a="1"/>
  <c r="N60" i="3" a="1"/>
  <c r="A93" i="3" a="1"/>
  <c r="X72" i="3" a="1"/>
  <c r="V60" i="3" a="1"/>
  <c r="T48" i="3" a="1"/>
  <c r="C80" i="3" a="1"/>
  <c r="T87" i="3" a="1"/>
  <c r="B75" i="3" a="1"/>
  <c r="A64" i="3" a="1"/>
  <c r="M81" i="3" a="1"/>
  <c r="Q69" i="3" a="1"/>
  <c r="X67" i="3" a="1"/>
  <c r="U81" i="3" a="1"/>
  <c r="B55" i="3" a="1"/>
  <c r="G53" i="3" a="1"/>
  <c r="X70" i="3" a="1"/>
  <c r="U55" i="3" a="1"/>
  <c r="S64" i="3" a="1"/>
  <c r="N80" i="3" a="1"/>
  <c r="Q52" i="3" a="1"/>
  <c r="G59" i="3" a="1"/>
  <c r="P52" i="3" a="1"/>
  <c r="M41" i="3" a="1"/>
  <c r="L70" i="3" a="1"/>
  <c r="I54" i="3" a="1"/>
  <c r="Q72" i="3" a="1"/>
  <c r="O82" i="3" a="1"/>
  <c r="G71" i="3" a="1"/>
  <c r="M55" i="3" a="1"/>
  <c r="T50" i="3" a="1"/>
  <c r="B42" i="3" a="1"/>
  <c r="J26" i="3" a="1"/>
  <c r="R14" i="3" a="1"/>
  <c r="N48" i="3" a="1"/>
  <c r="M34" i="3" a="1"/>
  <c r="J28" i="3" a="1"/>
  <c r="R18" i="3" a="1"/>
  <c r="F47" i="3" a="1"/>
  <c r="J38" i="3" a="1"/>
  <c r="I15" i="3" a="1"/>
  <c r="S55" i="3" a="1"/>
  <c r="D40" i="3" a="1"/>
  <c r="A31" i="3" a="1"/>
  <c r="Q25" i="3" a="1"/>
  <c r="I19" i="3" a="1"/>
  <c r="Q8" i="3" a="1"/>
  <c r="W48" i="3" a="1"/>
  <c r="L35" i="3" a="1"/>
  <c r="P28" i="3" a="1"/>
  <c r="H23" i="3" a="1"/>
  <c r="K151" i="3" a="1"/>
  <c r="C148" i="3" a="1"/>
  <c r="N135" i="3" a="1"/>
  <c r="F129" i="3" a="1"/>
  <c r="X121" i="3" a="1"/>
  <c r="J127" i="3" a="1"/>
  <c r="M121" i="3" a="1"/>
  <c r="R132" i="3" a="1"/>
  <c r="G109" i="3" a="1"/>
  <c r="C126" i="3" a="1"/>
  <c r="P124" i="3" a="1"/>
  <c r="K96" i="3" a="1"/>
  <c r="G104" i="3" a="1"/>
  <c r="O106" i="3" a="1"/>
  <c r="K107" i="3" a="1"/>
  <c r="D102" i="3" a="1"/>
  <c r="R100" i="3" a="1"/>
  <c r="E77" i="3" a="1"/>
  <c r="D110" i="3" a="1"/>
  <c r="D80" i="3" a="1"/>
  <c r="V94" i="3" a="1"/>
  <c r="G95" i="3" a="1"/>
  <c r="I113" i="3" a="1"/>
  <c r="O96" i="3" a="1"/>
  <c r="D113" i="3" a="1"/>
  <c r="I85" i="3" a="1"/>
  <c r="N95" i="3" a="1"/>
  <c r="R86" i="3" a="1"/>
  <c r="O105" i="3" a="1"/>
  <c r="I75" i="3" a="1"/>
  <c r="X74" i="3" a="1"/>
  <c r="L61" i="3" a="1"/>
  <c r="G77" i="3" a="1"/>
  <c r="H70" i="3" a="1"/>
  <c r="M86" i="3" a="1"/>
  <c r="P70" i="3" a="1"/>
  <c r="L89" i="3" a="1"/>
  <c r="J72" i="3" a="1"/>
  <c r="N75" i="3" a="1"/>
  <c r="B62" i="3" a="1"/>
  <c r="V85" i="3" a="1"/>
  <c r="B73" i="3" a="1"/>
  <c r="C74" i="3" a="1"/>
  <c r="J87" i="3" a="1"/>
  <c r="P72" i="3" a="1"/>
  <c r="U59" i="3" a="1"/>
  <c r="T90" i="3" a="1"/>
  <c r="G72" i="3" a="1"/>
  <c r="E60" i="3" a="1"/>
  <c r="H102" i="3" a="1"/>
  <c r="F79" i="3" a="1"/>
  <c r="F87" i="3" a="1"/>
  <c r="Q74" i="3" a="1"/>
  <c r="H63" i="3" a="1"/>
  <c r="X80" i="3" a="1"/>
  <c r="X68" i="3" a="1"/>
  <c r="D67" i="3" a="1"/>
  <c r="O75" i="3" a="1"/>
  <c r="H87" i="3" a="1"/>
  <c r="U52" i="3" a="1"/>
  <c r="U69" i="3" a="1"/>
  <c r="K55" i="3" a="1"/>
  <c r="B64" i="3" a="1"/>
  <c r="V71" i="3" a="1"/>
  <c r="G52" i="3" a="1"/>
  <c r="I58" i="3" a="1"/>
  <c r="F52" i="3" a="1"/>
  <c r="V83" i="3" a="1"/>
  <c r="J69" i="3" a="1"/>
  <c r="W53" i="3" a="1"/>
  <c r="D76" i="3" a="1"/>
  <c r="L72" i="3" a="1"/>
  <c r="A69" i="3" a="1"/>
  <c r="C55" i="3" a="1"/>
  <c r="P49" i="3" a="1"/>
  <c r="W40" i="3" a="1"/>
  <c r="R25" i="3" a="1"/>
  <c r="J14" i="3" a="1"/>
  <c r="I46" i="3" a="1"/>
  <c r="D34" i="3" a="1"/>
  <c r="B28" i="3" a="1"/>
  <c r="J18" i="3" a="1"/>
  <c r="S46" i="3" a="1"/>
  <c r="Q37" i="3" a="1"/>
  <c r="I151" i="3" a="1"/>
  <c r="X146" i="3" a="1"/>
  <c r="T134" i="3" a="1"/>
  <c r="P128" i="3" a="1"/>
  <c r="U119" i="3" a="1"/>
  <c r="U125" i="3" a="1"/>
  <c r="G119" i="3" a="1"/>
  <c r="T126" i="3" a="1"/>
  <c r="D107" i="3" a="1"/>
  <c r="O120" i="3" a="1"/>
  <c r="G114" i="3" a="1"/>
  <c r="R95" i="3" a="1"/>
  <c r="K101" i="3" a="1"/>
  <c r="W130" i="3" a="1"/>
  <c r="D104" i="3" a="1"/>
  <c r="V95" i="3" a="1"/>
  <c r="B100" i="3" a="1"/>
  <c r="U76" i="3" a="1"/>
  <c r="L108" i="3" a="1"/>
  <c r="T79" i="3" a="1"/>
  <c r="P91" i="3" a="1"/>
  <c r="U94" i="3" a="1"/>
  <c r="K111" i="3" a="1"/>
  <c r="E95" i="3" a="1"/>
  <c r="E111" i="3" a="1"/>
  <c r="G84" i="3" a="1"/>
  <c r="K115" i="3" a="1"/>
  <c r="P85" i="3" a="1"/>
  <c r="B103" i="3" a="1"/>
  <c r="F73" i="3" a="1"/>
  <c r="G74" i="3" a="1"/>
  <c r="O112" i="3" a="1"/>
  <c r="G92" i="3" a="1"/>
  <c r="O69" i="3" a="1"/>
  <c r="X85" i="3" a="1"/>
  <c r="F69" i="3" a="1"/>
  <c r="X86" i="3" a="1"/>
  <c r="A72" i="3" a="1"/>
  <c r="U74" i="3" a="1"/>
  <c r="Q61" i="3" a="1"/>
  <c r="J85" i="3" a="1"/>
  <c r="S103" i="3" a="1"/>
  <c r="J73" i="3" a="1"/>
  <c r="H86" i="3" a="1"/>
  <c r="F71" i="3" a="1"/>
  <c r="D59" i="3" a="1"/>
  <c r="W89" i="3" a="1"/>
  <c r="N71" i="3" a="1"/>
  <c r="L59" i="3" a="1"/>
  <c r="L97" i="3" a="1"/>
  <c r="V77" i="3" a="1"/>
  <c r="Q85" i="3" a="1"/>
  <c r="G73" i="3" a="1"/>
  <c r="O62" i="3" a="1"/>
  <c r="L80" i="3" a="1"/>
  <c r="G68" i="3" a="1"/>
  <c r="I66" i="3" a="1"/>
  <c r="P73" i="3" a="1"/>
  <c r="K75" i="3" a="1"/>
  <c r="N51" i="3" a="1"/>
  <c r="G66" i="3" a="1"/>
  <c r="N54" i="3" a="1"/>
  <c r="I63" i="3" a="1"/>
  <c r="T70" i="3" a="1"/>
  <c r="L51" i="3" a="1"/>
  <c r="R74" i="3" a="1"/>
  <c r="K51" i="3" a="1"/>
  <c r="O74" i="3" a="1"/>
  <c r="K67" i="3" a="1"/>
  <c r="A53" i="3" a="1"/>
  <c r="O72" i="3" a="1"/>
  <c r="B69" i="3" a="1"/>
  <c r="E67" i="3" a="1"/>
  <c r="S53" i="3" a="1"/>
  <c r="C49" i="3" a="1"/>
  <c r="F40" i="3" a="1"/>
  <c r="J25" i="3" a="1"/>
  <c r="R13" i="3" a="1"/>
  <c r="W45" i="3" a="1"/>
  <c r="K33" i="3" a="1"/>
  <c r="R27" i="3" a="1"/>
  <c r="J145" i="3" a="1"/>
  <c r="U139" i="3" a="1"/>
  <c r="C144" i="3" a="1"/>
  <c r="W149" i="3" a="1"/>
  <c r="D119" i="3" a="1"/>
  <c r="H125" i="3" a="1"/>
  <c r="T118" i="3" a="1"/>
  <c r="N125" i="3" a="1"/>
  <c r="K106" i="3" a="1"/>
  <c r="X119" i="3" a="1"/>
  <c r="P113" i="3" a="1"/>
  <c r="O93" i="3" a="1"/>
  <c r="V98" i="3" a="1"/>
  <c r="U130" i="3" a="1"/>
  <c r="X96" i="3" a="1"/>
  <c r="K114" i="3" a="1"/>
  <c r="V97" i="3" a="1"/>
  <c r="M76" i="3" a="1"/>
  <c r="C106" i="3" a="1"/>
  <c r="L79" i="3" a="1"/>
  <c r="G91" i="3" a="1"/>
  <c r="F93" i="3" a="1"/>
  <c r="E108" i="3" a="1"/>
  <c r="D93" i="3" a="1"/>
  <c r="M109" i="3" a="1"/>
  <c r="U82" i="3" a="1"/>
  <c r="R112" i="3" a="1"/>
  <c r="F84" i="3" a="1"/>
  <c r="N118" i="3" a="1"/>
  <c r="T71" i="3" a="1"/>
  <c r="N73" i="3" a="1"/>
  <c r="H92" i="3" a="1"/>
  <c r="I90" i="3" a="1"/>
  <c r="V68" i="3" a="1"/>
  <c r="L84" i="3" a="1"/>
  <c r="T67" i="3" a="1"/>
  <c r="L86" i="3" a="1"/>
  <c r="H71" i="3" a="1"/>
  <c r="K73" i="3" a="1"/>
  <c r="G60" i="3" a="1"/>
  <c r="U84" i="3" a="1"/>
  <c r="A98" i="3" a="1"/>
  <c r="A73" i="3" a="1"/>
  <c r="T85" i="3" a="1"/>
  <c r="M70" i="3" a="1"/>
  <c r="K58" i="3" a="1"/>
  <c r="E89" i="3" a="1"/>
  <c r="U70" i="3" a="1"/>
  <c r="S58" i="3" a="1"/>
  <c r="G94" i="3" a="1"/>
  <c r="K77" i="3" a="1"/>
  <c r="Q84" i="3" a="1"/>
  <c r="N72" i="3" a="1"/>
  <c r="V61" i="3" a="1"/>
  <c r="A80" i="3" a="1"/>
  <c r="N67" i="3" a="1"/>
  <c r="P65" i="3" a="1"/>
  <c r="X69" i="3" a="1"/>
  <c r="F72" i="3" a="1"/>
  <c r="S50" i="3" a="1"/>
  <c r="N65" i="3" a="1"/>
  <c r="B81" i="3" a="1"/>
  <c r="C62" i="3" a="1"/>
  <c r="N68" i="3" a="1"/>
  <c r="G50" i="3" a="1"/>
  <c r="W144" i="3" a="1"/>
  <c r="J139" i="3" a="1"/>
  <c r="T142" i="3" a="1"/>
  <c r="X144" i="3" a="1"/>
  <c r="P116" i="3" a="1"/>
  <c r="K123" i="3" a="1"/>
  <c r="B114" i="3" a="1"/>
  <c r="X135" i="3" a="1"/>
  <c r="W103" i="3" a="1"/>
  <c r="M115" i="3" a="1"/>
  <c r="G110" i="3" a="1"/>
  <c r="V92" i="3" a="1"/>
  <c r="J96" i="3" a="1"/>
  <c r="E116" i="3" a="1"/>
  <c r="G96" i="3" a="1"/>
  <c r="E112" i="3" a="1"/>
  <c r="I95" i="3" a="1"/>
  <c r="O117" i="3" a="1"/>
  <c r="E105" i="3" a="1"/>
  <c r="D79" i="3" a="1"/>
  <c r="V90" i="3" a="1"/>
  <c r="A92" i="3" a="1"/>
  <c r="W106" i="3" a="1"/>
  <c r="I92" i="3" a="1"/>
  <c r="U106" i="3" a="1"/>
  <c r="D82" i="3" a="1"/>
  <c r="W110" i="3" a="1"/>
  <c r="T82" i="3" a="1"/>
  <c r="W100" i="3" a="1"/>
  <c r="J70" i="3" a="1"/>
  <c r="U72" i="3" a="1"/>
  <c r="O89" i="3" a="1"/>
  <c r="Q87" i="3" a="1"/>
  <c r="E68" i="3" a="1"/>
  <c r="J82" i="3" a="1"/>
  <c r="J66" i="3" a="1"/>
  <c r="W85" i="3" a="1"/>
  <c r="V69" i="3" a="1"/>
  <c r="R72" i="3" a="1"/>
  <c r="N59" i="3" a="1"/>
  <c r="I84" i="3" a="1"/>
  <c r="Q94" i="3" a="1"/>
  <c r="O71" i="3" a="1"/>
  <c r="S83" i="3" a="1"/>
  <c r="T69" i="3" a="1"/>
  <c r="R57" i="3" a="1"/>
  <c r="R83" i="3" a="1"/>
  <c r="D70" i="3" a="1"/>
  <c r="B58" i="3" a="1"/>
  <c r="R90" i="3" a="1"/>
  <c r="T75" i="3" a="1"/>
  <c r="D84" i="3" a="1"/>
  <c r="U71" i="3" a="1"/>
  <c r="L96" i="3" a="1"/>
  <c r="Q78" i="3" a="1"/>
  <c r="U66" i="3" a="1"/>
  <c r="W64" i="3" a="1"/>
  <c r="U68" i="3" a="1"/>
  <c r="B71" i="3" a="1"/>
  <c r="I50" i="3" a="1"/>
  <c r="U64" i="3" a="1"/>
  <c r="S147" i="3" a="1"/>
  <c r="A148" i="3" a="1"/>
  <c r="M130" i="3" a="1"/>
  <c r="B127" i="3" a="1"/>
  <c r="N144" i="3" a="1"/>
  <c r="K119" i="3" a="1"/>
  <c r="R109" i="3" a="1"/>
  <c r="D117" i="3" a="1"/>
  <c r="S99" i="3" a="1"/>
  <c r="D109" i="3" a="1"/>
  <c r="F109" i="3" a="1"/>
  <c r="J90" i="3" a="1"/>
  <c r="D118" i="3" a="1"/>
  <c r="O114" i="3" a="1"/>
  <c r="Q121" i="3" a="1"/>
  <c r="J110" i="3" a="1"/>
  <c r="N94" i="3" a="1"/>
  <c r="M103" i="3" a="1"/>
  <c r="A100" i="3" a="1"/>
  <c r="T78" i="3" a="1"/>
  <c r="A89" i="3" a="1"/>
  <c r="R89" i="3" a="1"/>
  <c r="W105" i="3" a="1"/>
  <c r="N91" i="3" a="1"/>
  <c r="K102" i="3" a="1"/>
  <c r="K81" i="3" a="1"/>
  <c r="T107" i="3" a="1"/>
  <c r="C82" i="3" a="1"/>
  <c r="U93" i="3" a="1"/>
  <c r="H69" i="3" a="1"/>
  <c r="D72" i="3" a="1"/>
  <c r="W88" i="3" a="1"/>
  <c r="B87" i="3" a="1"/>
  <c r="L67" i="3" a="1"/>
  <c r="I81" i="3" a="1"/>
  <c r="A66" i="3" a="1"/>
  <c r="K85" i="3" a="1"/>
  <c r="E69" i="3" a="1"/>
  <c r="I72" i="3" a="1"/>
  <c r="U58" i="3" a="1"/>
  <c r="T83" i="3" a="1"/>
  <c r="B93" i="3" a="1"/>
  <c r="V70" i="3" a="1"/>
  <c r="R82" i="3" a="1"/>
  <c r="C69" i="3" a="1"/>
  <c r="I57" i="3" a="1"/>
  <c r="E83" i="3" a="1"/>
  <c r="K69" i="3" a="1"/>
  <c r="Q57" i="3" a="1"/>
  <c r="M88" i="3" a="1"/>
  <c r="C75" i="3" a="1"/>
  <c r="C83" i="3" a="1"/>
  <c r="D71" i="3" a="1"/>
  <c r="P92" i="3" a="1"/>
  <c r="I77" i="3" a="1"/>
  <c r="D66" i="3" a="1"/>
  <c r="F64" i="3" a="1"/>
  <c r="M63" i="3" a="1"/>
  <c r="U67" i="3" a="1"/>
  <c r="N49" i="3" a="1"/>
  <c r="D64" i="3" a="1"/>
  <c r="S69" i="3" a="1"/>
  <c r="H59" i="3" a="1"/>
  <c r="X63" i="3" a="1"/>
  <c r="Q70" i="3" a="1"/>
  <c r="L68" i="3" a="1"/>
  <c r="J49" i="3" a="1"/>
  <c r="K68" i="3" a="1"/>
  <c r="F65" i="3" a="1"/>
  <c r="J51" i="3" a="1"/>
  <c r="N66" i="3" a="1"/>
  <c r="B65" i="3" a="1"/>
  <c r="X62" i="3" a="1"/>
  <c r="A50" i="3" a="1"/>
  <c r="R47" i="3" a="1"/>
  <c r="K38" i="3" a="1"/>
  <c r="R23" i="3" a="1"/>
  <c r="C63" i="3" a="1"/>
  <c r="P41" i="3" a="1"/>
  <c r="B32" i="3" a="1"/>
  <c r="B25" i="3" a="1"/>
  <c r="J15" i="3" a="1"/>
  <c r="P44" i="3" a="1"/>
  <c r="U34" i="3" a="1"/>
  <c r="I13" i="3" a="1"/>
  <c r="R50" i="3" a="1"/>
  <c r="O36" i="3" a="1"/>
  <c r="I29" i="3" a="1"/>
  <c r="A24" i="3" a="1"/>
  <c r="Q16" i="3" a="1"/>
  <c r="U51" i="3" a="1"/>
  <c r="W41" i="3" a="1"/>
  <c r="H32" i="3" a="1"/>
  <c r="X26" i="3" a="1"/>
  <c r="V57" i="3" a="1"/>
  <c r="E44" i="3" a="1"/>
  <c r="P46" i="3" a="1"/>
  <c r="R34" i="3" a="1"/>
  <c r="F147" i="3" a="1"/>
  <c r="M147" i="3" a="1"/>
  <c r="V129" i="3" a="1"/>
  <c r="N126" i="3" a="1"/>
  <c r="D141" i="3" a="1"/>
  <c r="H117" i="3" a="1"/>
  <c r="O107" i="3" a="1"/>
  <c r="V114" i="3" a="1"/>
  <c r="E135" i="3" a="1"/>
  <c r="V128" i="3" a="1"/>
  <c r="K117" i="3" a="1"/>
  <c r="M116" i="3" a="1"/>
  <c r="G117" i="3" a="1"/>
  <c r="M110" i="3" a="1"/>
  <c r="P120" i="3" a="1"/>
  <c r="I106" i="3" a="1"/>
  <c r="D94" i="3" a="1"/>
  <c r="I101" i="3" a="1"/>
  <c r="S95" i="3" a="1"/>
  <c r="L78" i="3" a="1"/>
  <c r="P88" i="3" a="1"/>
  <c r="I89" i="3" a="1"/>
  <c r="B104" i="3" a="1"/>
  <c r="A90" i="3" a="1"/>
  <c r="B96" i="3" a="1"/>
  <c r="R80" i="3" a="1"/>
  <c r="C103" i="3" a="1"/>
  <c r="J81" i="3" a="1"/>
  <c r="X88" i="3" a="1"/>
  <c r="O68" i="3" a="1"/>
  <c r="K71" i="3" a="1"/>
  <c r="C87" i="3" a="1"/>
  <c r="N86" i="3" a="1"/>
  <c r="S66" i="3" a="1"/>
  <c r="V79" i="3" a="1"/>
  <c r="H65" i="3" a="1"/>
  <c r="V84" i="3" a="1"/>
  <c r="B95" i="3" a="1"/>
  <c r="W70" i="3" a="1"/>
  <c r="D58" i="3" a="1"/>
  <c r="S82" i="3" a="1"/>
  <c r="B88" i="3" a="1"/>
  <c r="L69" i="3" a="1"/>
  <c r="Q81" i="3" a="1"/>
  <c r="J68" i="3" a="1"/>
  <c r="P56" i="3" a="1"/>
  <c r="E82" i="3" a="1"/>
  <c r="R68" i="3" a="1"/>
  <c r="G56" i="3" a="1"/>
  <c r="I87" i="3" a="1"/>
  <c r="J74" i="3" a="1"/>
  <c r="B82" i="3" a="1"/>
  <c r="K70" i="3" a="1"/>
  <c r="K91" i="3" a="1"/>
  <c r="C76" i="3" a="1"/>
  <c r="K65" i="3" a="1"/>
  <c r="R61" i="3" a="1"/>
  <c r="G62" i="3" a="1"/>
  <c r="B67" i="3" a="1"/>
  <c r="D49" i="3" a="1"/>
  <c r="T62" i="3" a="1"/>
  <c r="Q68" i="3" a="1"/>
  <c r="V58" i="3" a="1"/>
  <c r="R62" i="3" a="1"/>
  <c r="N69" i="3" a="1"/>
  <c r="R66" i="3" a="1"/>
  <c r="G48" i="3" a="1"/>
  <c r="Q66" i="3" a="1"/>
  <c r="M64" i="3" a="1"/>
  <c r="X50" i="3" a="1"/>
  <c r="U65" i="3" a="1"/>
  <c r="J62" i="3" a="1"/>
  <c r="I62" i="3" a="1"/>
  <c r="F49" i="3" a="1"/>
  <c r="G47" i="3" a="1"/>
  <c r="R37" i="3" a="1"/>
  <c r="B23" i="3" a="1"/>
  <c r="C61" i="3" a="1"/>
  <c r="G41" i="3" a="1"/>
  <c r="R31" i="3" a="1"/>
  <c r="J24" i="3" a="1"/>
  <c r="B15" i="3" a="1"/>
  <c r="G44" i="3" a="1"/>
  <c r="L34" i="3" a="1"/>
  <c r="A13" i="3" a="1"/>
  <c r="C50" i="3" a="1"/>
  <c r="V35" i="3" a="1"/>
  <c r="A29" i="3" a="1"/>
  <c r="Q23" i="3" a="1"/>
  <c r="I16" i="3" a="1"/>
  <c r="Q50" i="3" a="1"/>
  <c r="N41" i="3" a="1"/>
  <c r="X31" i="3" a="1"/>
  <c r="P26" i="3" a="1"/>
  <c r="Q54" i="3" a="1"/>
  <c r="T43" i="3" a="1"/>
  <c r="S45" i="3" a="1"/>
  <c r="A34" i="3" a="1"/>
  <c r="W47" i="3" a="1"/>
  <c r="T57" i="3" a="1"/>
  <c r="A40" i="3" a="1"/>
  <c r="V30" i="3" a="1"/>
  <c r="N46" i="3" a="1"/>
  <c r="K36" i="3" a="1"/>
  <c r="M26" i="3" a="1"/>
  <c r="U13" i="3" a="1"/>
  <c r="G49" i="3" a="1"/>
  <c r="F33" i="3" a="1"/>
  <c r="U21" i="3" a="1"/>
  <c r="E13" i="3" a="1"/>
  <c r="E6" i="3" a="1"/>
  <c r="B44" i="3" a="1"/>
  <c r="X34" i="3" a="1"/>
  <c r="L20" i="3" a="1"/>
  <c r="Q48" i="3" a="1"/>
  <c r="H35" i="3" a="1"/>
  <c r="T28" i="3" a="1"/>
  <c r="D19" i="3" a="1"/>
  <c r="T10" i="3" a="1"/>
  <c r="P48" i="3" a="1"/>
  <c r="L33" i="3" a="1"/>
  <c r="S27" i="3" a="1"/>
  <c r="K22" i="3" a="1"/>
  <c r="L144" i="3" a="1"/>
  <c r="Q128" i="3" a="1"/>
  <c r="K135" i="3" a="1"/>
  <c r="K143" i="3" a="1"/>
  <c r="F140" i="3" a="1"/>
  <c r="O116" i="3" a="1"/>
  <c r="V106" i="3" a="1"/>
  <c r="M112" i="3" a="1"/>
  <c r="T131" i="3" a="1"/>
  <c r="S124" i="3" a="1"/>
  <c r="G107" i="3" a="1"/>
  <c r="E114" i="3" a="1"/>
  <c r="L113" i="3" a="1"/>
  <c r="L109" i="3" a="1"/>
  <c r="V116" i="3" a="1"/>
  <c r="K105" i="3" a="1"/>
  <c r="E90" i="3" a="1"/>
  <c r="T96" i="3" a="1"/>
  <c r="M90" i="3" a="1"/>
  <c r="L77" i="3" a="1"/>
  <c r="W87" i="3" a="1"/>
  <c r="S116" i="3" a="1"/>
  <c r="E98" i="3" a="1"/>
  <c r="P89" i="3" a="1"/>
  <c r="S94" i="3" a="1"/>
  <c r="C113" i="3" a="1"/>
  <c r="X100" i="3" a="1"/>
  <c r="Q80" i="3" a="1"/>
  <c r="D86" i="3" a="1"/>
  <c r="V67" i="3" a="1"/>
  <c r="R70" i="3" a="1"/>
  <c r="C86" i="3" a="1"/>
  <c r="X83" i="3" a="1"/>
  <c r="B66" i="3" a="1"/>
  <c r="N78" i="3" a="1"/>
  <c r="O64" i="3" a="1"/>
  <c r="J84" i="3" a="1"/>
  <c r="E93" i="3" a="1"/>
  <c r="F70" i="3" a="1"/>
  <c r="K57" i="3" a="1"/>
  <c r="R81" i="3" a="1"/>
  <c r="I86" i="3" a="1"/>
  <c r="S68" i="3" a="1"/>
  <c r="R79" i="3" a="1"/>
  <c r="A68" i="3" a="1"/>
  <c r="W55" i="3" a="1"/>
  <c r="P81" i="3" a="1"/>
  <c r="I68" i="3" a="1"/>
  <c r="N55" i="3" a="1"/>
  <c r="T86" i="3" a="1"/>
  <c r="A74" i="3" a="1"/>
  <c r="A81" i="3" a="1"/>
  <c r="R69" i="3" a="1"/>
  <c r="P90" i="3" a="1"/>
  <c r="J75" i="3" a="1"/>
  <c r="R64" i="3" a="1"/>
  <c r="E61" i="3" a="1"/>
  <c r="H60" i="3" a="1"/>
  <c r="P61" i="3" a="1"/>
  <c r="S48" i="3" a="1"/>
  <c r="Q60" i="3" a="1"/>
  <c r="S67" i="3" a="1"/>
  <c r="X57" i="3" a="1"/>
  <c r="B61" i="3" a="1"/>
  <c r="O67" i="3" a="1"/>
  <c r="F63" i="3" a="1"/>
  <c r="N47" i="3" a="1"/>
  <c r="X65" i="3" a="1"/>
  <c r="T63" i="3" a="1"/>
  <c r="D50" i="3" a="1"/>
  <c r="D65" i="3" a="1"/>
  <c r="S61" i="3" a="1"/>
  <c r="I60" i="3" a="1"/>
  <c r="U48" i="3" a="1"/>
  <c r="J46" i="3" a="1"/>
  <c r="A37" i="3" a="1"/>
  <c r="R22" i="3" a="1"/>
  <c r="P59" i="3" a="1"/>
  <c r="N40" i="3" a="1"/>
  <c r="J31" i="3" a="1"/>
  <c r="J23" i="3" a="1"/>
  <c r="B14" i="3" a="1"/>
  <c r="V43" i="3" a="1"/>
  <c r="S33" i="3" a="1"/>
  <c r="X143" i="3" a="1"/>
  <c r="I127" i="3" a="1"/>
  <c r="Q134" i="3" a="1"/>
  <c r="G141" i="3" a="1"/>
  <c r="D137" i="3" a="1"/>
  <c r="C114" i="3" a="1"/>
  <c r="J104" i="3" a="1"/>
  <c r="A110" i="3" a="1"/>
  <c r="E124" i="3" a="1"/>
  <c r="R124" i="3" a="1"/>
  <c r="R106" i="3" a="1"/>
  <c r="F111" i="3" a="1"/>
  <c r="U112" i="3" a="1"/>
  <c r="A106" i="3" a="1"/>
  <c r="J107" i="3" a="1"/>
  <c r="N103" i="3" a="1"/>
  <c r="F86" i="3" a="1"/>
  <c r="H96" i="3" a="1"/>
  <c r="D90" i="3" a="1"/>
  <c r="T76" i="3" a="1"/>
  <c r="P121" i="3" a="1"/>
  <c r="R113" i="3" a="1"/>
  <c r="F95" i="3" a="1"/>
  <c r="G89" i="3" a="1"/>
  <c r="W93" i="3" a="1"/>
  <c r="A111" i="3" a="1"/>
  <c r="O98" i="3" a="1"/>
  <c r="H80" i="3" a="1"/>
  <c r="C85" i="3" a="1"/>
  <c r="H100" i="3" a="1"/>
  <c r="P69" i="3" a="1"/>
  <c r="B85" i="3" a="1"/>
  <c r="W82" i="3" a="1"/>
  <c r="X64" i="3" a="1"/>
  <c r="F77" i="3" a="1"/>
  <c r="V63" i="3" a="1"/>
  <c r="I82" i="3" a="1"/>
  <c r="S88" i="3" a="1"/>
  <c r="M69" i="3" a="1"/>
  <c r="R56" i="3" a="1"/>
  <c r="F80" i="3" a="1"/>
  <c r="H85" i="3" a="1"/>
  <c r="B68" i="3" a="1"/>
  <c r="G79" i="3" a="1"/>
  <c r="H67" i="3" a="1"/>
  <c r="F55" i="3" a="1"/>
  <c r="D81" i="3" a="1"/>
  <c r="W66" i="3" a="1"/>
  <c r="D54" i="3" a="1"/>
  <c r="G86" i="3" a="1"/>
  <c r="H73" i="3" a="1"/>
  <c r="M80" i="3" a="1"/>
  <c r="I69" i="3" a="1"/>
  <c r="C89" i="3" a="1"/>
  <c r="A75" i="3" a="1"/>
  <c r="I64" i="3" a="1"/>
  <c r="S60" i="3" a="1"/>
  <c r="X58" i="3" a="1"/>
  <c r="D61" i="3" a="1"/>
  <c r="B48" i="3" a="1"/>
  <c r="I59" i="3" a="1"/>
  <c r="K63" i="3" a="1"/>
  <c r="N57" i="3" a="1"/>
  <c r="O60" i="3" a="1"/>
  <c r="I65" i="3" a="1"/>
  <c r="K61" i="3" a="1"/>
  <c r="U46" i="3" a="1"/>
  <c r="G65" i="3" a="1"/>
  <c r="M62" i="3" a="1"/>
  <c r="F48" i="3" a="1"/>
  <c r="K64" i="3" a="1"/>
  <c r="F61" i="3" a="1"/>
  <c r="W59" i="3" a="1"/>
  <c r="L48" i="3" a="1"/>
  <c r="M45" i="3" a="1"/>
  <c r="H36" i="3" a="1"/>
  <c r="R21" i="3" a="1"/>
  <c r="G58" i="3" a="1"/>
  <c r="U39" i="3" a="1"/>
  <c r="B31" i="3" a="1"/>
  <c r="J22" i="3" a="1"/>
  <c r="J13" i="3" a="1"/>
  <c r="M43" i="3" a="1"/>
  <c r="B33" i="3" a="1"/>
  <c r="A12" i="3" a="1"/>
  <c r="M48" i="3" a="1"/>
  <c r="T34" i="3" a="1"/>
  <c r="I28" i="3" a="1"/>
  <c r="A23" i="3" a="1"/>
  <c r="A15" i="3" a="1"/>
  <c r="W57" i="3" a="1"/>
  <c r="T40" i="3" a="1"/>
  <c r="H31" i="3" a="1"/>
  <c r="X25" i="3" a="1"/>
  <c r="D53" i="3" a="1"/>
  <c r="B43" i="3" a="1"/>
  <c r="A43" i="3" a="1"/>
  <c r="O32" i="3" a="1"/>
  <c r="B47" i="3" a="1"/>
  <c r="K54" i="3" a="1"/>
  <c r="O38" i="3" a="1"/>
  <c r="F30" i="3" a="1"/>
  <c r="L44" i="3" a="1"/>
  <c r="A35" i="3" a="1"/>
  <c r="U25" i="3" a="1"/>
  <c r="E10" i="3" a="1"/>
  <c r="F45" i="3" a="1"/>
  <c r="E32" i="3" a="1"/>
  <c r="U20" i="3" a="1"/>
  <c r="M12" i="3" a="1"/>
  <c r="Q58" i="3" a="1"/>
  <c r="V42" i="3" a="1"/>
  <c r="N33" i="3" a="1"/>
  <c r="T17" i="3" a="1"/>
  <c r="L46" i="3" a="1"/>
  <c r="V33" i="3" a="1"/>
  <c r="D28" i="3" a="1"/>
  <c r="D18" i="3" a="1"/>
  <c r="D10" i="3" a="1"/>
  <c r="D45" i="3" a="1"/>
  <c r="K32" i="3" a="1"/>
  <c r="C27" i="3" a="1"/>
  <c r="S21" i="3" a="1"/>
  <c r="I38" i="3" a="1"/>
  <c r="A150" i="3" a="1"/>
  <c r="H150" i="3" a="1"/>
  <c r="O124" i="3" a="1"/>
  <c r="L124" i="3" a="1"/>
  <c r="G131" i="3" a="1"/>
  <c r="H136" i="3" a="1"/>
  <c r="O125" i="3" a="1"/>
  <c r="Q104" i="3" a="1"/>
  <c r="K112" i="3" a="1"/>
  <c r="S108" i="3" a="1"/>
  <c r="K104" i="3" a="1"/>
  <c r="E110" i="3" a="1"/>
  <c r="I116" i="3" a="1"/>
  <c r="V100" i="3" a="1"/>
  <c r="M118" i="3" a="1"/>
  <c r="J97" i="3" a="1"/>
  <c r="M85" i="3" a="1"/>
  <c r="T95" i="3" a="1"/>
  <c r="S89" i="3" a="1"/>
  <c r="C107" i="3" a="1"/>
  <c r="V109" i="3" a="1"/>
  <c r="L111" i="3" a="1"/>
  <c r="V119" i="3" a="1"/>
  <c r="N88" i="3" a="1"/>
  <c r="M93" i="3" a="1"/>
  <c r="J109" i="3" a="1"/>
  <c r="M96" i="3" a="1"/>
  <c r="X79" i="3" a="1"/>
  <c r="B83" i="3" a="1"/>
  <c r="X95" i="3" a="1"/>
  <c r="W68" i="3" a="1"/>
  <c r="M84" i="3" a="1"/>
  <c r="V81" i="3" a="1"/>
  <c r="G64" i="3" a="1"/>
  <c r="S76" i="3" a="1"/>
  <c r="R107" i="3" a="1"/>
  <c r="G80" i="3" a="1"/>
  <c r="M87" i="3" a="1"/>
  <c r="T68" i="3" a="1"/>
  <c r="I56" i="3" a="1"/>
  <c r="S79" i="3" a="1"/>
  <c r="H84" i="3" a="1"/>
  <c r="Q67" i="3" a="1"/>
  <c r="J78" i="3" a="1"/>
  <c r="O66" i="3" a="1"/>
  <c r="M54" i="3" a="1"/>
  <c r="O80" i="3" a="1"/>
  <c r="F66" i="3" a="1"/>
  <c r="K53" i="3" a="1"/>
  <c r="S85" i="3" a="1"/>
  <c r="P101" i="3" a="1"/>
  <c r="B80" i="3" a="1"/>
  <c r="P68" i="3" a="1"/>
  <c r="K88" i="3" a="1"/>
  <c r="H74" i="3" a="1"/>
  <c r="P63" i="3" a="1"/>
  <c r="V59" i="3" a="1"/>
  <c r="N58" i="3" a="1"/>
  <c r="R60" i="3" a="1"/>
  <c r="Q47" i="3" a="1"/>
  <c r="W58" i="3" a="1"/>
  <c r="T80" i="3" a="1"/>
  <c r="D57" i="3" a="1"/>
  <c r="D60" i="3" a="1"/>
  <c r="P64" i="3" a="1"/>
  <c r="M60" i="3" a="1"/>
  <c r="D46" i="3" a="1"/>
  <c r="N64" i="3" a="1"/>
  <c r="J61" i="3" a="1"/>
  <c r="M47" i="3" a="1"/>
  <c r="V82" i="3" a="1"/>
  <c r="T60" i="3" a="1"/>
  <c r="A59" i="3" a="1"/>
  <c r="D63" i="3" a="1"/>
  <c r="Q44" i="3" a="1"/>
  <c r="O35" i="3" a="1"/>
  <c r="R20" i="3" a="1"/>
  <c r="C57" i="3" a="1"/>
  <c r="L39" i="3" a="1"/>
  <c r="R30" i="3" a="1"/>
  <c r="B22" i="3" a="1"/>
  <c r="G69" i="3" a="1"/>
  <c r="D43" i="3" a="1"/>
  <c r="I21" i="3" a="1"/>
  <c r="Q11" i="3" a="1"/>
  <c r="E47" i="3" a="1"/>
  <c r="C34" i="3" a="1"/>
  <c r="A28" i="3" a="1"/>
  <c r="Q22" i="3" a="1"/>
  <c r="Q12" i="3" a="1"/>
  <c r="V56" i="3" a="1"/>
  <c r="C40" i="3" a="1"/>
  <c r="X30" i="3" a="1"/>
  <c r="P25" i="3" a="1"/>
  <c r="K52" i="3" a="1"/>
  <c r="D41" i="3" a="1"/>
  <c r="P42" i="3" a="1"/>
  <c r="G32" i="3" a="1"/>
  <c r="O46" i="3" a="1"/>
  <c r="X52" i="3" a="1"/>
  <c r="V37" i="3" a="1"/>
  <c r="V29" i="3" a="1"/>
  <c r="C44" i="3" a="1"/>
  <c r="H34" i="3" a="1"/>
  <c r="M25" i="3" a="1"/>
  <c r="U9" i="3" a="1"/>
  <c r="Q43" i="3" a="1"/>
  <c r="U31" i="3" a="1"/>
  <c r="M20" i="3" a="1"/>
  <c r="E12" i="3" a="1"/>
  <c r="L57" i="3" a="1"/>
  <c r="M42" i="3" a="1"/>
  <c r="U32" i="3" a="1"/>
  <c r="D17" i="3" a="1"/>
  <c r="A46" i="3" a="1"/>
  <c r="E33" i="3" a="1"/>
  <c r="T27" i="3" a="1"/>
  <c r="L17" i="3" a="1"/>
  <c r="T9" i="3" a="1"/>
  <c r="Q41" i="3" a="1"/>
  <c r="C32" i="3" a="1"/>
  <c r="S26" i="3" a="1"/>
  <c r="K21" i="3" a="1"/>
  <c r="W36" i="3" a="1"/>
  <c r="U3" i="3" a="1"/>
  <c r="O24" i="3" a="1"/>
  <c r="D6" i="3" a="1"/>
  <c r="G148" i="3" a="1"/>
  <c r="S149" i="3" a="1"/>
  <c r="Q123" i="3" a="1"/>
  <c r="X123" i="3" a="1"/>
  <c r="M129" i="3" a="1"/>
  <c r="O133" i="3" a="1"/>
  <c r="R116" i="3" a="1"/>
  <c r="N102" i="3" a="1"/>
  <c r="F139" i="3" a="1"/>
  <c r="H107" i="3" a="1"/>
  <c r="F135" i="3" a="1"/>
  <c r="G105" i="3" a="1"/>
  <c r="N109" i="3" a="1"/>
  <c r="J100" i="3" a="1"/>
  <c r="J106" i="3" a="1"/>
  <c r="X92" i="3" a="1"/>
  <c r="T84" i="3" a="1"/>
  <c r="W94" i="3" a="1"/>
  <c r="J89" i="3" a="1"/>
  <c r="E104" i="3" a="1"/>
  <c r="X105" i="3" a="1"/>
  <c r="G108" i="3" a="1"/>
  <c r="A116" i="3" a="1"/>
  <c r="U87" i="3" a="1"/>
  <c r="R92" i="3" a="1"/>
  <c r="S106" i="3" a="1"/>
  <c r="M95" i="3" a="1"/>
  <c r="P79" i="3" a="1"/>
  <c r="N79" i="3" a="1"/>
  <c r="J92" i="3" a="1"/>
  <c r="M67" i="3" a="1"/>
  <c r="A84" i="3" a="1"/>
  <c r="A79" i="3" a="1"/>
  <c r="U62" i="3" a="1"/>
  <c r="X75" i="3" a="1"/>
  <c r="B99" i="3" a="1"/>
  <c r="W78" i="3" a="1"/>
  <c r="H83" i="3" a="1"/>
  <c r="C68" i="3" a="1"/>
  <c r="P55" i="3" a="1"/>
  <c r="K78" i="3" a="1"/>
  <c r="G83" i="3" a="1"/>
  <c r="X66" i="3" a="1"/>
  <c r="W77" i="3" a="1"/>
  <c r="V65" i="3" a="1"/>
  <c r="T53" i="3" a="1"/>
  <c r="I78" i="3" a="1"/>
  <c r="T64" i="3" a="1"/>
  <c r="R52" i="3" a="1"/>
  <c r="F85" i="3" a="1"/>
  <c r="A97" i="3" a="1"/>
  <c r="O79" i="3" a="1"/>
  <c r="W67" i="3" a="1"/>
  <c r="S87" i="3" a="1"/>
  <c r="O73" i="3" a="1"/>
  <c r="W62" i="3" a="1"/>
  <c r="K59" i="3" a="1"/>
  <c r="P57" i="3" a="1"/>
  <c r="T59" i="3" a="1"/>
  <c r="X46" i="3" a="1"/>
  <c r="M58" i="3" a="1"/>
  <c r="E73" i="3" a="1"/>
  <c r="Q56" i="3" a="1"/>
  <c r="R59" i="3" a="1"/>
  <c r="W63" i="3" a="1"/>
  <c r="C60" i="3" a="1"/>
  <c r="K45" i="3" a="1"/>
  <c r="U63" i="3" a="1"/>
  <c r="S129" i="3" a="1"/>
  <c r="C129" i="3" a="1"/>
  <c r="F145" i="3" a="1"/>
  <c r="T135" i="3" a="1"/>
  <c r="I125" i="3" a="1"/>
  <c r="P130" i="3" a="1"/>
  <c r="C131" i="3" a="1"/>
  <c r="T123" i="3" a="1"/>
  <c r="X101" i="3" a="1"/>
  <c r="H79" i="3" a="1"/>
  <c r="D95" i="3" a="1"/>
  <c r="B77" i="3" a="1"/>
  <c r="R78" i="3" a="1"/>
  <c r="J59" i="3" a="1"/>
  <c r="B54" i="3" a="1"/>
  <c r="R44" i="3" a="1"/>
  <c r="T46" i="3" a="1"/>
  <c r="B59" i="3" a="1"/>
  <c r="X51" i="3" a="1"/>
  <c r="B24" i="3" a="1"/>
  <c r="B38" i="3" a="1"/>
  <c r="B20" i="3" a="1"/>
  <c r="E40" i="3" a="1"/>
  <c r="I10" i="3" a="1"/>
  <c r="A38" i="3" a="1"/>
  <c r="Q26" i="3" a="1"/>
  <c r="Q15" i="3" a="1"/>
  <c r="Q46" i="3" a="1"/>
  <c r="H30" i="3" a="1"/>
  <c r="P22" i="3" a="1"/>
  <c r="K40" i="3" a="1"/>
  <c r="I39" i="3" a="1"/>
  <c r="R51" i="3" a="1"/>
  <c r="K60" i="3" a="1"/>
  <c r="T36" i="3" a="1"/>
  <c r="J54" i="3" a="1"/>
  <c r="P39" i="3" a="1"/>
  <c r="E27" i="3" a="1"/>
  <c r="E9" i="3" a="1"/>
  <c r="G39" i="3" a="1"/>
  <c r="U23" i="3" a="1"/>
  <c r="M14" i="3" a="1"/>
  <c r="N61" i="3" a="1"/>
  <c r="J41" i="3" a="1"/>
  <c r="D24" i="3" a="1"/>
  <c r="D52" i="3" a="1"/>
  <c r="A36" i="3" a="1"/>
  <c r="T25" i="3" a="1"/>
  <c r="T13" i="3" a="1"/>
  <c r="C56" i="3" a="1"/>
  <c r="N34" i="3" a="1"/>
  <c r="K26" i="3" a="1"/>
  <c r="C20" i="3" a="1"/>
  <c r="F12" i="3" a="1"/>
  <c r="R5" i="3" a="1"/>
  <c r="S14" i="3" a="1"/>
  <c r="W9" i="3" a="1"/>
  <c r="R9" i="3" a="1"/>
  <c r="H17" i="3" a="1"/>
  <c r="P14" i="3" a="1"/>
  <c r="D2" i="3" a="1"/>
  <c r="K11" i="3" a="1"/>
  <c r="T2" i="3" a="1"/>
  <c r="S47" i="3" a="1"/>
  <c r="O14" i="3" a="1"/>
  <c r="L36" i="3" a="1"/>
  <c r="O17" i="3" a="1"/>
  <c r="V27" i="3" a="1"/>
  <c r="H11" i="3" a="1"/>
  <c r="W16" i="3" a="1"/>
  <c r="J8" i="3" a="1"/>
  <c r="V9" i="3" a="1"/>
  <c r="S15" i="3" a="1"/>
  <c r="T4" i="3" a="1"/>
  <c r="H8" i="3" a="1"/>
  <c r="K130" i="3" a="1"/>
  <c r="B120" i="3" a="1"/>
  <c r="G101" i="3" a="1"/>
  <c r="H78" i="3" a="1"/>
  <c r="E92" i="3" a="1"/>
  <c r="O76" i="3" a="1"/>
  <c r="G78" i="3" a="1"/>
  <c r="C58" i="3" a="1"/>
  <c r="Q64" i="3" a="1"/>
  <c r="I44" i="3" a="1"/>
  <c r="C46" i="3" a="1"/>
  <c r="S57" i="3" a="1"/>
  <c r="O48" i="3" a="1"/>
  <c r="R19" i="3" a="1"/>
  <c r="I37" i="3" a="1"/>
  <c r="B19" i="3" a="1"/>
  <c r="C39" i="3" a="1"/>
  <c r="I8" i="3" a="1"/>
  <c r="H37" i="3" a="1"/>
  <c r="A26" i="3" a="1"/>
  <c r="I11" i="3" a="1"/>
  <c r="I45" i="3" a="1"/>
  <c r="X29" i="3" a="1"/>
  <c r="K62" i="3" a="1"/>
  <c r="R39" i="3" a="1"/>
  <c r="P38" i="3" a="1"/>
  <c r="W49" i="3" a="1"/>
  <c r="M56" i="3" a="1"/>
  <c r="C36" i="3" a="1"/>
  <c r="P53" i="3" a="1"/>
  <c r="W38" i="3" a="1"/>
  <c r="U26" i="3" a="1"/>
  <c r="M8" i="3" a="1"/>
  <c r="N38" i="3" a="1"/>
  <c r="M23" i="3" a="1"/>
  <c r="E14" i="3" a="1"/>
  <c r="E55" i="3" a="1"/>
  <c r="A41" i="3" a="1"/>
  <c r="L23" i="3" a="1"/>
  <c r="M51" i="3" a="1"/>
  <c r="O34" i="3" a="1"/>
  <c r="L25" i="3" a="1"/>
  <c r="D13" i="3" a="1"/>
  <c r="E54" i="3" a="1"/>
  <c r="U33" i="3" a="1"/>
  <c r="C26" i="3" a="1"/>
  <c r="S19" i="3" a="1"/>
  <c r="O11" i="3" a="1"/>
  <c r="I61" i="3" a="1"/>
  <c r="C14" i="3" a="1"/>
  <c r="A3" i="3" a="1"/>
  <c r="O8" i="3" a="1"/>
  <c r="H147" i="3" a="1"/>
  <c r="B109" i="3" a="1"/>
  <c r="W101" i="3" a="1"/>
  <c r="C79" i="3" a="1"/>
  <c r="O77" i="3" a="1"/>
  <c r="E65" i="3" a="1"/>
  <c r="F67" i="3" a="1"/>
  <c r="Q53" i="3" a="1"/>
  <c r="J58" i="3" a="1"/>
  <c r="F42" i="3" a="1"/>
  <c r="J45" i="3" a="1"/>
  <c r="V73" i="3" a="1"/>
  <c r="D48" i="3" a="1"/>
  <c r="B18" i="3" a="1"/>
  <c r="P36" i="3" a="1"/>
  <c r="J17" i="3" a="1"/>
  <c r="X36" i="3" a="1"/>
  <c r="H68" i="3" a="1"/>
  <c r="E35" i="3" a="1"/>
  <c r="I25" i="3" a="1"/>
  <c r="Q10" i="3" a="1"/>
  <c r="Q42" i="3" a="1"/>
  <c r="P29" i="3" a="1"/>
  <c r="F59" i="3" a="1"/>
  <c r="U57" i="3" a="1"/>
  <c r="W37" i="3" a="1"/>
  <c r="I49" i="3" a="1"/>
  <c r="Q51" i="3" a="1"/>
  <c r="J35" i="3" a="1"/>
  <c r="O51" i="3" a="1"/>
  <c r="F38" i="3" a="1"/>
  <c r="E26" i="3" a="1"/>
  <c r="U5" i="3" a="1"/>
  <c r="U37" i="3" a="1"/>
  <c r="E23" i="3" a="1"/>
  <c r="M13" i="3" a="1"/>
  <c r="H54" i="3" a="1"/>
  <c r="H40" i="3" a="1"/>
  <c r="T22" i="3" a="1"/>
  <c r="V50" i="3" a="1"/>
  <c r="T32" i="3" a="1"/>
  <c r="D25" i="3" a="1"/>
  <c r="T12" i="3" a="1"/>
  <c r="S52" i="3" a="1"/>
  <c r="S32" i="3" a="1"/>
  <c r="S25" i="3" a="1"/>
  <c r="K19" i="3" a="1"/>
  <c r="X10" i="3" a="1"/>
  <c r="C42" i="3" a="1"/>
  <c r="K13" i="3" a="1"/>
  <c r="R6" i="3" a="1"/>
  <c r="B8" i="3" a="1"/>
  <c r="H15" i="3" a="1"/>
  <c r="P12" i="3" a="1"/>
  <c r="B11" i="3" a="1"/>
  <c r="G10" i="3" a="1"/>
  <c r="F44" i="3" a="1"/>
  <c r="C35" i="3" a="1"/>
  <c r="G13" i="3" a="1"/>
  <c r="P33" i="3" a="1"/>
  <c r="G28" i="3" a="1"/>
  <c r="F25" i="3" a="1"/>
  <c r="K8" i="3" a="1"/>
  <c r="E49" i="3" a="1"/>
  <c r="W6" i="3" a="1"/>
  <c r="O43" i="3" a="1"/>
  <c r="K14" i="3" a="1"/>
  <c r="G29" i="3" a="1"/>
  <c r="V6" i="3" a="1"/>
  <c r="N10" i="3" a="1"/>
  <c r="W24" i="3" a="1"/>
  <c r="H7" i="3" a="1"/>
  <c r="G8" i="3" a="1"/>
  <c r="G40" i="3" a="1"/>
  <c r="C25" i="3" a="1"/>
  <c r="P8" i="3" a="1"/>
  <c r="C2" i="3" a="1"/>
  <c r="S8" i="3" a="1"/>
  <c r="O20" i="3" a="1"/>
  <c r="B9" i="3" a="1"/>
  <c r="G20" i="3" a="1"/>
  <c r="X11" i="3" a="1"/>
  <c r="D47" i="3" a="1"/>
  <c r="X19" i="3" a="1"/>
  <c r="H6" i="3" a="1"/>
  <c r="K18" i="3" a="1"/>
  <c r="X44" i="3" a="1"/>
  <c r="G5" i="3" a="1"/>
  <c r="J11" i="3" a="1"/>
  <c r="F10" i="3" a="1"/>
  <c r="C11" i="3" a="1"/>
  <c r="T37" i="3" a="1"/>
  <c r="E45" i="3" a="1"/>
  <c r="L22" i="3" a="1"/>
  <c r="S30" i="3" a="1"/>
  <c r="D7" i="3" a="1"/>
  <c r="L5" i="3" a="1"/>
  <c r="O28" i="3" a="1"/>
  <c r="N21" i="3" a="1"/>
  <c r="P94" i="3" a="1"/>
  <c r="M136" i="3" a="1"/>
  <c r="B107" i="3" a="1"/>
  <c r="O100" i="3" a="1"/>
  <c r="F78" i="3" a="1"/>
  <c r="W75" i="3" a="1"/>
  <c r="L64" i="3" a="1"/>
  <c r="M66" i="3" a="1"/>
  <c r="G46" i="3" a="1"/>
  <c r="I55" i="3" a="1"/>
  <c r="Q71" i="3" a="1"/>
  <c r="A45" i="3" a="1"/>
  <c r="K66" i="3" a="1"/>
  <c r="H44" i="3" a="1"/>
  <c r="R17" i="3" a="1"/>
  <c r="F35" i="3" a="1"/>
  <c r="R16" i="3" a="1"/>
  <c r="G36" i="3" a="1"/>
  <c r="W56" i="3" a="1"/>
  <c r="J33" i="3" a="1"/>
  <c r="A25" i="3" a="1"/>
  <c r="A10" i="3" a="1"/>
  <c r="H42" i="3" a="1"/>
  <c r="X28" i="3" a="1"/>
  <c r="U53" i="3" a="1"/>
  <c r="O56" i="3" a="1"/>
  <c r="F37" i="3" a="1"/>
  <c r="I48" i="3" a="1"/>
  <c r="C51" i="3" a="1"/>
  <c r="Q34" i="3" a="1"/>
  <c r="B51" i="3" a="1"/>
  <c r="M37" i="3" a="1"/>
  <c r="E25" i="3" a="1"/>
  <c r="M5" i="3" a="1"/>
  <c r="L37" i="3" a="1"/>
  <c r="U22" i="3" a="1"/>
  <c r="U12" i="3" a="1"/>
  <c r="J50" i="3" a="1"/>
  <c r="O39" i="3" a="1"/>
  <c r="D22" i="3" a="1"/>
  <c r="R49" i="3" a="1"/>
  <c r="L32" i="3" a="1"/>
  <c r="L24" i="3" a="1"/>
  <c r="L12" i="3" a="1"/>
  <c r="C52" i="3" a="1"/>
  <c r="S31" i="3" a="1"/>
  <c r="K25" i="3" a="1"/>
  <c r="C19" i="3" a="1"/>
  <c r="J10" i="3" a="1"/>
  <c r="S39" i="3" a="1"/>
  <c r="S12" i="3" a="1"/>
  <c r="H21" i="3" a="1"/>
  <c r="O7" i="3" a="1"/>
  <c r="X13" i="3" a="1"/>
  <c r="B12" i="3" a="1"/>
  <c r="P35" i="3" a="1"/>
  <c r="P9" i="3" a="1"/>
  <c r="W30" i="3" a="1"/>
  <c r="Q33" i="3" a="1"/>
  <c r="O12" i="3" a="1"/>
  <c r="X20" i="3" a="1"/>
  <c r="D55" i="3" a="1"/>
  <c r="G24" i="3" a="1"/>
  <c r="W7" i="3" a="1"/>
  <c r="L53" i="3" a="1"/>
  <c r="K6" i="3" a="1"/>
  <c r="A39" i="3" a="1"/>
  <c r="S13" i="3" a="1"/>
  <c r="V16" i="3" a="1"/>
  <c r="I6" i="3" a="1"/>
  <c r="W3" i="3" a="1"/>
  <c r="F23" i="3" a="1"/>
  <c r="F19" i="3" a="1"/>
  <c r="S7" i="3" a="1"/>
  <c r="T35" i="3" a="1"/>
  <c r="Q9" i="3" a="1"/>
  <c r="S51" i="3" a="1"/>
  <c r="M36" i="3" a="1"/>
  <c r="L47" i="3" a="1"/>
  <c r="X33" i="3" a="1"/>
  <c r="D37" i="3" a="1"/>
  <c r="U24" i="3" a="1"/>
  <c r="E5" i="3" a="1"/>
  <c r="S36" i="3" a="1"/>
  <c r="M22" i="3" a="1"/>
  <c r="S49" i="3" a="1"/>
  <c r="T21" i="3" a="1"/>
  <c r="I47" i="3" a="1"/>
  <c r="D32" i="3" a="1"/>
  <c r="T23" i="3" a="1"/>
  <c r="D12" i="3" a="1"/>
  <c r="U50" i="3" a="1"/>
  <c r="S18" i="3" a="1"/>
  <c r="H38" i="3" a="1"/>
  <c r="S9" i="3" a="1"/>
  <c r="C7" i="3" a="1"/>
  <c r="N19" i="3" a="1"/>
  <c r="B37" i="3" a="1"/>
  <c r="K7" i="3" a="1"/>
  <c r="X4" i="3" a="1"/>
  <c r="O37" i="3" a="1"/>
  <c r="C13" i="3" a="1"/>
  <c r="J5" i="3" a="1"/>
  <c r="R8" i="3" a="1"/>
  <c r="W14" i="3" a="1"/>
  <c r="J34" i="3" a="1"/>
  <c r="P7" i="3" a="1"/>
  <c r="F9" i="3" a="1"/>
  <c r="P5" i="3" a="1"/>
  <c r="O2" i="3" a="1"/>
  <c r="A8" i="3" a="1"/>
  <c r="N8" i="3" a="1"/>
  <c r="S10" i="3" a="1"/>
  <c r="X5" i="3" a="1"/>
  <c r="E36" i="3" a="1"/>
  <c r="R46" i="3" a="1"/>
  <c r="W22" i="3" a="1"/>
  <c r="T5" i="3" a="1"/>
  <c r="H41" i="3" a="1"/>
  <c r="C18" i="3" a="1"/>
  <c r="Q39" i="3" a="1"/>
  <c r="V12" i="3" a="1"/>
  <c r="S5" i="3" a="1"/>
  <c r="V4" i="3" a="1"/>
  <c r="N27" i="3" a="1"/>
  <c r="J2" i="3" a="1"/>
  <c r="N12" i="3" a="1"/>
  <c r="K9" i="3" a="1"/>
  <c r="L128" i="3" a="1"/>
  <c r="S98" i="3" a="1"/>
  <c r="X104" i="3" a="1"/>
  <c r="J91" i="3" a="1"/>
  <c r="S81" i="3" a="1"/>
  <c r="C53" i="3" a="1"/>
  <c r="Q86" i="3" a="1"/>
  <c r="N45" i="3" a="1"/>
  <c r="E53" i="3" a="1"/>
  <c r="N70" i="3" a="1"/>
  <c r="I74" i="3" a="1"/>
  <c r="R65" i="3" a="1"/>
  <c r="W43" i="3" a="1"/>
  <c r="B17" i="3" a="1"/>
  <c r="R32" i="3" a="1"/>
  <c r="J16" i="3" a="1"/>
  <c r="N35" i="3" a="1"/>
  <c r="S54" i="3" a="1"/>
  <c r="Q32" i="3" a="1"/>
  <c r="Q24" i="3" a="1"/>
  <c r="E41" i="3" a="1"/>
  <c r="H28" i="3" a="1"/>
  <c r="O55" i="3" a="1"/>
  <c r="L50" i="3" a="1"/>
  <c r="U49" i="3" a="1"/>
  <c r="M11" i="3" a="1"/>
  <c r="V38" i="3" a="1"/>
  <c r="K31" i="3" a="1"/>
  <c r="C9" i="3" a="1"/>
  <c r="W29" i="3" a="1"/>
  <c r="N22" i="3" a="1"/>
  <c r="S4" i="3" a="1"/>
  <c r="V36" i="3" a="1"/>
  <c r="W27" i="3" a="1"/>
  <c r="V19" i="3" a="1"/>
  <c r="P18" i="3" a="1"/>
  <c r="U43" i="3" a="1"/>
  <c r="M4" i="3" a="1"/>
  <c r="K12" i="3" a="1"/>
  <c r="W4" i="3" a="1"/>
  <c r="G19" i="3" a="1"/>
  <c r="X32" i="3" a="1"/>
  <c r="D21" i="3" a="1"/>
  <c r="L31" i="3" a="1"/>
  <c r="L11" i="3" a="1"/>
  <c r="K24" i="3" a="1"/>
  <c r="F28" i="3" a="1"/>
  <c r="C8" i="3" a="1"/>
  <c r="U45" i="3" a="1"/>
  <c r="K3" i="3" a="1"/>
  <c r="X6" i="3" a="1"/>
  <c r="L8" i="3" a="1"/>
  <c r="O9" i="3" a="1"/>
  <c r="X132" i="3" a="1"/>
  <c r="B98" i="3" a="1"/>
  <c r="C104" i="3" a="1"/>
  <c r="J88" i="3" a="1"/>
  <c r="G81" i="3" a="1"/>
  <c r="A52" i="3" a="1"/>
  <c r="D85" i="3" a="1"/>
  <c r="L73" i="3" a="1"/>
  <c r="V74" i="3" a="1"/>
  <c r="E63" i="3" a="1"/>
  <c r="M71" i="3" a="1"/>
  <c r="O58" i="3" a="1"/>
  <c r="N43" i="3" a="1"/>
  <c r="R15" i="3" a="1"/>
  <c r="J32" i="3" a="1"/>
  <c r="O59" i="3" a="1"/>
  <c r="Q20" i="3" a="1"/>
  <c r="N52" i="3" a="1"/>
  <c r="I32" i="3" a="1"/>
  <c r="I24" i="3" a="1"/>
  <c r="A9" i="3" a="1"/>
  <c r="J39" i="3" a="1"/>
  <c r="X27" i="3" a="1"/>
  <c r="E51" i="3" a="1"/>
  <c r="B53" i="3" a="1"/>
  <c r="D36" i="3" a="1"/>
  <c r="E46" i="3" a="1"/>
  <c r="H49" i="3" a="1"/>
  <c r="G33" i="3" a="1"/>
  <c r="H48" i="3" a="1"/>
  <c r="R35" i="3" a="1"/>
  <c r="M24" i="3" a="1"/>
  <c r="U4" i="3" a="1"/>
  <c r="B36" i="3" a="1"/>
  <c r="E22" i="3" a="1"/>
  <c r="E11" i="3" a="1"/>
  <c r="R48" i="3" a="1"/>
  <c r="E38" i="3" a="1"/>
  <c r="L21" i="3" a="1"/>
  <c r="O45" i="3" a="1"/>
  <c r="T31" i="3" a="1"/>
  <c r="D23" i="3" a="1"/>
  <c r="T11" i="3" a="1"/>
  <c r="X45" i="3" a="1"/>
  <c r="C31" i="3" a="1"/>
  <c r="S24" i="3" a="1"/>
  <c r="D5" i="3" a="1"/>
  <c r="B7" i="3" a="1"/>
  <c r="N7" i="3" a="1"/>
  <c r="F26" i="3" a="1"/>
  <c r="N13" i="3" a="1"/>
  <c r="W17" i="3" a="1"/>
  <c r="U40" i="3" a="1"/>
  <c r="B4" i="3" a="1"/>
  <c r="V11" i="3" a="1"/>
  <c r="L43" i="3" a="1"/>
  <c r="O10" i="3" a="1"/>
  <c r="N18" i="3" a="1"/>
  <c r="W15" i="3" a="1"/>
  <c r="D3" i="3" a="1"/>
  <c r="G116" i="3" a="1"/>
  <c r="M105" i="3" a="1"/>
  <c r="E113" i="3" a="1"/>
  <c r="C66" i="3" a="1"/>
  <c r="J67" i="3" a="1"/>
  <c r="A77" i="3" a="1"/>
  <c r="V72" i="3" a="1"/>
  <c r="A58" i="3" a="1"/>
  <c r="G63" i="3" a="1"/>
  <c r="N62" i="3" a="1"/>
  <c r="I67" i="3" a="1"/>
  <c r="E58" i="3" a="1"/>
  <c r="E43" i="3" a="1"/>
  <c r="B13" i="3" a="1"/>
  <c r="J30" i="3" a="1"/>
  <c r="A57" i="3" a="1"/>
  <c r="A20" i="3" a="1"/>
  <c r="V51" i="3" a="1"/>
  <c r="A32" i="3" a="1"/>
  <c r="I23" i="3" a="1"/>
  <c r="L62" i="3" a="1"/>
  <c r="Q38" i="3" a="1"/>
  <c r="P27" i="3" a="1"/>
  <c r="N50" i="3" a="1"/>
  <c r="D51" i="3" a="1"/>
  <c r="K35" i="3" a="1"/>
  <c r="R45" i="3" a="1"/>
  <c r="V47" i="3" a="1"/>
  <c r="N32" i="3" a="1"/>
  <c r="U47" i="3" a="1"/>
  <c r="O33" i="3" a="1"/>
  <c r="M21" i="3" a="1"/>
  <c r="F60" i="3" a="1"/>
  <c r="I35" i="3" a="1"/>
  <c r="E21" i="3" a="1"/>
  <c r="U10" i="3" a="1"/>
  <c r="T47" i="3" a="1"/>
  <c r="N112" i="3" a="1"/>
  <c r="A99" i="3" a="1"/>
  <c r="B108" i="3" a="1"/>
  <c r="A65" i="3" a="1"/>
  <c r="A67" i="3" a="1"/>
  <c r="L75" i="3" a="1"/>
  <c r="E72" i="3" a="1"/>
  <c r="O57" i="3" a="1"/>
  <c r="P62" i="3" a="1"/>
  <c r="S72" i="3" a="1"/>
  <c r="A76" i="3" a="1"/>
  <c r="G57" i="3" a="1"/>
  <c r="K42" i="3" a="1"/>
  <c r="R12" i="3" a="1"/>
  <c r="B30" i="3" a="1"/>
  <c r="T54" i="3" a="1"/>
  <c r="Q18" i="3" a="1"/>
  <c r="G51" i="3" a="1"/>
  <c r="I31" i="3" a="1"/>
  <c r="I22" i="3" a="1"/>
  <c r="U60" i="3" a="1"/>
  <c r="X37" i="3" a="1"/>
  <c r="H27" i="3" a="1"/>
  <c r="K49" i="3" a="1"/>
  <c r="M50" i="3" a="1"/>
  <c r="H33" i="3" a="1"/>
  <c r="V44" i="3" a="1"/>
  <c r="A47" i="3" a="1"/>
  <c r="F32" i="3" a="1"/>
  <c r="K47" i="3" a="1"/>
  <c r="V32" i="3" a="1"/>
  <c r="M19" i="3" a="1"/>
  <c r="M57" i="3" a="1"/>
  <c r="P34" i="3" a="1"/>
  <c r="E20" i="3" a="1"/>
  <c r="M10" i="3" a="1"/>
  <c r="J47" i="3" a="1"/>
  <c r="C37" i="3" a="1"/>
  <c r="T18" i="3" a="1"/>
  <c r="A44" i="3" a="1"/>
  <c r="D31" i="3" a="1"/>
  <c r="T20" i="3" a="1"/>
  <c r="D11" i="3" a="1"/>
  <c r="O40" i="3" a="1"/>
  <c r="K30" i="3" a="1"/>
  <c r="C24" i="3" a="1"/>
  <c r="S17" i="3" a="1"/>
  <c r="F6" i="3" a="1"/>
  <c r="G27" i="3" a="1"/>
  <c r="P6" i="3" a="1"/>
  <c r="G38" i="3" a="1"/>
  <c r="P58" i="3" a="1"/>
  <c r="H18" i="3" a="1"/>
  <c r="O6" i="3" a="1"/>
  <c r="J57" i="3" a="1"/>
  <c r="A7" i="3" a="1"/>
  <c r="N5" i="3" a="1"/>
  <c r="G25" i="3" a="1"/>
  <c r="X7" i="3" a="1"/>
  <c r="X8" i="3" a="1"/>
  <c r="G9" i="3" a="1"/>
  <c r="F17" i="3" a="1"/>
  <c r="N4" i="3" a="1"/>
  <c r="B39" i="3" a="1"/>
  <c r="E3" i="3" a="1"/>
  <c r="V26" i="3" a="1"/>
  <c r="G11" i="3" a="1"/>
  <c r="X38" i="3" a="1"/>
  <c r="T8" i="3" a="1"/>
  <c r="Q6" i="3" a="1"/>
  <c r="X16" i="3" a="1"/>
  <c r="F34" i="3" a="1"/>
  <c r="J4" i="3" a="1"/>
  <c r="O26" i="3" a="1"/>
  <c r="W25" i="3" a="1"/>
  <c r="N37" i="3" a="1"/>
  <c r="V3" i="3" a="1"/>
  <c r="V14" i="3" a="1"/>
  <c r="L9" i="3" a="1"/>
  <c r="S29" i="3" a="1"/>
  <c r="R63" i="3" a="1"/>
  <c r="R4" i="3" a="1"/>
  <c r="P19" i="3" a="1"/>
  <c r="O22" i="3" a="1"/>
  <c r="A5" i="3" a="1"/>
  <c r="V15" i="3" a="1"/>
  <c r="D38" i="3" a="1"/>
  <c r="X18" i="3" a="1"/>
  <c r="N11" i="3" a="1"/>
  <c r="H9" i="3" a="1"/>
  <c r="U101" i="3" a="1"/>
  <c r="N92" i="3" a="1"/>
  <c r="R85" i="3" a="1"/>
  <c r="L83" i="3" a="1"/>
  <c r="F54" i="3" a="1"/>
  <c r="C64" i="3" a="1"/>
  <c r="F62" i="3" a="1"/>
  <c r="H56" i="3" a="1"/>
  <c r="Q59" i="3" a="1"/>
  <c r="P66" i="3" a="1"/>
  <c r="E74" i="3" a="1"/>
  <c r="U56" i="3" a="1"/>
  <c r="M39" i="3" a="1"/>
  <c r="B56" i="3" a="1"/>
  <c r="R29" i="3" a="1"/>
  <c r="B49" i="3" a="1"/>
  <c r="I18" i="3" a="1"/>
  <c r="A49" i="3" a="1"/>
  <c r="Q30" i="3" a="1"/>
  <c r="A22" i="3" a="1"/>
  <c r="R55" i="3" a="1"/>
  <c r="G37" i="3" a="1"/>
  <c r="H26" i="3" a="1"/>
  <c r="K48" i="3" a="1"/>
  <c r="X49" i="3" a="1"/>
  <c r="W31" i="3" a="1"/>
  <c r="M44" i="3" a="1"/>
  <c r="Q45" i="3" a="1"/>
  <c r="V31" i="3" a="1"/>
  <c r="U44" i="3" a="1"/>
  <c r="U29" i="3" a="1"/>
  <c r="E19" i="3" a="1"/>
  <c r="L56" i="3" a="1"/>
  <c r="W33" i="3" a="1"/>
  <c r="U19" i="3" a="1"/>
  <c r="M9" i="3" a="1"/>
  <c r="W46" i="3" a="1"/>
  <c r="J36" i="3" a="1"/>
  <c r="T16" i="3" a="1"/>
  <c r="I41" i="3" a="1"/>
  <c r="T30" i="3" a="1"/>
  <c r="D20" i="3" a="1"/>
  <c r="L10" i="3" a="1"/>
  <c r="V39" i="3" a="1"/>
  <c r="C30" i="3" a="1"/>
  <c r="S23" i="3" a="1"/>
  <c r="K17" i="3" a="1"/>
  <c r="Q5" i="3" a="1"/>
  <c r="N25" i="3" a="1"/>
  <c r="F5" i="3" a="1"/>
  <c r="U36" i="3" a="1"/>
  <c r="S44" i="3" a="1"/>
  <c r="G6" i="3" a="1"/>
  <c r="C6" i="3" a="1"/>
  <c r="A48" i="3" a="1"/>
  <c r="B6" i="3" a="1"/>
  <c r="G14" i="3" a="1"/>
  <c r="N23" i="3" a="1"/>
  <c r="L7" i="3" a="1"/>
  <c r="L6" i="3" a="1"/>
  <c r="G54" i="3" a="1"/>
  <c r="N16" i="3" a="1"/>
  <c r="C4" i="3" a="1"/>
  <c r="P37" i="3" a="1"/>
  <c r="R2" i="3" a="1"/>
  <c r="P10" i="3" a="1"/>
  <c r="T6" i="3" a="1"/>
  <c r="H16" i="3" a="1"/>
  <c r="M3" i="3" a="1"/>
  <c r="V24" i="3" a="1"/>
  <c r="K23" i="3" a="1"/>
  <c r="Q4" i="3" a="1"/>
  <c r="O25" i="3" a="1"/>
  <c r="P4" i="3" a="1"/>
  <c r="O5" i="3" a="1"/>
  <c r="L3" i="3" a="1"/>
  <c r="N6" i="3" a="1"/>
  <c r="H47" i="3" a="1"/>
  <c r="P3" i="3" a="1"/>
  <c r="J6" i="3" a="1"/>
  <c r="B10" i="3" a="1"/>
  <c r="O29" i="3" a="1"/>
  <c r="K46" i="3" a="1"/>
  <c r="P15" i="3" a="1"/>
  <c r="B3" i="3" a="1"/>
  <c r="G43" i="3" a="1"/>
  <c r="X59" i="3" a="1"/>
  <c r="O23" i="3" a="1"/>
  <c r="K10" i="3" a="1"/>
  <c r="I36" i="3" a="1"/>
  <c r="Q49" i="3" a="1"/>
  <c r="J12" i="3" a="1"/>
  <c r="G22" i="3" a="1"/>
  <c r="V93" i="3" a="1"/>
  <c r="T56" i="3" a="1"/>
  <c r="J60" i="3" a="1"/>
  <c r="R26" i="3" a="1"/>
  <c r="I12" i="3" a="1"/>
  <c r="T51" i="3" a="1"/>
  <c r="R53" i="3" a="1"/>
  <c r="U27" i="3" a="1"/>
  <c r="D42" i="3" a="1"/>
  <c r="K37" i="3" a="1"/>
  <c r="D15" i="3" a="1"/>
  <c r="X35" i="3" a="1"/>
  <c r="S20" i="3" a="1"/>
  <c r="W10" i="3" a="1"/>
  <c r="F27" i="3" a="1"/>
  <c r="G3" i="3" a="1"/>
  <c r="S11" i="3" a="1"/>
  <c r="L93" i="3" a="1"/>
  <c r="E50" i="3" a="1"/>
  <c r="D100" i="3" a="1"/>
  <c r="R91" i="3" a="1"/>
  <c r="P84" i="3" a="1"/>
  <c r="K82" i="3" a="1"/>
  <c r="M53" i="3" a="1"/>
  <c r="J63" i="3" a="1"/>
  <c r="M61" i="3" a="1"/>
  <c r="B72" i="3" a="1"/>
  <c r="W72" i="3" a="1"/>
  <c r="W65" i="3" a="1"/>
  <c r="G70" i="3" a="1"/>
  <c r="X55" i="3" a="1"/>
  <c r="D39" i="3" a="1"/>
  <c r="V54" i="3" a="1"/>
  <c r="J29" i="3" a="1"/>
  <c r="P47" i="3" a="1"/>
  <c r="A16" i="3" a="1"/>
  <c r="H46" i="3" a="1"/>
  <c r="I30" i="3" a="1"/>
  <c r="Q21" i="3" a="1"/>
  <c r="F53" i="3" a="1"/>
  <c r="U35" i="3" a="1"/>
  <c r="H25" i="3" a="1"/>
  <c r="X47" i="3" a="1"/>
  <c r="V48" i="3" a="1"/>
  <c r="O31" i="3" a="1"/>
  <c r="D44" i="3" a="1"/>
  <c r="G45" i="3" a="1"/>
  <c r="N31" i="3" a="1"/>
  <c r="R43" i="3" a="1"/>
  <c r="M29" i="3" a="1"/>
  <c r="M18" i="3" a="1"/>
  <c r="G55" i="3" a="1"/>
  <c r="M32" i="3" a="1"/>
  <c r="U18" i="3" a="1"/>
  <c r="U8" i="3" a="1"/>
  <c r="M46" i="3" a="1"/>
  <c r="Q35" i="3" a="1"/>
  <c r="D16" i="3" a="1"/>
  <c r="P40" i="3" a="1"/>
  <c r="L30" i="3" a="1"/>
  <c r="T19" i="3" a="1"/>
  <c r="E39" i="3" a="1"/>
  <c r="V22" i="3" a="1"/>
  <c r="R41" i="3" a="1"/>
  <c r="O44" i="3" a="1"/>
  <c r="F36" i="3" a="1"/>
  <c r="F24" i="3" a="1"/>
  <c r="V5" i="3" a="1"/>
  <c r="C43" i="3" a="1"/>
  <c r="W23" i="3" a="1"/>
  <c r="L26" i="3" a="1"/>
  <c r="K28" i="3" a="1"/>
  <c r="S16" i="3" a="1"/>
  <c r="H20" i="3" a="1"/>
  <c r="O16" i="3" a="1"/>
  <c r="F13" i="3" a="1"/>
  <c r="A4" i="3" a="1"/>
  <c r="L4" i="3" a="1"/>
  <c r="D33" i="3" a="1"/>
  <c r="E121" i="3" a="1"/>
  <c r="A51" i="3" a="1"/>
  <c r="X54" i="3" a="1"/>
  <c r="J42" i="3" a="1"/>
  <c r="P31" i="3" a="1"/>
  <c r="N44" i="3" a="1"/>
  <c r="H39" i="3" a="1"/>
  <c r="M15" i="3" a="1"/>
  <c r="D26" i="3" a="1"/>
  <c r="L28" i="3" a="1"/>
  <c r="L58" i="3" a="1"/>
  <c r="C17" i="3" a="1"/>
  <c r="V89" i="3" a="1"/>
  <c r="N131" i="3" a="1"/>
  <c r="C84" i="3" a="1"/>
  <c r="W91" i="3" a="1"/>
  <c r="Q77" i="3" a="1"/>
  <c r="N77" i="3" a="1"/>
  <c r="I52" i="3" a="1"/>
  <c r="P54" i="3" a="1"/>
  <c r="X71" i="3" a="1"/>
  <c r="S71" i="3" a="1"/>
  <c r="W60" i="3" a="1"/>
  <c r="D69" i="3" a="1"/>
  <c r="F51" i="3" a="1"/>
  <c r="V34" i="3" a="1"/>
  <c r="I53" i="3" a="1"/>
  <c r="R28" i="3" a="1"/>
  <c r="V45" i="3" a="1"/>
  <c r="Q14" i="3" a="1"/>
  <c r="I42" i="3" a="1"/>
  <c r="A30" i="3" a="1"/>
  <c r="A21" i="3" a="1"/>
  <c r="L49" i="3" a="1"/>
  <c r="S34" i="3" a="1"/>
  <c r="X24" i="3" a="1"/>
  <c r="C47" i="3" a="1"/>
  <c r="J48" i="3" a="1"/>
  <c r="G31" i="3" a="1"/>
  <c r="S43" i="3" a="1"/>
  <c r="I43" i="3" a="1"/>
  <c r="F31" i="3" a="1"/>
  <c r="N42" i="3" a="1"/>
  <c r="E29" i="3" a="1"/>
  <c r="E17" i="3" a="1"/>
  <c r="W52" i="3" a="1"/>
  <c r="M31" i="3" a="1"/>
  <c r="E18" i="3" a="1"/>
  <c r="E8" i="3" a="1"/>
  <c r="B46" i="3" a="1"/>
  <c r="G34" i="3" a="1"/>
  <c r="L15" i="3" a="1"/>
  <c r="W39" i="3" a="1"/>
  <c r="D30" i="3" a="1"/>
  <c r="L19" i="3" a="1"/>
  <c r="D9" i="3" a="1"/>
  <c r="T38" i="3" a="1"/>
  <c r="K29" i="3" a="1"/>
  <c r="C23" i="3" a="1"/>
  <c r="X48" i="3" a="1"/>
  <c r="J3" i="3" a="1"/>
  <c r="X21" i="3" a="1"/>
  <c r="G4" i="3" a="1"/>
  <c r="W18" i="3" a="1"/>
  <c r="N39" i="3" a="1"/>
  <c r="F14" i="3" a="1"/>
  <c r="F4" i="3" a="1"/>
  <c r="D35" i="3" a="1"/>
  <c r="C5" i="3" a="1"/>
  <c r="S35" i="3" a="1"/>
  <c r="V21" i="3" a="1"/>
  <c r="A6" i="3" a="1"/>
  <c r="K5" i="3" a="1"/>
  <c r="X43" i="3" a="1"/>
  <c r="F15" i="3" a="1"/>
  <c r="F3" i="3" a="1"/>
  <c r="P21" i="3" a="1"/>
  <c r="W12" i="3" a="1"/>
  <c r="G23" i="3" a="1"/>
  <c r="V7" i="3" a="1"/>
  <c r="H22" i="3" a="1"/>
  <c r="I5" i="3" a="1"/>
  <c r="F43" i="3" a="1"/>
  <c r="X14" i="3" a="1"/>
  <c r="J40" i="3" a="1"/>
  <c r="E2" i="3" a="1"/>
  <c r="P20" i="3" a="1"/>
  <c r="L16" i="3" a="1"/>
  <c r="J37" i="3" a="1"/>
  <c r="G30" i="3" a="1"/>
  <c r="B2" i="3" a="1"/>
  <c r="N20" i="3" a="1"/>
  <c r="N24" i="3" a="1"/>
  <c r="N2" i="3" a="1"/>
  <c r="H3" i="3" a="1"/>
  <c r="R3" i="3" a="1"/>
  <c r="F16" i="3" a="1"/>
  <c r="O4" i="3" a="1"/>
  <c r="O13" i="3" a="1"/>
  <c r="V13" i="3" a="1"/>
  <c r="H2" i="3" a="1"/>
  <c r="F20" i="3" a="1"/>
  <c r="W5" i="3" a="1"/>
  <c r="U38" i="3" a="1"/>
  <c r="G12" i="3" a="1"/>
  <c r="E7" i="3" a="1"/>
  <c r="L13" i="3" a="1"/>
  <c r="T15" i="3" a="1"/>
  <c r="Q36" i="3" a="1"/>
  <c r="S6" i="3" a="1"/>
  <c r="V2" i="3" a="1"/>
  <c r="V23" i="3" a="1"/>
  <c r="A103" i="3" a="1"/>
  <c r="I27" i="3" a="1"/>
  <c r="S40" i="3" a="1"/>
  <c r="B41" i="3" a="1"/>
  <c r="W32" i="3" a="1"/>
  <c r="K2" i="3" a="1"/>
  <c r="R7" i="3" a="1"/>
  <c r="P11" i="3" a="1"/>
  <c r="C3" i="3" a="1"/>
  <c r="L55" i="3" a="1"/>
  <c r="N134" i="3" a="1"/>
  <c r="J83" i="3" a="1"/>
  <c r="M91" i="3" a="1"/>
  <c r="P75" i="3" a="1"/>
  <c r="C77" i="3" a="1"/>
  <c r="P51" i="3" a="1"/>
  <c r="H53" i="3" a="1"/>
  <c r="R67" i="3" a="1"/>
  <c r="T58" i="3" a="1"/>
  <c r="L60" i="3" a="1"/>
  <c r="G67" i="3" a="1"/>
  <c r="K50" i="3" a="1"/>
  <c r="E34" i="3" a="1"/>
  <c r="W51" i="3" a="1"/>
  <c r="J27" i="3" a="1"/>
  <c r="L45" i="3" a="1"/>
  <c r="I14" i="3" a="1"/>
  <c r="X41" i="3" a="1"/>
  <c r="Q29" i="3" a="1"/>
  <c r="Q19" i="3" a="1"/>
  <c r="R54" i="3" a="1"/>
  <c r="B34" i="3" a="1"/>
  <c r="P24" i="3" a="1"/>
  <c r="F46" i="3" a="1"/>
  <c r="H45" i="3" a="1"/>
  <c r="W61" i="3" a="1"/>
  <c r="J43" i="3" a="1"/>
  <c r="X42" i="3" a="1"/>
  <c r="N30" i="3" a="1"/>
  <c r="E42" i="3" a="1"/>
  <c r="U28" i="3" a="1"/>
  <c r="U16" i="3" a="1"/>
  <c r="T49" i="3" a="1"/>
  <c r="E31" i="3" a="1"/>
  <c r="U17" i="3" a="1"/>
  <c r="U7" i="3" a="1"/>
  <c r="T44" i="3" a="1"/>
  <c r="L27" i="3" a="1"/>
  <c r="T14" i="3" a="1"/>
  <c r="F39" i="3" a="1"/>
  <c r="T29" i="3" a="1"/>
  <c r="L18" i="3" a="1"/>
  <c r="Q63" i="3" a="1"/>
  <c r="C38" i="3" a="1"/>
  <c r="C29" i="3" a="1"/>
  <c r="S22" i="3" a="1"/>
  <c r="M35" i="3" a="1"/>
  <c r="M2" i="3" a="1"/>
  <c r="G21" i="3" a="1"/>
  <c r="T3" i="3" a="1"/>
  <c r="F18" i="3" a="1"/>
  <c r="G26" i="3" a="1"/>
  <c r="F7" i="3" a="1"/>
  <c r="S3" i="3" a="1"/>
  <c r="R33" i="3" a="1"/>
  <c r="E4" i="3" a="1"/>
  <c r="L38" i="3" a="1"/>
  <c r="X17" i="3" a="1"/>
  <c r="B5" i="3" a="1"/>
  <c r="Q2" i="3" a="1"/>
  <c r="X40" i="3" a="1"/>
  <c r="N14" i="3" a="1"/>
  <c r="S2" i="3" a="1"/>
  <c r="W20" i="3" a="1"/>
  <c r="G7" i="3" a="1"/>
  <c r="H19" i="3" a="1"/>
  <c r="I7" i="3" a="1"/>
  <c r="O21" i="3" a="1"/>
  <c r="K4" i="3" a="1"/>
  <c r="L40" i="3" a="1"/>
  <c r="H14" i="3" a="1"/>
  <c r="K34" i="3" a="1"/>
  <c r="I34" i="3" a="1"/>
  <c r="K44" i="3" a="1"/>
  <c r="T26" i="3" a="1"/>
  <c r="D14" i="3" a="1"/>
  <c r="M38" i="3" a="1"/>
  <c r="L29" i="3" a="1"/>
  <c r="H61" i="3" a="1"/>
  <c r="S28" i="3" a="1"/>
  <c r="C22" i="3" a="1"/>
  <c r="I3" i="3" a="1"/>
  <c r="C12" i="3" a="1"/>
  <c r="W28" i="3" a="1"/>
  <c r="G17" i="3" a="1"/>
  <c r="S37" i="3" a="1"/>
  <c r="H5" i="3" a="1"/>
  <c r="O18" i="3" a="1"/>
  <c r="V20" i="3" a="1"/>
  <c r="X3" i="3" a="1"/>
  <c r="P13" i="3" a="1"/>
  <c r="A33" i="3" a="1"/>
  <c r="E16" i="3" a="1"/>
  <c r="D29" i="3" a="1"/>
  <c r="C21" i="3" a="1"/>
  <c r="W2" i="3" a="1"/>
  <c r="E48" i="3" a="1"/>
  <c r="U2" i="3" a="1"/>
  <c r="Q3" i="3" a="1"/>
  <c r="C10" i="3" a="1"/>
  <c r="V17" i="3" a="1"/>
  <c r="N3" i="3" a="1"/>
  <c r="G75" i="3" a="1"/>
  <c r="B21" i="3" a="1"/>
  <c r="K39" i="3" a="1"/>
  <c r="U14" i="3" a="1"/>
  <c r="E30" i="3" a="1"/>
  <c r="C16" i="3" a="1"/>
  <c r="D8" i="3" a="1"/>
  <c r="O3" i="3" a="1"/>
  <c r="N15" i="3" a="1"/>
  <c r="N74" i="3" a="1"/>
  <c r="T106" i="3" a="1"/>
  <c r="M94" i="3" a="1"/>
  <c r="A101" i="3" a="1"/>
  <c r="C109" i="3" a="1"/>
  <c r="F82" i="3" a="1"/>
  <c r="R84" i="3" a="1"/>
  <c r="B52" i="3" a="1"/>
  <c r="L65" i="3" a="1"/>
  <c r="B57" i="3" a="1"/>
  <c r="B60" i="3" a="1"/>
  <c r="L66" i="3" a="1"/>
  <c r="S59" i="3" a="1"/>
  <c r="T33" i="3" a="1"/>
  <c r="O49" i="3" a="1"/>
  <c r="B26" i="3" a="1"/>
  <c r="B45" i="3" a="1"/>
  <c r="A14" i="3" a="1"/>
  <c r="O41" i="3" a="1"/>
  <c r="Q28" i="3" a="1"/>
  <c r="A19" i="3" a="1"/>
  <c r="V53" i="3" a="1"/>
  <c r="I33" i="3" a="1"/>
  <c r="H24" i="3" a="1"/>
  <c r="T45" i="3" a="1"/>
  <c r="G42" i="3" a="1"/>
  <c r="C59" i="3" a="1"/>
  <c r="U41" i="3" a="1"/>
  <c r="O42" i="3" a="1"/>
  <c r="N29" i="3" a="1"/>
  <c r="T41" i="3" a="1"/>
  <c r="M28" i="3" a="1"/>
  <c r="M16" i="3" a="1"/>
  <c r="P45" i="3" a="1"/>
  <c r="U30" i="3" a="1"/>
  <c r="M17" i="3" a="1"/>
  <c r="M7" i="3" a="1"/>
  <c r="X12" i="3" a="1"/>
  <c r="Q88" i="3" a="1"/>
  <c r="Q90" i="3" a="1"/>
  <c r="F56" i="3" a="1"/>
  <c r="O52" i="3" a="1"/>
  <c r="A42" i="3" a="1"/>
  <c r="Q17" i="3" a="1"/>
  <c r="P23" i="3" a="1"/>
  <c r="C41" i="3" a="1"/>
  <c r="V28" i="3" a="1"/>
  <c r="Q40" i="3" a="1"/>
  <c r="U6" i="3" a="1"/>
  <c r="A60" i="3" a="1"/>
  <c r="C28" i="3" a="1"/>
  <c r="G18" i="3" a="1"/>
  <c r="L2" i="3" a="1"/>
  <c r="W21" i="3" a="1"/>
  <c r="O19" i="3" a="1"/>
  <c r="W34" i="3" a="1"/>
  <c r="N9" i="3" a="1"/>
  <c r="O30" i="3" a="1"/>
  <c r="F110" i="3" a="1"/>
  <c r="Q100" i="3" a="1"/>
  <c r="R93" i="3" a="1"/>
  <c r="R99" i="3" a="1"/>
  <c r="F92" i="3" a="1"/>
  <c r="E81" i="3" a="1"/>
  <c r="E84" i="3" a="1"/>
  <c r="F57" i="3" a="1"/>
  <c r="P60" i="3" a="1"/>
  <c r="N53" i="3" a="1"/>
  <c r="Q55" i="3" a="1"/>
  <c r="S65" i="3" a="1"/>
  <c r="H58" i="3" a="1"/>
  <c r="C33" i="3" a="1"/>
  <c r="C45" i="3" a="1"/>
  <c r="J21" i="3" a="1"/>
  <c r="S42" i="3" a="1"/>
  <c r="Q13" i="3" a="1"/>
  <c r="M40" i="3" a="1"/>
  <c r="Q27" i="3" a="1"/>
  <c r="A18" i="3" a="1"/>
  <c r="M52" i="3" a="1"/>
  <c r="P32" i="3" a="1"/>
  <c r="X23" i="3" a="1"/>
  <c r="W44" i="3" a="1"/>
  <c r="V41" i="3" a="1"/>
  <c r="N56" i="3" a="1"/>
  <c r="L41" i="3" a="1"/>
  <c r="R40" i="3" a="1"/>
  <c r="F29" i="3" a="1"/>
  <c r="K41" i="3" a="1"/>
  <c r="E28" i="3" a="1"/>
  <c r="U15" i="3" a="1"/>
  <c r="H43" i="3" a="1"/>
  <c r="M30" i="3" a="1"/>
  <c r="T55" i="3" a="1"/>
  <c r="B40" i="3" a="1"/>
  <c r="D27" i="3" a="1"/>
  <c r="F22" i="3" a="1"/>
  <c r="R10" i="3" a="1"/>
  <c r="N28" i="3" a="1"/>
  <c r="G2" i="3" a="1"/>
  <c r="V46" i="3" a="1"/>
  <c r="E52" i="3" a="1"/>
  <c r="H52" i="3" a="1"/>
  <c r="L14" i="3" a="1"/>
  <c r="V18" i="3" a="1"/>
  <c r="O27" i="3" a="1"/>
  <c r="M59" i="3" a="1"/>
  <c r="U61" i="3" a="1"/>
  <c r="C54" i="3" a="1"/>
  <c r="E37" i="3" a="1"/>
  <c r="G35" i="3" a="1"/>
  <c r="D4" i="3" a="1"/>
  <c r="W8" i="3" a="1"/>
  <c r="F11" i="3" a="1"/>
  <c r="I2" i="3" a="1"/>
  <c r="S38" i="3" a="1"/>
  <c r="I40" i="3" a="1"/>
  <c r="D56" i="3" a="1"/>
  <c r="J9" i="3" a="1"/>
  <c r="N17" i="3" a="1"/>
  <c r="R24" i="3" a="1"/>
  <c r="T61" i="3" a="1"/>
  <c r="K27" i="3" a="1"/>
  <c r="J7" i="3" a="1"/>
  <c r="X9" i="3" a="1"/>
  <c r="K20" i="3" a="1"/>
  <c r="N26" i="3" a="1"/>
  <c r="J20" i="3" a="1"/>
  <c r="M27" i="3" a="1"/>
  <c r="V40" i="3" a="1"/>
  <c r="U11" i="3" a="1"/>
  <c r="L42" i="3" a="1"/>
  <c r="G15" i="3" a="1"/>
  <c r="K16" i="3" a="1"/>
  <c r="H12" i="3" a="1"/>
  <c r="Q7" i="3" a="1"/>
  <c r="X15" i="3" a="1"/>
  <c r="A11" i="3" a="1"/>
  <c r="X39" i="3" a="1"/>
  <c r="K15" i="3" a="1"/>
  <c r="W13" i="3" a="1"/>
  <c r="C15" i="3" a="1"/>
  <c r="R11" i="3" a="1"/>
  <c r="G16" i="3" a="1"/>
  <c r="H50" i="3" a="1"/>
  <c r="P16" i="3" a="1"/>
  <c r="M33" i="3" a="1"/>
  <c r="R36" i="3" a="1"/>
  <c r="H57" i="3" a="1"/>
  <c r="R38" i="3" a="1"/>
  <c r="E24" i="3" a="1"/>
  <c r="A2" i="3" a="1"/>
  <c r="O47" i="3" a="1"/>
  <c r="H4" i="3" a="1"/>
  <c r="S41" i="3" a="1"/>
  <c r="T7" i="3" a="1"/>
  <c r="F2" i="3" a="1"/>
  <c r="O15" i="3" a="1"/>
  <c r="V10" i="3" a="1"/>
  <c r="J44" i="3" a="1"/>
  <c r="A27" i="3" a="1"/>
  <c r="E15" i="3" a="1"/>
  <c r="H10" i="3" a="1"/>
  <c r="B35" i="3" a="1"/>
  <c r="F8" i="3" a="1"/>
  <c r="U42" i="3" a="1"/>
  <c r="P30" i="3" a="1"/>
  <c r="T24" i="3" a="1"/>
  <c r="P2" i="3" a="1"/>
  <c r="H88" i="3" a="1"/>
  <c r="W11" i="3" a="1"/>
  <c r="R42" i="3" a="1"/>
  <c r="I17" i="3" a="1"/>
  <c r="M6" i="3" a="1"/>
  <c r="F21" i="3" a="1"/>
  <c r="I4" i="3" a="1"/>
  <c r="V8" i="3" a="1"/>
  <c r="B50" i="3" a="1"/>
  <c r="X22" i="3" a="1"/>
  <c r="E56" i="3" a="1"/>
  <c r="H13" i="3" a="1"/>
  <c r="W26" i="3" a="1"/>
  <c r="K43" i="3" a="1"/>
  <c r="W19" i="3" a="1"/>
  <c r="V25" i="3" a="1"/>
  <c r="P17" i="3" a="1"/>
  <c r="P17" i="3" l="1"/>
  <c r="V25" i="3"/>
  <c r="W19" i="3"/>
  <c r="K43" i="3"/>
  <c r="W26" i="3"/>
  <c r="H13" i="3"/>
  <c r="E56" i="3"/>
  <c r="X22" i="3"/>
  <c r="B50" i="3"/>
  <c r="V8" i="3"/>
  <c r="I4" i="3"/>
  <c r="F21" i="3"/>
  <c r="M6" i="3"/>
  <c r="I17" i="3"/>
  <c r="R42" i="3"/>
  <c r="W11" i="3"/>
  <c r="H88" i="3"/>
  <c r="P2" i="3"/>
  <c r="T24" i="3"/>
  <c r="P30" i="3"/>
  <c r="U42" i="3"/>
  <c r="F8" i="3"/>
  <c r="B35" i="3"/>
  <c r="H10" i="3"/>
  <c r="E15" i="3"/>
  <c r="A27" i="3"/>
  <c r="J44" i="3"/>
  <c r="V10" i="3"/>
  <c r="O15" i="3"/>
  <c r="F2" i="3"/>
  <c r="T7" i="3"/>
  <c r="S41" i="3"/>
  <c r="H4" i="3"/>
  <c r="O47" i="3"/>
  <c r="A2" i="3"/>
  <c r="E24" i="3"/>
  <c r="R38" i="3"/>
  <c r="H57" i="3"/>
  <c r="R36" i="3"/>
  <c r="M33" i="3"/>
  <c r="P16" i="3"/>
  <c r="H50" i="3"/>
  <c r="G16" i="3"/>
  <c r="R11" i="3"/>
  <c r="C15" i="3"/>
  <c r="W13" i="3"/>
  <c r="K15" i="3"/>
  <c r="X39" i="3"/>
  <c r="A11" i="3"/>
  <c r="X15" i="3"/>
  <c r="Q7" i="3"/>
  <c r="H12" i="3"/>
  <c r="K16" i="3"/>
  <c r="G15" i="3"/>
  <c r="L42" i="3"/>
  <c r="U11" i="3"/>
  <c r="V40" i="3"/>
  <c r="M27" i="3"/>
  <c r="J20" i="3"/>
  <c r="N26" i="3"/>
  <c r="K20" i="3"/>
  <c r="X9" i="3"/>
  <c r="J7" i="3"/>
  <c r="K27" i="3"/>
  <c r="T61" i="3"/>
  <c r="R24" i="3"/>
  <c r="N17" i="3"/>
  <c r="J9" i="3"/>
  <c r="D56" i="3"/>
  <c r="I40" i="3"/>
  <c r="S38" i="3"/>
  <c r="I2" i="3"/>
  <c r="F11" i="3"/>
  <c r="W8" i="3"/>
  <c r="D4" i="3"/>
  <c r="G35" i="3"/>
  <c r="E37" i="3"/>
  <c r="C54" i="3"/>
  <c r="U61" i="3"/>
  <c r="M59" i="3"/>
  <c r="O27" i="3"/>
  <c r="V18" i="3"/>
  <c r="L14" i="3"/>
  <c r="H52" i="3"/>
  <c r="E52" i="3"/>
  <c r="V46" i="3"/>
  <c r="G2" i="3"/>
  <c r="N28" i="3"/>
  <c r="R10" i="3"/>
  <c r="F22" i="3"/>
  <c r="D27" i="3"/>
  <c r="B40" i="3"/>
  <c r="T55" i="3"/>
  <c r="M30" i="3"/>
  <c r="H43" i="3"/>
  <c r="U15" i="3"/>
  <c r="E28" i="3"/>
  <c r="K41" i="3"/>
  <c r="F29" i="3"/>
  <c r="R40" i="3"/>
  <c r="L41" i="3"/>
  <c r="N56" i="3"/>
  <c r="V41" i="3"/>
  <c r="W44" i="3"/>
  <c r="X23" i="3"/>
  <c r="P32" i="3"/>
  <c r="M52" i="3"/>
  <c r="A18" i="3"/>
  <c r="Q27" i="3"/>
  <c r="M40" i="3"/>
  <c r="Q13" i="3"/>
  <c r="S42" i="3"/>
  <c r="J21" i="3"/>
  <c r="C45" i="3"/>
  <c r="C33" i="3"/>
  <c r="H58" i="3"/>
  <c r="S65" i="3"/>
  <c r="Q55" i="3"/>
  <c r="N53" i="3"/>
  <c r="P60" i="3"/>
  <c r="F57" i="3"/>
  <c r="E84" i="3"/>
  <c r="E81" i="3"/>
  <c r="F92" i="3"/>
  <c r="R99" i="3"/>
  <c r="R93" i="3"/>
  <c r="Q100" i="3"/>
  <c r="F110" i="3"/>
  <c r="O30" i="3"/>
  <c r="N9" i="3"/>
  <c r="W34" i="3"/>
  <c r="O19" i="3"/>
  <c r="W21" i="3"/>
  <c r="L2" i="3"/>
  <c r="G18" i="3"/>
  <c r="C28" i="3"/>
  <c r="A60" i="3"/>
  <c r="U6" i="3"/>
  <c r="Q40" i="3"/>
  <c r="V28" i="3"/>
  <c r="C41" i="3"/>
  <c r="P23" i="3"/>
  <c r="Q17" i="3"/>
  <c r="A42" i="3"/>
  <c r="O52" i="3"/>
  <c r="F56" i="3"/>
  <c r="Q90" i="3"/>
  <c r="Q88" i="3"/>
  <c r="X12" i="3"/>
  <c r="M7" i="3"/>
  <c r="M17" i="3"/>
  <c r="U30" i="3"/>
  <c r="P45" i="3"/>
  <c r="M16" i="3"/>
  <c r="M28" i="3"/>
  <c r="T41" i="3"/>
  <c r="N29" i="3"/>
  <c r="O42" i="3"/>
  <c r="U41" i="3"/>
  <c r="C59" i="3"/>
  <c r="G42" i="3"/>
  <c r="T45" i="3"/>
  <c r="H24" i="3"/>
  <c r="I33" i="3"/>
  <c r="V53" i="3"/>
  <c r="A19" i="3"/>
  <c r="Q28" i="3"/>
  <c r="O41" i="3"/>
  <c r="A14" i="3"/>
  <c r="B45" i="3"/>
  <c r="B26" i="3"/>
  <c r="O49" i="3"/>
  <c r="T33" i="3"/>
  <c r="S59" i="3"/>
  <c r="L66" i="3"/>
  <c r="B60" i="3"/>
  <c r="B57" i="3"/>
  <c r="L65" i="3"/>
  <c r="B52" i="3"/>
  <c r="R84" i="3"/>
  <c r="F82" i="3"/>
  <c r="C109" i="3"/>
  <c r="A101" i="3"/>
  <c r="M94" i="3"/>
  <c r="T106" i="3"/>
  <c r="N74" i="3"/>
  <c r="N15" i="3"/>
  <c r="O3" i="3"/>
  <c r="D8" i="3"/>
  <c r="C16" i="3"/>
  <c r="E30" i="3"/>
  <c r="U14" i="3"/>
  <c r="K39" i="3"/>
  <c r="B21" i="3"/>
  <c r="G75" i="3"/>
  <c r="N3" i="3"/>
  <c r="V17" i="3"/>
  <c r="C10" i="3"/>
  <c r="Q3" i="3"/>
  <c r="U2" i="3"/>
  <c r="E48" i="3"/>
  <c r="W2" i="3"/>
  <c r="C21" i="3"/>
  <c r="D29" i="3"/>
  <c r="E16" i="3"/>
  <c r="A33" i="3"/>
  <c r="P13" i="3"/>
  <c r="X3" i="3"/>
  <c r="V20" i="3"/>
  <c r="O18" i="3"/>
  <c r="H5" i="3"/>
  <c r="S37" i="3"/>
  <c r="G17" i="3"/>
  <c r="W28" i="3"/>
  <c r="C12" i="3"/>
  <c r="I3" i="3"/>
  <c r="C22" i="3"/>
  <c r="S28" i="3"/>
  <c r="H61" i="3"/>
  <c r="L29" i="3"/>
  <c r="M38" i="3"/>
  <c r="D14" i="3"/>
  <c r="T26" i="3"/>
  <c r="K44" i="3"/>
  <c r="I34" i="3"/>
  <c r="K34" i="3"/>
  <c r="H14" i="3"/>
  <c r="L40" i="3"/>
  <c r="K4" i="3"/>
  <c r="O21" i="3"/>
  <c r="I7" i="3"/>
  <c r="H19" i="3"/>
  <c r="G7" i="3"/>
  <c r="W20" i="3"/>
  <c r="S2" i="3"/>
  <c r="N14" i="3"/>
  <c r="X40" i="3"/>
  <c r="Q2" i="3"/>
  <c r="B5" i="3"/>
  <c r="X17" i="3"/>
  <c r="L38" i="3"/>
  <c r="E4" i="3"/>
  <c r="R33" i="3"/>
  <c r="S3" i="3"/>
  <c r="F7" i="3"/>
  <c r="G26" i="3"/>
  <c r="F18" i="3"/>
  <c r="T3" i="3"/>
  <c r="G21" i="3"/>
  <c r="M2" i="3"/>
  <c r="M35" i="3"/>
  <c r="S22" i="3"/>
  <c r="C29" i="3"/>
  <c r="C38" i="3"/>
  <c r="Q63" i="3"/>
  <c r="L18" i="3"/>
  <c r="T29" i="3"/>
  <c r="F39" i="3"/>
  <c r="T14" i="3"/>
  <c r="L27" i="3"/>
  <c r="T44" i="3"/>
  <c r="U7" i="3"/>
  <c r="U17" i="3"/>
  <c r="E31" i="3"/>
  <c r="T49" i="3"/>
  <c r="U16" i="3"/>
  <c r="U28" i="3"/>
  <c r="E42" i="3"/>
  <c r="N30" i="3"/>
  <c r="X42" i="3"/>
  <c r="J43" i="3"/>
  <c r="W61" i="3"/>
  <c r="H45" i="3"/>
  <c r="F46" i="3"/>
  <c r="P24" i="3"/>
  <c r="B34" i="3"/>
  <c r="R54" i="3"/>
  <c r="Q19" i="3"/>
  <c r="Q29" i="3"/>
  <c r="X41" i="3"/>
  <c r="I14" i="3"/>
  <c r="L45" i="3"/>
  <c r="J27" i="3"/>
  <c r="W51" i="3"/>
  <c r="E34" i="3"/>
  <c r="K50" i="3"/>
  <c r="G67" i="3"/>
  <c r="L60" i="3"/>
  <c r="T58" i="3"/>
  <c r="R67" i="3"/>
  <c r="H53" i="3"/>
  <c r="P51" i="3"/>
  <c r="C77" i="3"/>
  <c r="P75" i="3"/>
  <c r="M91" i="3"/>
  <c r="J83" i="3"/>
  <c r="N134" i="3"/>
  <c r="L55" i="3"/>
  <c r="C3" i="3"/>
  <c r="P11" i="3"/>
  <c r="R7" i="3"/>
  <c r="K2" i="3"/>
  <c r="W32" i="3"/>
  <c r="B41" i="3"/>
  <c r="S40" i="3"/>
  <c r="I27" i="3"/>
  <c r="A103" i="3"/>
  <c r="V23" i="3"/>
  <c r="V2" i="3"/>
  <c r="S6" i="3"/>
  <c r="Q36" i="3"/>
  <c r="T15" i="3"/>
  <c r="L13" i="3"/>
  <c r="E7" i="3"/>
  <c r="G12" i="3"/>
  <c r="U38" i="3"/>
  <c r="W5" i="3"/>
  <c r="F20" i="3"/>
  <c r="H2" i="3"/>
  <c r="V13" i="3"/>
  <c r="O13" i="3"/>
  <c r="O4" i="3"/>
  <c r="F16" i="3"/>
  <c r="R3" i="3"/>
  <c r="H3" i="3"/>
  <c r="N2" i="3"/>
  <c r="N24" i="3"/>
  <c r="N20" i="3"/>
  <c r="B2" i="3"/>
  <c r="G30" i="3"/>
  <c r="J37" i="3"/>
  <c r="L16" i="3"/>
  <c r="P20" i="3"/>
  <c r="E2" i="3"/>
  <c r="J40" i="3"/>
  <c r="X14" i="3"/>
  <c r="F43" i="3"/>
  <c r="I5" i="3"/>
  <c r="H22" i="3"/>
  <c r="V7" i="3"/>
  <c r="G23" i="3"/>
  <c r="W12" i="3"/>
  <c r="P21" i="3"/>
  <c r="F3" i="3"/>
  <c r="F15" i="3"/>
  <c r="X43" i="3"/>
  <c r="K5" i="3"/>
  <c r="A6" i="3"/>
  <c r="V21" i="3"/>
  <c r="S35" i="3"/>
  <c r="C5" i="3"/>
  <c r="D35" i="3"/>
  <c r="F4" i="3"/>
  <c r="F14" i="3"/>
  <c r="N39" i="3"/>
  <c r="W18" i="3"/>
  <c r="G4" i="3"/>
  <c r="X21" i="3"/>
  <c r="J3" i="3"/>
  <c r="X48" i="3"/>
  <c r="C23" i="3"/>
  <c r="K29" i="3"/>
  <c r="T38" i="3"/>
  <c r="D9" i="3"/>
  <c r="L19" i="3"/>
  <c r="D30" i="3"/>
  <c r="W39" i="3"/>
  <c r="L15" i="3"/>
  <c r="G34" i="3"/>
  <c r="B46" i="3"/>
  <c r="E8" i="3"/>
  <c r="E18" i="3"/>
  <c r="M31" i="3"/>
  <c r="W52" i="3"/>
  <c r="E17" i="3"/>
  <c r="E29" i="3"/>
  <c r="N42" i="3"/>
  <c r="F31" i="3"/>
  <c r="I43" i="3"/>
  <c r="S43" i="3"/>
  <c r="G31" i="3"/>
  <c r="J48" i="3"/>
  <c r="C47" i="3"/>
  <c r="X24" i="3"/>
  <c r="S34" i="3"/>
  <c r="L49" i="3"/>
  <c r="A21" i="3"/>
  <c r="A30" i="3"/>
  <c r="I42" i="3"/>
  <c r="Q14" i="3"/>
  <c r="V45" i="3"/>
  <c r="R28" i="3"/>
  <c r="I53" i="3"/>
  <c r="V34" i="3"/>
  <c r="F51" i="3"/>
  <c r="D69" i="3"/>
  <c r="W60" i="3"/>
  <c r="S71" i="3"/>
  <c r="X71" i="3"/>
  <c r="P54" i="3"/>
  <c r="I52" i="3"/>
  <c r="N77" i="3"/>
  <c r="Q77" i="3"/>
  <c r="W91" i="3"/>
  <c r="C84" i="3"/>
  <c r="N131" i="3"/>
  <c r="V89" i="3"/>
  <c r="C17" i="3"/>
  <c r="L58" i="3"/>
  <c r="L28" i="3"/>
  <c r="D26" i="3"/>
  <c r="M15" i="3"/>
  <c r="H39" i="3"/>
  <c r="N44" i="3"/>
  <c r="P31" i="3"/>
  <c r="J42" i="3"/>
  <c r="X54" i="3"/>
  <c r="A51" i="3"/>
  <c r="E121" i="3"/>
  <c r="D33" i="3"/>
  <c r="L4" i="3"/>
  <c r="A4" i="3"/>
  <c r="F13" i="3"/>
  <c r="O16" i="3"/>
  <c r="H20" i="3"/>
  <c r="S16" i="3"/>
  <c r="K28" i="3"/>
  <c r="L26" i="3"/>
  <c r="W23" i="3"/>
  <c r="C43" i="3"/>
  <c r="V5" i="3"/>
  <c r="F24" i="3"/>
  <c r="F36" i="3"/>
  <c r="O44" i="3"/>
  <c r="R41" i="3"/>
  <c r="V22" i="3"/>
  <c r="E39" i="3"/>
  <c r="T19" i="3"/>
  <c r="L30" i="3"/>
  <c r="P40" i="3"/>
  <c r="D16" i="3"/>
  <c r="Q35" i="3"/>
  <c r="M46" i="3"/>
  <c r="U8" i="3"/>
  <c r="U18" i="3"/>
  <c r="M32" i="3"/>
  <c r="G55" i="3"/>
  <c r="M18" i="3"/>
  <c r="M29" i="3"/>
  <c r="R43" i="3"/>
  <c r="N31" i="3"/>
  <c r="G45" i="3"/>
  <c r="D44" i="3"/>
  <c r="O31" i="3"/>
  <c r="V48" i="3"/>
  <c r="X47" i="3"/>
  <c r="H25" i="3"/>
  <c r="U35" i="3"/>
  <c r="F53" i="3"/>
  <c r="Q21" i="3"/>
  <c r="I30" i="3"/>
  <c r="H46" i="3"/>
  <c r="A16" i="3"/>
  <c r="P47" i="3"/>
  <c r="J29" i="3"/>
  <c r="V54" i="3"/>
  <c r="D39" i="3"/>
  <c r="X55" i="3"/>
  <c r="G70" i="3"/>
  <c r="W65" i="3"/>
  <c r="W72" i="3"/>
  <c r="B72" i="3"/>
  <c r="M61" i="3"/>
  <c r="J63" i="3"/>
  <c r="M53" i="3"/>
  <c r="K82" i="3"/>
  <c r="P84" i="3"/>
  <c r="R91" i="3"/>
  <c r="D100" i="3"/>
  <c r="E50" i="3"/>
  <c r="L93" i="3"/>
  <c r="S11" i="3"/>
  <c r="G3" i="3"/>
  <c r="F27" i="3"/>
  <c r="W10" i="3"/>
  <c r="S20" i="3"/>
  <c r="X35" i="3"/>
  <c r="D15" i="3"/>
  <c r="K37" i="3"/>
  <c r="D42" i="3"/>
  <c r="U27" i="3"/>
  <c r="R53" i="3"/>
  <c r="T51" i="3"/>
  <c r="I12" i="3"/>
  <c r="R26" i="3"/>
  <c r="J60" i="3"/>
  <c r="T56" i="3"/>
  <c r="V93" i="3"/>
  <c r="G22" i="3"/>
  <c r="J12" i="3"/>
  <c r="Q49" i="3"/>
  <c r="I36" i="3"/>
  <c r="K10" i="3"/>
  <c r="O23" i="3"/>
  <c r="X59" i="3"/>
  <c r="G43" i="3"/>
  <c r="B3" i="3"/>
  <c r="P15" i="3"/>
  <c r="K46" i="3"/>
  <c r="O29" i="3"/>
  <c r="B10" i="3"/>
  <c r="J6" i="3"/>
  <c r="P3" i="3"/>
  <c r="H47" i="3"/>
  <c r="N6" i="3"/>
  <c r="L3" i="3"/>
  <c r="O5" i="3"/>
  <c r="P4" i="3"/>
  <c r="O25" i="3"/>
  <c r="Q4" i="3"/>
  <c r="K23" i="3"/>
  <c r="V24" i="3"/>
  <c r="M3" i="3"/>
  <c r="H16" i="3"/>
  <c r="T6" i="3"/>
  <c r="P10" i="3"/>
  <c r="R2" i="3"/>
  <c r="P37" i="3"/>
  <c r="C4" i="3"/>
  <c r="N16" i="3"/>
  <c r="G54" i="3"/>
  <c r="L6" i="3"/>
  <c r="L7" i="3"/>
  <c r="N23" i="3"/>
  <c r="G14" i="3"/>
  <c r="B6" i="3"/>
  <c r="A48" i="3"/>
  <c r="C6" i="3"/>
  <c r="G6" i="3"/>
  <c r="S44" i="3"/>
  <c r="U36" i="3"/>
  <c r="F5" i="3"/>
  <c r="N25" i="3"/>
  <c r="Q5" i="3"/>
  <c r="K17" i="3"/>
  <c r="S23" i="3"/>
  <c r="C30" i="3"/>
  <c r="V39" i="3"/>
  <c r="L10" i="3"/>
  <c r="D20" i="3"/>
  <c r="T30" i="3"/>
  <c r="I41" i="3"/>
  <c r="T16" i="3"/>
  <c r="J36" i="3"/>
  <c r="W46" i="3"/>
  <c r="M9" i="3"/>
  <c r="U19" i="3"/>
  <c r="W33" i="3"/>
  <c r="L56" i="3"/>
  <c r="E19" i="3"/>
  <c r="U29" i="3"/>
  <c r="U44" i="3"/>
  <c r="V31" i="3"/>
  <c r="Q45" i="3"/>
  <c r="M44" i="3"/>
  <c r="W31" i="3"/>
  <c r="X49" i="3"/>
  <c r="K48" i="3"/>
  <c r="H26" i="3"/>
  <c r="G37" i="3"/>
  <c r="R55" i="3"/>
  <c r="A22" i="3"/>
  <c r="Q30" i="3"/>
  <c r="A49" i="3"/>
  <c r="I18" i="3"/>
  <c r="B49" i="3"/>
  <c r="R29" i="3"/>
  <c r="B56" i="3"/>
  <c r="M39" i="3"/>
  <c r="U56" i="3"/>
  <c r="E74" i="3"/>
  <c r="P66" i="3"/>
  <c r="Q59" i="3"/>
  <c r="H56" i="3"/>
  <c r="F62" i="3"/>
  <c r="C64" i="3"/>
  <c r="F54" i="3"/>
  <c r="L83" i="3"/>
  <c r="R85" i="3"/>
  <c r="N92" i="3"/>
  <c r="U101" i="3"/>
  <c r="H9" i="3"/>
  <c r="N11" i="3"/>
  <c r="X18" i="3"/>
  <c r="D38" i="3"/>
  <c r="V15" i="3"/>
  <c r="A5" i="3"/>
  <c r="O22" i="3"/>
  <c r="P19" i="3"/>
  <c r="R4" i="3"/>
  <c r="R63" i="3"/>
  <c r="S29" i="3"/>
  <c r="L9" i="3"/>
  <c r="V14" i="3"/>
  <c r="V3" i="3"/>
  <c r="N37" i="3"/>
  <c r="W25" i="3"/>
  <c r="O26" i="3"/>
  <c r="J4" i="3"/>
  <c r="F34" i="3"/>
  <c r="X16" i="3"/>
  <c r="Q6" i="3"/>
  <c r="T8" i="3"/>
  <c r="X38" i="3"/>
  <c r="G11" i="3"/>
  <c r="V26" i="3"/>
  <c r="E3" i="3"/>
  <c r="B39" i="3"/>
  <c r="N4" i="3"/>
  <c r="F17" i="3"/>
  <c r="G9" i="3"/>
  <c r="X8" i="3"/>
  <c r="X7" i="3"/>
  <c r="G25" i="3"/>
  <c r="N5" i="3"/>
  <c r="A7" i="3"/>
  <c r="J57" i="3"/>
  <c r="O6" i="3"/>
  <c r="H18" i="3"/>
  <c r="P58" i="3"/>
  <c r="G38" i="3"/>
  <c r="P6" i="3"/>
  <c r="G27" i="3"/>
  <c r="F6" i="3"/>
  <c r="S17" i="3"/>
  <c r="C24" i="3"/>
  <c r="K30" i="3"/>
  <c r="O40" i="3"/>
  <c r="D11" i="3"/>
  <c r="T20" i="3"/>
  <c r="D31" i="3"/>
  <c r="A44" i="3"/>
  <c r="T18" i="3"/>
  <c r="C37" i="3"/>
  <c r="J47" i="3"/>
  <c r="M10" i="3"/>
  <c r="E20" i="3"/>
  <c r="P34" i="3"/>
  <c r="M57" i="3"/>
  <c r="M19" i="3"/>
  <c r="V32" i="3"/>
  <c r="K47" i="3"/>
  <c r="F32" i="3"/>
  <c r="A47" i="3"/>
  <c r="V44" i="3"/>
  <c r="H33" i="3"/>
  <c r="M50" i="3"/>
  <c r="K49" i="3"/>
  <c r="H27" i="3"/>
  <c r="X37" i="3"/>
  <c r="U60" i="3"/>
  <c r="I22" i="3"/>
  <c r="I31" i="3"/>
  <c r="G51" i="3"/>
  <c r="Q18" i="3"/>
  <c r="T54" i="3"/>
  <c r="B30" i="3"/>
  <c r="R12" i="3"/>
  <c r="K42" i="3"/>
  <c r="G57" i="3"/>
  <c r="A76" i="3"/>
  <c r="S72" i="3"/>
  <c r="P62" i="3"/>
  <c r="O57" i="3"/>
  <c r="E72" i="3"/>
  <c r="L75" i="3"/>
  <c r="A67" i="3"/>
  <c r="A65" i="3"/>
  <c r="B108" i="3"/>
  <c r="A99" i="3"/>
  <c r="N112" i="3"/>
  <c r="T47" i="3"/>
  <c r="U10" i="3"/>
  <c r="E21" i="3"/>
  <c r="I35" i="3"/>
  <c r="F60" i="3"/>
  <c r="M21" i="3"/>
  <c r="O33" i="3"/>
  <c r="U47" i="3"/>
  <c r="N32" i="3"/>
  <c r="V47" i="3"/>
  <c r="R45" i="3"/>
  <c r="K35" i="3"/>
  <c r="D51" i="3"/>
  <c r="N50" i="3"/>
  <c r="P27" i="3"/>
  <c r="Q38" i="3"/>
  <c r="L62" i="3"/>
  <c r="I23" i="3"/>
  <c r="A32" i="3"/>
  <c r="V51" i="3"/>
  <c r="A20" i="3"/>
  <c r="A57" i="3"/>
  <c r="J30" i="3"/>
  <c r="B13" i="3"/>
  <c r="E43" i="3"/>
  <c r="E58" i="3"/>
  <c r="I67" i="3"/>
  <c r="N62" i="3"/>
  <c r="G63" i="3"/>
  <c r="A58" i="3"/>
  <c r="V72" i="3"/>
  <c r="A77" i="3"/>
  <c r="J67" i="3"/>
  <c r="C66" i="3"/>
  <c r="E113" i="3"/>
  <c r="M105" i="3"/>
  <c r="G116" i="3"/>
  <c r="D3" i="3"/>
  <c r="W15" i="3"/>
  <c r="N18" i="3"/>
  <c r="O10" i="3"/>
  <c r="L43" i="3"/>
  <c r="V11" i="3"/>
  <c r="B4" i="3"/>
  <c r="U40" i="3"/>
  <c r="W17" i="3"/>
  <c r="N13" i="3"/>
  <c r="F26" i="3"/>
  <c r="N7" i="3"/>
  <c r="B7" i="3"/>
  <c r="D5" i="3"/>
  <c r="S24" i="3"/>
  <c r="C31" i="3"/>
  <c r="X45" i="3"/>
  <c r="T11" i="3"/>
  <c r="D23" i="3"/>
  <c r="T31" i="3"/>
  <c r="O45" i="3"/>
  <c r="L21" i="3"/>
  <c r="E38" i="3"/>
  <c r="R48" i="3"/>
  <c r="E11" i="3"/>
  <c r="E22" i="3"/>
  <c r="B36" i="3"/>
  <c r="U4" i="3"/>
  <c r="M24" i="3"/>
  <c r="R35" i="3"/>
  <c r="H48" i="3"/>
  <c r="G33" i="3"/>
  <c r="H49" i="3"/>
  <c r="E46" i="3"/>
  <c r="D36" i="3"/>
  <c r="B53" i="3"/>
  <c r="E51" i="3"/>
  <c r="X27" i="3"/>
  <c r="J39" i="3"/>
  <c r="A9" i="3"/>
  <c r="I24" i="3"/>
  <c r="I32" i="3"/>
  <c r="N52" i="3"/>
  <c r="Q20" i="3"/>
  <c r="O59" i="3"/>
  <c r="J32" i="3"/>
  <c r="R15" i="3"/>
  <c r="N43" i="3"/>
  <c r="O58" i="3"/>
  <c r="M71" i="3"/>
  <c r="E63" i="3"/>
  <c r="V74" i="3"/>
  <c r="L73" i="3"/>
  <c r="D85" i="3"/>
  <c r="A52" i="3"/>
  <c r="G81" i="3"/>
  <c r="J88" i="3"/>
  <c r="C104" i="3"/>
  <c r="B98" i="3"/>
  <c r="X132" i="3"/>
  <c r="O9" i="3"/>
  <c r="L8" i="3"/>
  <c r="X6" i="3"/>
  <c r="K3" i="3"/>
  <c r="U45" i="3"/>
  <c r="C8" i="3"/>
  <c r="F28" i="3"/>
  <c r="K24" i="3"/>
  <c r="L11" i="3"/>
  <c r="L31" i="3"/>
  <c r="D21" i="3"/>
  <c r="X32" i="3"/>
  <c r="G19" i="3"/>
  <c r="W4" i="3"/>
  <c r="K12" i="3"/>
  <c r="M4" i="3"/>
  <c r="U43" i="3"/>
  <c r="P18" i="3"/>
  <c r="V19" i="3"/>
  <c r="W27" i="3"/>
  <c r="V36" i="3"/>
  <c r="S4" i="3"/>
  <c r="N22" i="3"/>
  <c r="W29" i="3"/>
  <c r="C9" i="3"/>
  <c r="K31" i="3"/>
  <c r="V38" i="3"/>
  <c r="M11" i="3"/>
  <c r="U49" i="3"/>
  <c r="L50" i="3"/>
  <c r="O55" i="3"/>
  <c r="H28" i="3"/>
  <c r="E41" i="3"/>
  <c r="Q24" i="3"/>
  <c r="Q32" i="3"/>
  <c r="S54" i="3"/>
  <c r="N35" i="3"/>
  <c r="J16" i="3"/>
  <c r="R32" i="3"/>
  <c r="B17" i="3"/>
  <c r="W43" i="3"/>
  <c r="R65" i="3"/>
  <c r="I74" i="3"/>
  <c r="N70" i="3"/>
  <c r="E53" i="3"/>
  <c r="N45" i="3"/>
  <c r="Q86" i="3"/>
  <c r="C53" i="3"/>
  <c r="S81" i="3"/>
  <c r="J91" i="3"/>
  <c r="X104" i="3"/>
  <c r="S98" i="3"/>
  <c r="L128" i="3"/>
  <c r="K9" i="3"/>
  <c r="N12" i="3"/>
  <c r="J2" i="3"/>
  <c r="N27" i="3"/>
  <c r="V4" i="3"/>
  <c r="S5" i="3"/>
  <c r="V12" i="3"/>
  <c r="Q39" i="3"/>
  <c r="C18" i="3"/>
  <c r="H41" i="3"/>
  <c r="T5" i="3"/>
  <c r="W22" i="3"/>
  <c r="R46" i="3"/>
  <c r="E36" i="3"/>
  <c r="X5" i="3"/>
  <c r="S10" i="3"/>
  <c r="N8" i="3"/>
  <c r="A8" i="3"/>
  <c r="O2" i="3"/>
  <c r="P5" i="3"/>
  <c r="F9" i="3"/>
  <c r="P7" i="3"/>
  <c r="J34" i="3"/>
  <c r="W14" i="3"/>
  <c r="R8" i="3"/>
  <c r="J5" i="3"/>
  <c r="C13" i="3"/>
  <c r="O37" i="3"/>
  <c r="X4" i="3"/>
  <c r="K7" i="3"/>
  <c r="B37" i="3"/>
  <c r="N19" i="3"/>
  <c r="C7" i="3"/>
  <c r="S9" i="3"/>
  <c r="H38" i="3"/>
  <c r="S18" i="3"/>
  <c r="U50" i="3"/>
  <c r="D12" i="3"/>
  <c r="T23" i="3"/>
  <c r="D32" i="3"/>
  <c r="I47" i="3"/>
  <c r="T21" i="3"/>
  <c r="S49" i="3"/>
  <c r="M22" i="3"/>
  <c r="S36" i="3"/>
  <c r="E5" i="3"/>
  <c r="U24" i="3"/>
  <c r="D37" i="3"/>
  <c r="X33" i="3"/>
  <c r="L47" i="3"/>
  <c r="M36" i="3"/>
  <c r="S51" i="3"/>
  <c r="Q9" i="3"/>
  <c r="T35" i="3"/>
  <c r="S7" i="3"/>
  <c r="F19" i="3"/>
  <c r="F23" i="3"/>
  <c r="W3" i="3"/>
  <c r="I6" i="3"/>
  <c r="V16" i="3"/>
  <c r="S13" i="3"/>
  <c r="A39" i="3"/>
  <c r="K6" i="3"/>
  <c r="L53" i="3"/>
  <c r="W7" i="3"/>
  <c r="G24" i="3"/>
  <c r="D55" i="3"/>
  <c r="X20" i="3"/>
  <c r="O12" i="3"/>
  <c r="Q33" i="3"/>
  <c r="W30" i="3"/>
  <c r="P9" i="3"/>
  <c r="P35" i="3"/>
  <c r="B12" i="3"/>
  <c r="X13" i="3"/>
  <c r="O7" i="3"/>
  <c r="H21" i="3"/>
  <c r="S12" i="3"/>
  <c r="S39" i="3"/>
  <c r="J10" i="3"/>
  <c r="C19" i="3"/>
  <c r="K25" i="3"/>
  <c r="S31" i="3"/>
  <c r="C52" i="3"/>
  <c r="L12" i="3"/>
  <c r="L24" i="3"/>
  <c r="L32" i="3"/>
  <c r="R49" i="3"/>
  <c r="D22" i="3"/>
  <c r="O39" i="3"/>
  <c r="J50" i="3"/>
  <c r="U12" i="3"/>
  <c r="U22" i="3"/>
  <c r="L37" i="3"/>
  <c r="M5" i="3"/>
  <c r="E25" i="3"/>
  <c r="M37" i="3"/>
  <c r="B51" i="3"/>
  <c r="Q34" i="3"/>
  <c r="C51" i="3"/>
  <c r="I48" i="3"/>
  <c r="F37" i="3"/>
  <c r="O56" i="3"/>
  <c r="U53" i="3"/>
  <c r="X28" i="3"/>
  <c r="H42" i="3"/>
  <c r="A10" i="3"/>
  <c r="A25" i="3"/>
  <c r="J33" i="3"/>
  <c r="W56" i="3"/>
  <c r="G36" i="3"/>
  <c r="R16" i="3"/>
  <c r="F35" i="3"/>
  <c r="R17" i="3"/>
  <c r="H44" i="3"/>
  <c r="K66" i="3"/>
  <c r="A45" i="3"/>
  <c r="Q71" i="3"/>
  <c r="I55" i="3"/>
  <c r="G46" i="3"/>
  <c r="M66" i="3"/>
  <c r="L64" i="3"/>
  <c r="W75" i="3"/>
  <c r="F78" i="3"/>
  <c r="O100" i="3"/>
  <c r="B107" i="3"/>
  <c r="M136" i="3"/>
  <c r="P94" i="3"/>
  <c r="N21" i="3"/>
  <c r="O28" i="3"/>
  <c r="L5" i="3"/>
  <c r="D7" i="3"/>
  <c r="S30" i="3"/>
  <c r="L22" i="3"/>
  <c r="E45" i="3"/>
  <c r="T37" i="3"/>
  <c r="C11" i="3"/>
  <c r="F10" i="3"/>
  <c r="J11" i="3"/>
  <c r="G5" i="3"/>
  <c r="X44" i="3"/>
  <c r="K18" i="3"/>
  <c r="H6" i="3"/>
  <c r="X19" i="3"/>
  <c r="D47" i="3"/>
  <c r="X11" i="3"/>
  <c r="G20" i="3"/>
  <c r="B9" i="3"/>
  <c r="O20" i="3"/>
  <c r="S8" i="3"/>
  <c r="C2" i="3"/>
  <c r="P8" i="3"/>
  <c r="C25" i="3"/>
  <c r="G40" i="3"/>
  <c r="G8" i="3"/>
  <c r="H7" i="3"/>
  <c r="W24" i="3"/>
  <c r="N10" i="3"/>
  <c r="V6" i="3"/>
  <c r="G29" i="3"/>
  <c r="K14" i="3"/>
  <c r="O43" i="3"/>
  <c r="W6" i="3"/>
  <c r="E49" i="3"/>
  <c r="K8" i="3"/>
  <c r="F25" i="3"/>
  <c r="G28" i="3"/>
  <c r="P33" i="3"/>
  <c r="G13" i="3"/>
  <c r="C35" i="3"/>
  <c r="F44" i="3"/>
  <c r="G10" i="3"/>
  <c r="B11" i="3"/>
  <c r="P12" i="3"/>
  <c r="H15" i="3"/>
  <c r="B8" i="3"/>
  <c r="R6" i="3"/>
  <c r="K13" i="3"/>
  <c r="C42" i="3"/>
  <c r="X10" i="3"/>
  <c r="K19" i="3"/>
  <c r="S25" i="3"/>
  <c r="S32" i="3"/>
  <c r="S52" i="3"/>
  <c r="T12" i="3"/>
  <c r="D25" i="3"/>
  <c r="T32" i="3"/>
  <c r="V50" i="3"/>
  <c r="T22" i="3"/>
  <c r="H40" i="3"/>
  <c r="H54" i="3"/>
  <c r="M13" i="3"/>
  <c r="E23" i="3"/>
  <c r="U37" i="3"/>
  <c r="U5" i="3"/>
  <c r="E26" i="3"/>
  <c r="F38" i="3"/>
  <c r="O51" i="3"/>
  <c r="J35" i="3"/>
  <c r="Q51" i="3"/>
  <c r="I49" i="3"/>
  <c r="W37" i="3"/>
  <c r="U57" i="3"/>
  <c r="F59" i="3"/>
  <c r="P29" i="3"/>
  <c r="Q42" i="3"/>
  <c r="Q10" i="3"/>
  <c r="I25" i="3"/>
  <c r="E35" i="3"/>
  <c r="H68" i="3"/>
  <c r="X36" i="3"/>
  <c r="J17" i="3"/>
  <c r="P36" i="3"/>
  <c r="B18" i="3"/>
  <c r="D48" i="3"/>
  <c r="V73" i="3"/>
  <c r="J45" i="3"/>
  <c r="F42" i="3"/>
  <c r="J58" i="3"/>
  <c r="Q53" i="3"/>
  <c r="F67" i="3"/>
  <c r="E65" i="3"/>
  <c r="O77" i="3"/>
  <c r="C79" i="3"/>
  <c r="W101" i="3"/>
  <c r="B109" i="3"/>
  <c r="H147" i="3"/>
  <c r="O8" i="3"/>
  <c r="A3" i="3"/>
  <c r="C14" i="3"/>
  <c r="I61" i="3"/>
  <c r="O11" i="3"/>
  <c r="S19" i="3"/>
  <c r="C26" i="3"/>
  <c r="U33" i="3"/>
  <c r="E54" i="3"/>
  <c r="D13" i="3"/>
  <c r="L25" i="3"/>
  <c r="O34" i="3"/>
  <c r="M51" i="3"/>
  <c r="L23" i="3"/>
  <c r="A41" i="3"/>
  <c r="E55" i="3"/>
  <c r="E14" i="3"/>
  <c r="M23" i="3"/>
  <c r="N38" i="3"/>
  <c r="M8" i="3"/>
  <c r="U26" i="3"/>
  <c r="W38" i="3"/>
  <c r="P53" i="3"/>
  <c r="C36" i="3"/>
  <c r="M56" i="3"/>
  <c r="W49" i="3"/>
  <c r="P38" i="3"/>
  <c r="R39" i="3"/>
  <c r="K62" i="3"/>
  <c r="X29" i="3"/>
  <c r="I45" i="3"/>
  <c r="I11" i="3"/>
  <c r="A26" i="3"/>
  <c r="H37" i="3"/>
  <c r="I8" i="3"/>
  <c r="C39" i="3"/>
  <c r="B19" i="3"/>
  <c r="I37" i="3"/>
  <c r="R19" i="3"/>
  <c r="O48" i="3"/>
  <c r="S57" i="3"/>
  <c r="C46" i="3"/>
  <c r="I44" i="3"/>
  <c r="Q64" i="3"/>
  <c r="C58" i="3"/>
  <c r="G78" i="3"/>
  <c r="O76" i="3"/>
  <c r="E92" i="3"/>
  <c r="H78" i="3"/>
  <c r="G101" i="3"/>
  <c r="B120" i="3"/>
  <c r="K130" i="3"/>
  <c r="H8" i="3"/>
  <c r="T4" i="3"/>
  <c r="S15" i="3"/>
  <c r="V9" i="3"/>
  <c r="J8" i="3"/>
  <c r="W16" i="3"/>
  <c r="H11" i="3"/>
  <c r="V27" i="3"/>
  <c r="O17" i="3"/>
  <c r="L36" i="3"/>
  <c r="O14" i="3"/>
  <c r="S47" i="3"/>
  <c r="T2" i="3"/>
  <c r="K11" i="3"/>
  <c r="D2" i="3"/>
  <c r="P14" i="3"/>
  <c r="H17" i="3"/>
  <c r="R9" i="3"/>
  <c r="W9" i="3"/>
  <c r="S14" i="3"/>
  <c r="R5" i="3"/>
  <c r="F12" i="3"/>
  <c r="C20" i="3"/>
  <c r="K26" i="3"/>
  <c r="N34" i="3"/>
  <c r="C56" i="3"/>
  <c r="T13" i="3"/>
  <c r="T25" i="3"/>
  <c r="A36" i="3"/>
  <c r="D52" i="3"/>
  <c r="D24" i="3"/>
  <c r="J41" i="3"/>
  <c r="N61" i="3"/>
  <c r="M14" i="3"/>
  <c r="U23" i="3"/>
  <c r="G39" i="3"/>
  <c r="E9" i="3"/>
  <c r="E27" i="3"/>
  <c r="P39" i="3"/>
  <c r="J54" i="3"/>
  <c r="T36" i="3"/>
  <c r="K60" i="3"/>
  <c r="R51" i="3"/>
  <c r="I39" i="3"/>
  <c r="K40" i="3"/>
  <c r="P22" i="3"/>
  <c r="H30" i="3"/>
  <c r="Q46" i="3"/>
  <c r="Q15" i="3"/>
  <c r="Q26" i="3"/>
  <c r="A38" i="3"/>
  <c r="I10" i="3"/>
  <c r="E40" i="3"/>
  <c r="B20" i="3"/>
  <c r="B38" i="3"/>
  <c r="B24" i="3"/>
  <c r="X51" i="3"/>
  <c r="B59" i="3"/>
  <c r="T46" i="3"/>
  <c r="R44" i="3"/>
  <c r="B54" i="3"/>
  <c r="J59" i="3"/>
  <c r="R78" i="3"/>
  <c r="B77" i="3"/>
  <c r="D95" i="3"/>
  <c r="H79" i="3"/>
  <c r="X101" i="3"/>
  <c r="T123" i="3"/>
  <c r="C131" i="3"/>
  <c r="P130" i="3"/>
  <c r="I125" i="3"/>
  <c r="T135" i="3"/>
  <c r="F145" i="3"/>
  <c r="C129" i="3"/>
  <c r="S129" i="3"/>
  <c r="U63" i="3"/>
  <c r="K45" i="3"/>
  <c r="C60" i="3"/>
  <c r="W63" i="3"/>
  <c r="R59" i="3"/>
  <c r="Q56" i="3"/>
  <c r="E73" i="3"/>
  <c r="M58" i="3"/>
  <c r="X46" i="3"/>
  <c r="T59" i="3"/>
  <c r="P57" i="3"/>
  <c r="K59" i="3"/>
  <c r="W62" i="3"/>
  <c r="O73" i="3"/>
  <c r="S87" i="3"/>
  <c r="W67" i="3"/>
  <c r="O79" i="3"/>
  <c r="A97" i="3"/>
  <c r="F85" i="3"/>
  <c r="R52" i="3"/>
  <c r="T64" i="3"/>
  <c r="I78" i="3"/>
  <c r="T53" i="3"/>
  <c r="V65" i="3"/>
  <c r="W77" i="3"/>
  <c r="X66" i="3"/>
  <c r="G83" i="3"/>
  <c r="K78" i="3"/>
  <c r="P55" i="3"/>
  <c r="C68" i="3"/>
  <c r="H83" i="3"/>
  <c r="W78" i="3"/>
  <c r="B99" i="3"/>
  <c r="X75" i="3"/>
  <c r="U62" i="3"/>
  <c r="A79" i="3"/>
  <c r="A84" i="3"/>
  <c r="M67" i="3"/>
  <c r="J92" i="3"/>
  <c r="N79" i="3"/>
  <c r="P79" i="3"/>
  <c r="M95" i="3"/>
  <c r="S106" i="3"/>
  <c r="R92" i="3"/>
  <c r="U87" i="3"/>
  <c r="A116" i="3"/>
  <c r="G108" i="3"/>
  <c r="X105" i="3"/>
  <c r="E104" i="3"/>
  <c r="J89" i="3"/>
  <c r="W94" i="3"/>
  <c r="T84" i="3"/>
  <c r="X92" i="3"/>
  <c r="J106" i="3"/>
  <c r="J100" i="3"/>
  <c r="N109" i="3"/>
  <c r="G105" i="3"/>
  <c r="F135" i="3"/>
  <c r="H107" i="3"/>
  <c r="F139" i="3"/>
  <c r="N102" i="3"/>
  <c r="R116" i="3"/>
  <c r="O133" i="3"/>
  <c r="M129" i="3"/>
  <c r="X123" i="3"/>
  <c r="Q123" i="3"/>
  <c r="S149" i="3"/>
  <c r="G148" i="3"/>
  <c r="D6" i="3"/>
  <c r="O24" i="3"/>
  <c r="U3" i="3"/>
  <c r="W36" i="3"/>
  <c r="K21" i="3"/>
  <c r="S26" i="3"/>
  <c r="C32" i="3"/>
  <c r="Q41" i="3"/>
  <c r="T9" i="3"/>
  <c r="L17" i="3"/>
  <c r="T27" i="3"/>
  <c r="E33" i="3"/>
  <c r="A46" i="3"/>
  <c r="D17" i="3"/>
  <c r="U32" i="3"/>
  <c r="M42" i="3"/>
  <c r="L57" i="3"/>
  <c r="E12" i="3"/>
  <c r="M20" i="3"/>
  <c r="U31" i="3"/>
  <c r="Q43" i="3"/>
  <c r="U9" i="3"/>
  <c r="M25" i="3"/>
  <c r="H34" i="3"/>
  <c r="C44" i="3"/>
  <c r="V29" i="3"/>
  <c r="V37" i="3"/>
  <c r="X52" i="3"/>
  <c r="O46" i="3"/>
  <c r="G32" i="3"/>
  <c r="P42" i="3"/>
  <c r="D41" i="3"/>
  <c r="K52" i="3"/>
  <c r="P25" i="3"/>
  <c r="X30" i="3"/>
  <c r="C40" i="3"/>
  <c r="V56" i="3"/>
  <c r="Q12" i="3"/>
  <c r="Q22" i="3"/>
  <c r="A28" i="3"/>
  <c r="C34" i="3"/>
  <c r="E47" i="3"/>
  <c r="Q11" i="3"/>
  <c r="I21" i="3"/>
  <c r="D43" i="3"/>
  <c r="G69" i="3"/>
  <c r="B22" i="3"/>
  <c r="R30" i="3"/>
  <c r="L39" i="3"/>
  <c r="C57" i="3"/>
  <c r="R20" i="3"/>
  <c r="O35" i="3"/>
  <c r="Q44" i="3"/>
  <c r="D63" i="3"/>
  <c r="A59" i="3"/>
  <c r="T60" i="3"/>
  <c r="V82" i="3"/>
  <c r="M47" i="3"/>
  <c r="J61" i="3"/>
  <c r="N64" i="3"/>
  <c r="D46" i="3"/>
  <c r="M60" i="3"/>
  <c r="P64" i="3"/>
  <c r="D60" i="3"/>
  <c r="D57" i="3"/>
  <c r="T80" i="3"/>
  <c r="W58" i="3"/>
  <c r="Q47" i="3"/>
  <c r="R60" i="3"/>
  <c r="N58" i="3"/>
  <c r="V59" i="3"/>
  <c r="P63" i="3"/>
  <c r="H74" i="3"/>
  <c r="K88" i="3"/>
  <c r="P68" i="3"/>
  <c r="B80" i="3"/>
  <c r="P101" i="3"/>
  <c r="S85" i="3"/>
  <c r="K53" i="3"/>
  <c r="F66" i="3"/>
  <c r="O80" i="3"/>
  <c r="M54" i="3"/>
  <c r="O66" i="3"/>
  <c r="J78" i="3"/>
  <c r="Q67" i="3"/>
  <c r="H84" i="3"/>
  <c r="S79" i="3"/>
  <c r="I56" i="3"/>
  <c r="T68" i="3"/>
  <c r="M87" i="3"/>
  <c r="G80" i="3"/>
  <c r="R107" i="3"/>
  <c r="S76" i="3"/>
  <c r="G64" i="3"/>
  <c r="V81" i="3"/>
  <c r="M84" i="3"/>
  <c r="W68" i="3"/>
  <c r="X95" i="3"/>
  <c r="B83" i="3"/>
  <c r="X79" i="3"/>
  <c r="M96" i="3"/>
  <c r="J109" i="3"/>
  <c r="M93" i="3"/>
  <c r="N88" i="3"/>
  <c r="V119" i="3"/>
  <c r="L111" i="3"/>
  <c r="V109" i="3"/>
  <c r="C107" i="3"/>
  <c r="S89" i="3"/>
  <c r="T95" i="3"/>
  <c r="M85" i="3"/>
  <c r="J97" i="3"/>
  <c r="M118" i="3"/>
  <c r="V100" i="3"/>
  <c r="I116" i="3"/>
  <c r="E110" i="3"/>
  <c r="K104" i="3"/>
  <c r="S108" i="3"/>
  <c r="K112" i="3"/>
  <c r="Q104" i="3"/>
  <c r="O125" i="3"/>
  <c r="H136" i="3"/>
  <c r="G131" i="3"/>
  <c r="L124" i="3"/>
  <c r="O124" i="3"/>
  <c r="H150" i="3"/>
  <c r="A150" i="3"/>
  <c r="I38" i="3"/>
  <c r="S21" i="3"/>
  <c r="C27" i="3"/>
  <c r="K32" i="3"/>
  <c r="D45" i="3"/>
  <c r="D10" i="3"/>
  <c r="D18" i="3"/>
  <c r="D28" i="3"/>
  <c r="V33" i="3"/>
  <c r="L46" i="3"/>
  <c r="T17" i="3"/>
  <c r="N33" i="3"/>
  <c r="V42" i="3"/>
  <c r="Q58" i="3"/>
  <c r="M12" i="3"/>
  <c r="U20" i="3"/>
  <c r="E32" i="3"/>
  <c r="F45" i="3"/>
  <c r="E10" i="3"/>
  <c r="U25" i="3"/>
  <c r="A35" i="3"/>
  <c r="L44" i="3"/>
  <c r="F30" i="3"/>
  <c r="O38" i="3"/>
  <c r="K54" i="3"/>
  <c r="B47" i="3"/>
  <c r="O32" i="3"/>
  <c r="A43" i="3"/>
  <c r="B43" i="3"/>
  <c r="D53" i="3"/>
  <c r="X25" i="3"/>
  <c r="H31" i="3"/>
  <c r="T40" i="3"/>
  <c r="W57" i="3"/>
  <c r="A15" i="3"/>
  <c r="A23" i="3"/>
  <c r="I28" i="3"/>
  <c r="T34" i="3"/>
  <c r="M48" i="3"/>
  <c r="A12" i="3"/>
  <c r="B33" i="3"/>
  <c r="M43" i="3"/>
  <c r="J13" i="3"/>
  <c r="J22" i="3"/>
  <c r="B31" i="3"/>
  <c r="U39" i="3"/>
  <c r="G58" i="3"/>
  <c r="R21" i="3"/>
  <c r="H36" i="3"/>
  <c r="M45" i="3"/>
  <c r="L48" i="3"/>
  <c r="W59" i="3"/>
  <c r="F61" i="3"/>
  <c r="K64" i="3"/>
  <c r="F48" i="3"/>
  <c r="M62" i="3"/>
  <c r="G65" i="3"/>
  <c r="U46" i="3"/>
  <c r="K61" i="3"/>
  <c r="I65" i="3"/>
  <c r="O60" i="3"/>
  <c r="N57" i="3"/>
  <c r="K63" i="3"/>
  <c r="I59" i="3"/>
  <c r="B48" i="3"/>
  <c r="D61" i="3"/>
  <c r="X58" i="3"/>
  <c r="S60" i="3"/>
  <c r="I64" i="3"/>
  <c r="A75" i="3"/>
  <c r="C89" i="3"/>
  <c r="I69" i="3"/>
  <c r="M80" i="3"/>
  <c r="H73" i="3"/>
  <c r="G86" i="3"/>
  <c r="D54" i="3"/>
  <c r="W66" i="3"/>
  <c r="D81" i="3"/>
  <c r="F55" i="3"/>
  <c r="H67" i="3"/>
  <c r="G79" i="3"/>
  <c r="B68" i="3"/>
  <c r="H85" i="3"/>
  <c r="F80" i="3"/>
  <c r="R56" i="3"/>
  <c r="M69" i="3"/>
  <c r="S88" i="3"/>
  <c r="I82" i="3"/>
  <c r="V63" i="3"/>
  <c r="F77" i="3"/>
  <c r="X64" i="3"/>
  <c r="W82" i="3"/>
  <c r="B85" i="3"/>
  <c r="P69" i="3"/>
  <c r="H100" i="3"/>
  <c r="C85" i="3"/>
  <c r="H80" i="3"/>
  <c r="O98" i="3"/>
  <c r="A111" i="3"/>
  <c r="W93" i="3"/>
  <c r="G89" i="3"/>
  <c r="F95" i="3"/>
  <c r="R113" i="3"/>
  <c r="P121" i="3"/>
  <c r="T76" i="3"/>
  <c r="D90" i="3"/>
  <c r="H96" i="3"/>
  <c r="F86" i="3"/>
  <c r="N103" i="3"/>
  <c r="J107" i="3"/>
  <c r="A106" i="3"/>
  <c r="U112" i="3"/>
  <c r="F111" i="3"/>
  <c r="R106" i="3"/>
  <c r="R124" i="3"/>
  <c r="E124" i="3"/>
  <c r="A110" i="3"/>
  <c r="J104" i="3"/>
  <c r="C114" i="3"/>
  <c r="D137" i="3"/>
  <c r="G141" i="3"/>
  <c r="Q134" i="3"/>
  <c r="I127" i="3"/>
  <c r="X143" i="3"/>
  <c r="S33" i="3"/>
  <c r="V43" i="3"/>
  <c r="B14" i="3"/>
  <c r="J23" i="3"/>
  <c r="J31" i="3"/>
  <c r="N40" i="3"/>
  <c r="P59" i="3"/>
  <c r="R22" i="3"/>
  <c r="A37" i="3"/>
  <c r="J46" i="3"/>
  <c r="U48" i="3"/>
  <c r="I60" i="3"/>
  <c r="S61" i="3"/>
  <c r="D65" i="3"/>
  <c r="D50" i="3"/>
  <c r="T63" i="3"/>
  <c r="X65" i="3"/>
  <c r="N47" i="3"/>
  <c r="F63" i="3"/>
  <c r="O67" i="3"/>
  <c r="B61" i="3"/>
  <c r="X57" i="3"/>
  <c r="S67" i="3"/>
  <c r="Q60" i="3"/>
  <c r="S48" i="3"/>
  <c r="P61" i="3"/>
  <c r="H60" i="3"/>
  <c r="E61" i="3"/>
  <c r="R64" i="3"/>
  <c r="J75" i="3"/>
  <c r="P90" i="3"/>
  <c r="R69" i="3"/>
  <c r="A81" i="3"/>
  <c r="A74" i="3"/>
  <c r="T86" i="3"/>
  <c r="N55" i="3"/>
  <c r="I68" i="3"/>
  <c r="P81" i="3"/>
  <c r="W55" i="3"/>
  <c r="A68" i="3"/>
  <c r="R79" i="3"/>
  <c r="S68" i="3"/>
  <c r="I86" i="3"/>
  <c r="R81" i="3"/>
  <c r="K57" i="3"/>
  <c r="F70" i="3"/>
  <c r="E93" i="3"/>
  <c r="J84" i="3"/>
  <c r="O64" i="3"/>
  <c r="N78" i="3"/>
  <c r="B66" i="3"/>
  <c r="X83" i="3"/>
  <c r="C86" i="3"/>
  <c r="R70" i="3"/>
  <c r="V67" i="3"/>
  <c r="D86" i="3"/>
  <c r="Q80" i="3"/>
  <c r="X100" i="3"/>
  <c r="C113" i="3"/>
  <c r="S94" i="3"/>
  <c r="P89" i="3"/>
  <c r="E98" i="3"/>
  <c r="S116" i="3"/>
  <c r="W87" i="3"/>
  <c r="L77" i="3"/>
  <c r="M90" i="3"/>
  <c r="T96" i="3"/>
  <c r="E90" i="3"/>
  <c r="K105" i="3"/>
  <c r="V116" i="3"/>
  <c r="L109" i="3"/>
  <c r="L113" i="3"/>
  <c r="E114" i="3"/>
  <c r="G107" i="3"/>
  <c r="S124" i="3"/>
  <c r="T131" i="3"/>
  <c r="M112" i="3"/>
  <c r="V106" i="3"/>
  <c r="O116" i="3"/>
  <c r="F140" i="3"/>
  <c r="K143" i="3"/>
  <c r="K135" i="3"/>
  <c r="Q128" i="3"/>
  <c r="L144" i="3"/>
  <c r="K22" i="3"/>
  <c r="S27" i="3"/>
  <c r="L33" i="3"/>
  <c r="P48" i="3"/>
  <c r="T10" i="3"/>
  <c r="D19" i="3"/>
  <c r="T28" i="3"/>
  <c r="H35" i="3"/>
  <c r="Q48" i="3"/>
  <c r="L20" i="3"/>
  <c r="X34" i="3"/>
  <c r="B44" i="3"/>
  <c r="E6" i="3"/>
  <c r="E13" i="3"/>
  <c r="U21" i="3"/>
  <c r="F33" i="3"/>
  <c r="G49" i="3"/>
  <c r="U13" i="3"/>
  <c r="M26" i="3"/>
  <c r="K36" i="3"/>
  <c r="N46" i="3"/>
  <c r="V30" i="3"/>
  <c r="A40" i="3"/>
  <c r="T57" i="3"/>
  <c r="W47" i="3"/>
  <c r="A34" i="3"/>
  <c r="S45" i="3"/>
  <c r="T43" i="3"/>
  <c r="Q54" i="3"/>
  <c r="P26" i="3"/>
  <c r="X31" i="3"/>
  <c r="N41" i="3"/>
  <c r="Q50" i="3"/>
  <c r="I16" i="3"/>
  <c r="Q23" i="3"/>
  <c r="A29" i="3"/>
  <c r="V35" i="3"/>
  <c r="C50" i="3"/>
  <c r="A13" i="3"/>
  <c r="L34" i="3"/>
  <c r="G44" i="3"/>
  <c r="B15" i="3"/>
  <c r="J24" i="3"/>
  <c r="R31" i="3"/>
  <c r="G41" i="3"/>
  <c r="C61" i="3"/>
  <c r="B23" i="3"/>
  <c r="R37" i="3"/>
  <c r="G47" i="3"/>
  <c r="F49" i="3"/>
  <c r="I62" i="3"/>
  <c r="J62" i="3"/>
  <c r="U65" i="3"/>
  <c r="X50" i="3"/>
  <c r="M64" i="3"/>
  <c r="Q66" i="3"/>
  <c r="G48" i="3"/>
  <c r="R66" i="3"/>
  <c r="N69" i="3"/>
  <c r="R62" i="3"/>
  <c r="V58" i="3"/>
  <c r="Q68" i="3"/>
  <c r="T62" i="3"/>
  <c r="D49" i="3"/>
  <c r="B67" i="3"/>
  <c r="G62" i="3"/>
  <c r="R61" i="3"/>
  <c r="K65" i="3"/>
  <c r="C76" i="3"/>
  <c r="K91" i="3"/>
  <c r="K70" i="3"/>
  <c r="B82" i="3"/>
  <c r="J74" i="3"/>
  <c r="I87" i="3"/>
  <c r="G56" i="3"/>
  <c r="R68" i="3"/>
  <c r="E82" i="3"/>
  <c r="P56" i="3"/>
  <c r="J68" i="3"/>
  <c r="Q81" i="3"/>
  <c r="L69" i="3"/>
  <c r="B88" i="3"/>
  <c r="S82" i="3"/>
  <c r="D58" i="3"/>
  <c r="W70" i="3"/>
  <c r="B95" i="3"/>
  <c r="V84" i="3"/>
  <c r="H65" i="3"/>
  <c r="V79" i="3"/>
  <c r="S66" i="3"/>
  <c r="N86" i="3"/>
  <c r="C87" i="3"/>
  <c r="K71" i="3"/>
  <c r="O68" i="3"/>
  <c r="X88" i="3"/>
  <c r="J81" i="3"/>
  <c r="C103" i="3"/>
  <c r="R80" i="3"/>
  <c r="B96" i="3"/>
  <c r="A90" i="3"/>
  <c r="B104" i="3"/>
  <c r="I89" i="3"/>
  <c r="P88" i="3"/>
  <c r="L78" i="3"/>
  <c r="S95" i="3"/>
  <c r="I101" i="3"/>
  <c r="D94" i="3"/>
  <c r="I106" i="3"/>
  <c r="P120" i="3"/>
  <c r="M110" i="3"/>
  <c r="G117" i="3"/>
  <c r="M116" i="3"/>
  <c r="K117" i="3"/>
  <c r="V128" i="3"/>
  <c r="E135" i="3"/>
  <c r="V114" i="3"/>
  <c r="O107" i="3"/>
  <c r="H117" i="3"/>
  <c r="D141" i="3"/>
  <c r="N126" i="3"/>
  <c r="V129" i="3"/>
  <c r="M147" i="3"/>
  <c r="F147" i="3"/>
  <c r="R34" i="3"/>
  <c r="P46" i="3"/>
  <c r="E44" i="3"/>
  <c r="V57" i="3"/>
  <c r="X26" i="3"/>
  <c r="H32" i="3"/>
  <c r="W41" i="3"/>
  <c r="U51" i="3"/>
  <c r="Q16" i="3"/>
  <c r="A24" i="3"/>
  <c r="I29" i="3"/>
  <c r="O36" i="3"/>
  <c r="R50" i="3"/>
  <c r="I13" i="3"/>
  <c r="U34" i="3"/>
  <c r="P44" i="3"/>
  <c r="J15" i="3"/>
  <c r="B25" i="3"/>
  <c r="B32" i="3"/>
  <c r="P41" i="3"/>
  <c r="C63" i="3"/>
  <c r="R23" i="3"/>
  <c r="K38" i="3"/>
  <c r="R47" i="3"/>
  <c r="A50" i="3"/>
  <c r="X62" i="3"/>
  <c r="B65" i="3"/>
  <c r="N66" i="3"/>
  <c r="J51" i="3"/>
  <c r="F65" i="3"/>
  <c r="K68" i="3"/>
  <c r="J49" i="3"/>
  <c r="L68" i="3"/>
  <c r="Q70" i="3"/>
  <c r="X63" i="3"/>
  <c r="H59" i="3"/>
  <c r="S69" i="3"/>
  <c r="D64" i="3"/>
  <c r="N49" i="3"/>
  <c r="U67" i="3"/>
  <c r="M63" i="3"/>
  <c r="F64" i="3"/>
  <c r="D66" i="3"/>
  <c r="I77" i="3"/>
  <c r="P92" i="3"/>
  <c r="D71" i="3"/>
  <c r="C83" i="3"/>
  <c r="C75" i="3"/>
  <c r="M88" i="3"/>
  <c r="Q57" i="3"/>
  <c r="K69" i="3"/>
  <c r="E83" i="3"/>
  <c r="I57" i="3"/>
  <c r="C69" i="3"/>
  <c r="R82" i="3"/>
  <c r="V70" i="3"/>
  <c r="B93" i="3"/>
  <c r="T83" i="3"/>
  <c r="U58" i="3"/>
  <c r="I72" i="3"/>
  <c r="E69" i="3"/>
  <c r="K85" i="3"/>
  <c r="A66" i="3"/>
  <c r="I81" i="3"/>
  <c r="L67" i="3"/>
  <c r="B87" i="3"/>
  <c r="W88" i="3"/>
  <c r="D72" i="3"/>
  <c r="H69" i="3"/>
  <c r="U93" i="3"/>
  <c r="C82" i="3"/>
  <c r="T107" i="3"/>
  <c r="K81" i="3"/>
  <c r="K102" i="3"/>
  <c r="N91" i="3"/>
  <c r="W105" i="3"/>
  <c r="R89" i="3"/>
  <c r="A89" i="3"/>
  <c r="T78" i="3"/>
  <c r="A100" i="3"/>
  <c r="M103" i="3"/>
  <c r="N94" i="3"/>
  <c r="J110" i="3"/>
  <c r="Q121" i="3"/>
  <c r="O114" i="3"/>
  <c r="D118" i="3"/>
  <c r="J90" i="3"/>
  <c r="F109" i="3"/>
  <c r="D109" i="3"/>
  <c r="S99" i="3"/>
  <c r="D117" i="3"/>
  <c r="R109" i="3"/>
  <c r="K119" i="3"/>
  <c r="N144" i="3"/>
  <c r="B127" i="3"/>
  <c r="M130" i="3"/>
  <c r="A148" i="3"/>
  <c r="S147" i="3"/>
  <c r="U64" i="3"/>
  <c r="I50" i="3"/>
  <c r="B71" i="3"/>
  <c r="U68" i="3"/>
  <c r="W64" i="3"/>
  <c r="U66" i="3"/>
  <c r="Q78" i="3"/>
  <c r="L96" i="3"/>
  <c r="U71" i="3"/>
  <c r="D84" i="3"/>
  <c r="T75" i="3"/>
  <c r="R90" i="3"/>
  <c r="B58" i="3"/>
  <c r="D70" i="3"/>
  <c r="R83" i="3"/>
  <c r="R57" i="3"/>
  <c r="T69" i="3"/>
  <c r="S83" i="3"/>
  <c r="O71" i="3"/>
  <c r="Q94" i="3"/>
  <c r="I84" i="3"/>
  <c r="N59" i="3"/>
  <c r="R72" i="3"/>
  <c r="V69" i="3"/>
  <c r="W85" i="3"/>
  <c r="J66" i="3"/>
  <c r="J82" i="3"/>
  <c r="E68" i="3"/>
  <c r="Q87" i="3"/>
  <c r="O89" i="3"/>
  <c r="U72" i="3"/>
  <c r="J70" i="3"/>
  <c r="W100" i="3"/>
  <c r="T82" i="3"/>
  <c r="W110" i="3"/>
  <c r="D82" i="3"/>
  <c r="U106" i="3"/>
  <c r="I92" i="3"/>
  <c r="W106" i="3"/>
  <c r="A92" i="3"/>
  <c r="V90" i="3"/>
  <c r="D79" i="3"/>
  <c r="E105" i="3"/>
  <c r="O117" i="3"/>
  <c r="I95" i="3"/>
  <c r="E112" i="3"/>
  <c r="G96" i="3"/>
  <c r="E116" i="3"/>
  <c r="J96" i="3"/>
  <c r="V92" i="3"/>
  <c r="G110" i="3"/>
  <c r="M115" i="3"/>
  <c r="W103" i="3"/>
  <c r="X135" i="3"/>
  <c r="B114" i="3"/>
  <c r="K123" i="3"/>
  <c r="P116" i="3"/>
  <c r="X144" i="3"/>
  <c r="T142" i="3"/>
  <c r="J139" i="3"/>
  <c r="W144" i="3"/>
  <c r="G50" i="3"/>
  <c r="N68" i="3"/>
  <c r="C62" i="3"/>
  <c r="B81" i="3"/>
  <c r="N65" i="3"/>
  <c r="S50" i="3"/>
  <c r="F72" i="3"/>
  <c r="X69" i="3"/>
  <c r="P65" i="3"/>
  <c r="N67" i="3"/>
  <c r="A80" i="3"/>
  <c r="V61" i="3"/>
  <c r="N72" i="3"/>
  <c r="Q84" i="3"/>
  <c r="K77" i="3"/>
  <c r="G94" i="3"/>
  <c r="S58" i="3"/>
  <c r="U70" i="3"/>
  <c r="E89" i="3"/>
  <c r="K58" i="3"/>
  <c r="M70" i="3"/>
  <c r="T85" i="3"/>
  <c r="A73" i="3"/>
  <c r="A98" i="3"/>
  <c r="U84" i="3"/>
  <c r="G60" i="3"/>
  <c r="K73" i="3"/>
  <c r="H71" i="3"/>
  <c r="L86" i="3"/>
  <c r="T67" i="3"/>
  <c r="L84" i="3"/>
  <c r="V68" i="3"/>
  <c r="I90" i="3"/>
  <c r="H92" i="3"/>
  <c r="N73" i="3"/>
  <c r="T71" i="3"/>
  <c r="N118" i="3"/>
  <c r="F84" i="3"/>
  <c r="R112" i="3"/>
  <c r="U82" i="3"/>
  <c r="M109" i="3"/>
  <c r="D93" i="3"/>
  <c r="E108" i="3"/>
  <c r="F93" i="3"/>
  <c r="G91" i="3"/>
  <c r="L79" i="3"/>
  <c r="C106" i="3"/>
  <c r="M76" i="3"/>
  <c r="V97" i="3"/>
  <c r="K114" i="3"/>
  <c r="X96" i="3"/>
  <c r="U130" i="3"/>
  <c r="V98" i="3"/>
  <c r="O93" i="3"/>
  <c r="P113" i="3"/>
  <c r="X119" i="3"/>
  <c r="K106" i="3"/>
  <c r="N125" i="3"/>
  <c r="T118" i="3"/>
  <c r="H125" i="3"/>
  <c r="D119" i="3"/>
  <c r="W149" i="3"/>
  <c r="C144" i="3"/>
  <c r="U139" i="3"/>
  <c r="J145" i="3"/>
  <c r="R27" i="3"/>
  <c r="K33" i="3"/>
  <c r="W45" i="3"/>
  <c r="R13" i="3"/>
  <c r="J25" i="3"/>
  <c r="F40" i="3"/>
  <c r="C49" i="3"/>
  <c r="S53" i="3"/>
  <c r="E67" i="3"/>
  <c r="B69" i="3"/>
  <c r="O72" i="3"/>
  <c r="A53" i="3"/>
  <c r="K67" i="3"/>
  <c r="O74" i="3"/>
  <c r="K51" i="3"/>
  <c r="R74" i="3"/>
  <c r="L51" i="3"/>
  <c r="T70" i="3"/>
  <c r="I63" i="3"/>
  <c r="N54" i="3"/>
  <c r="G66" i="3"/>
  <c r="N51" i="3"/>
  <c r="K75" i="3"/>
  <c r="P73" i="3"/>
  <c r="I66" i="3"/>
  <c r="G68" i="3"/>
  <c r="L80" i="3"/>
  <c r="O62" i="3"/>
  <c r="G73" i="3"/>
  <c r="Q85" i="3"/>
  <c r="V77" i="3"/>
  <c r="L97" i="3"/>
  <c r="L59" i="3"/>
  <c r="N71" i="3"/>
  <c r="W89" i="3"/>
  <c r="D59" i="3"/>
  <c r="F71" i="3"/>
  <c r="H86" i="3"/>
  <c r="J73" i="3"/>
  <c r="S103" i="3"/>
  <c r="J85" i="3"/>
  <c r="Q61" i="3"/>
  <c r="U74" i="3"/>
  <c r="A72" i="3"/>
  <c r="X86" i="3"/>
  <c r="F69" i="3"/>
  <c r="X85" i="3"/>
  <c r="O69" i="3"/>
  <c r="G92" i="3"/>
  <c r="O112" i="3"/>
  <c r="G74" i="3"/>
  <c r="F73" i="3"/>
  <c r="B103" i="3"/>
  <c r="P85" i="3"/>
  <c r="K115" i="3"/>
  <c r="G84" i="3"/>
  <c r="E111" i="3"/>
  <c r="E95" i="3"/>
  <c r="K111" i="3"/>
  <c r="U94" i="3"/>
  <c r="P91" i="3"/>
  <c r="T79" i="3"/>
  <c r="L108" i="3"/>
  <c r="U76" i="3"/>
  <c r="B100" i="3"/>
  <c r="V95" i="3"/>
  <c r="D104" i="3"/>
  <c r="W130" i="3"/>
  <c r="K101" i="3"/>
  <c r="R95" i="3"/>
  <c r="G114" i="3"/>
  <c r="O120" i="3"/>
  <c r="D107" i="3"/>
  <c r="T126" i="3"/>
  <c r="G119" i="3"/>
  <c r="U125" i="3"/>
  <c r="U119" i="3"/>
  <c r="P128" i="3"/>
  <c r="T134" i="3"/>
  <c r="X146" i="3"/>
  <c r="I151" i="3"/>
  <c r="Q37" i="3"/>
  <c r="S46" i="3"/>
  <c r="J18" i="3"/>
  <c r="B28" i="3"/>
  <c r="D34" i="3"/>
  <c r="I46" i="3"/>
  <c r="J14" i="3"/>
  <c r="R25" i="3"/>
  <c r="W40" i="3"/>
  <c r="P49" i="3"/>
  <c r="C55" i="3"/>
  <c r="A69" i="3"/>
  <c r="L72" i="3"/>
  <c r="D76" i="3"/>
  <c r="W53" i="3"/>
  <c r="J69" i="3"/>
  <c r="V83" i="3"/>
  <c r="F52" i="3"/>
  <c r="I58" i="3"/>
  <c r="G52" i="3"/>
  <c r="V71" i="3"/>
  <c r="B64" i="3"/>
  <c r="K55" i="3"/>
  <c r="U69" i="3"/>
  <c r="U52" i="3"/>
  <c r="H87" i="3"/>
  <c r="O75" i="3"/>
  <c r="D67" i="3"/>
  <c r="X68" i="3"/>
  <c r="X80" i="3"/>
  <c r="H63" i="3"/>
  <c r="Q74" i="3"/>
  <c r="F87" i="3"/>
  <c r="F79" i="3"/>
  <c r="H102" i="3"/>
  <c r="E60" i="3"/>
  <c r="G72" i="3"/>
  <c r="T90" i="3"/>
  <c r="U59" i="3"/>
  <c r="P72" i="3"/>
  <c r="J87" i="3"/>
  <c r="C74" i="3"/>
  <c r="B73" i="3"/>
  <c r="V85" i="3"/>
  <c r="B62" i="3"/>
  <c r="N75" i="3"/>
  <c r="J72" i="3"/>
  <c r="L89" i="3"/>
  <c r="P70" i="3"/>
  <c r="M86" i="3"/>
  <c r="H70" i="3"/>
  <c r="G77" i="3"/>
  <c r="L61" i="3"/>
  <c r="X74" i="3"/>
  <c r="I75" i="3"/>
  <c r="O105" i="3"/>
  <c r="R86" i="3"/>
  <c r="N95" i="3"/>
  <c r="I85" i="3"/>
  <c r="D113" i="3"/>
  <c r="O96" i="3"/>
  <c r="I113" i="3"/>
  <c r="G95" i="3"/>
  <c r="V94" i="3"/>
  <c r="D80" i="3"/>
  <c r="D110" i="3"/>
  <c r="E77" i="3"/>
  <c r="R100" i="3"/>
  <c r="D102" i="3"/>
  <c r="K107" i="3"/>
  <c r="O106" i="3"/>
  <c r="G104" i="3"/>
  <c r="K96" i="3"/>
  <c r="P124" i="3"/>
  <c r="C126" i="3"/>
  <c r="G109" i="3"/>
  <c r="R132" i="3"/>
  <c r="M121" i="3"/>
  <c r="J127" i="3"/>
  <c r="X121" i="3"/>
  <c r="F129" i="3"/>
  <c r="N135" i="3"/>
  <c r="C148" i="3"/>
  <c r="K151" i="3"/>
  <c r="H23" i="3"/>
  <c r="P28" i="3"/>
  <c r="L35" i="3"/>
  <c r="W48" i="3"/>
  <c r="Q8" i="3"/>
  <c r="I19" i="3"/>
  <c r="Q25" i="3"/>
  <c r="A31" i="3"/>
  <c r="D40" i="3"/>
  <c r="S55" i="3"/>
  <c r="I15" i="3"/>
  <c r="J38" i="3"/>
  <c r="F47" i="3"/>
  <c r="R18" i="3"/>
  <c r="J28" i="3"/>
  <c r="M34" i="3"/>
  <c r="N48" i="3"/>
  <c r="R14" i="3"/>
  <c r="J26" i="3"/>
  <c r="B42" i="3"/>
  <c r="T50" i="3"/>
  <c r="M55" i="3"/>
  <c r="G71" i="3"/>
  <c r="O82" i="3"/>
  <c r="Q72" i="3"/>
  <c r="I54" i="3"/>
  <c r="L70" i="3"/>
  <c r="M41" i="3"/>
  <c r="P52" i="3"/>
  <c r="G59" i="3"/>
  <c r="Q52" i="3"/>
  <c r="N80" i="3"/>
  <c r="S64" i="3"/>
  <c r="U55" i="3"/>
  <c r="X70" i="3"/>
  <c r="G53" i="3"/>
  <c r="B55" i="3"/>
  <c r="U81" i="3"/>
  <c r="X67" i="3"/>
  <c r="Q69" i="3"/>
  <c r="M81" i="3"/>
  <c r="A64" i="3"/>
  <c r="B75" i="3"/>
  <c r="T87" i="3"/>
  <c r="C80" i="3"/>
  <c r="T48" i="3"/>
  <c r="V60" i="3"/>
  <c r="X72" i="3"/>
  <c r="A93" i="3"/>
  <c r="N60" i="3"/>
  <c r="I73" i="3"/>
  <c r="O88" i="3"/>
  <c r="T74" i="3"/>
  <c r="S73" i="3"/>
  <c r="J86" i="3"/>
  <c r="S62" i="3"/>
  <c r="Q76" i="3"/>
  <c r="C73" i="3"/>
  <c r="G90" i="3"/>
  <c r="I71" i="3"/>
  <c r="F88" i="3"/>
  <c r="A71" i="3"/>
  <c r="R77" i="3"/>
  <c r="E62" i="3"/>
  <c r="Q75" i="3"/>
  <c r="R75" i="3"/>
  <c r="V110" i="3"/>
  <c r="U88" i="3"/>
  <c r="A96" i="3"/>
  <c r="S86" i="3"/>
  <c r="N119" i="3"/>
  <c r="Q98" i="3"/>
  <c r="F116" i="3"/>
  <c r="E96" i="3"/>
  <c r="R96" i="3"/>
  <c r="U80" i="3"/>
  <c r="W113" i="3"/>
  <c r="M77" i="3"/>
  <c r="J114" i="3"/>
  <c r="O103" i="3"/>
  <c r="J108" i="3"/>
  <c r="B111" i="3"/>
  <c r="T104" i="3"/>
  <c r="K103" i="3"/>
  <c r="O92" i="3"/>
  <c r="W116" i="3"/>
  <c r="Q115" i="3"/>
  <c r="V101" i="3"/>
  <c r="N130" i="3"/>
  <c r="J136" i="3"/>
  <c r="L127" i="3"/>
  <c r="K116" i="3"/>
  <c r="O136" i="3"/>
  <c r="I132" i="3"/>
  <c r="R151" i="3"/>
  <c r="C70" i="3"/>
  <c r="B70" i="3"/>
  <c r="N82" i="3"/>
  <c r="J64" i="3"/>
  <c r="S75" i="3"/>
  <c r="U89" i="3"/>
  <c r="P82" i="3"/>
  <c r="M49" i="3"/>
  <c r="O61" i="3"/>
  <c r="Q73" i="3"/>
  <c r="M97" i="3"/>
  <c r="X61" i="3"/>
  <c r="K74" i="3"/>
  <c r="F89" i="3"/>
  <c r="M75" i="3"/>
  <c r="L74" i="3"/>
  <c r="A91" i="3"/>
  <c r="E64" i="3"/>
  <c r="A78" i="3"/>
  <c r="T73" i="3"/>
  <c r="C95" i="3"/>
  <c r="K72" i="3"/>
  <c r="M89" i="3"/>
  <c r="C72" i="3"/>
  <c r="B79" i="3"/>
  <c r="V62" i="3"/>
  <c r="K80" i="3"/>
  <c r="K76" i="3"/>
  <c r="P118" i="3"/>
  <c r="L91" i="3"/>
  <c r="N96" i="3"/>
  <c r="V88" i="3"/>
  <c r="J80" i="3"/>
  <c r="E99" i="3"/>
  <c r="L120" i="3"/>
  <c r="G98" i="3"/>
  <c r="H98" i="3"/>
  <c r="B84" i="3"/>
  <c r="B117" i="3"/>
  <c r="U77" i="3"/>
  <c r="O90" i="3"/>
  <c r="M104" i="3"/>
  <c r="X110" i="3"/>
  <c r="P111" i="3"/>
  <c r="R111" i="3"/>
  <c r="Q107" i="3"/>
  <c r="H93" i="3"/>
  <c r="M119" i="3"/>
  <c r="V121" i="3"/>
  <c r="R104" i="3"/>
  <c r="N133" i="3"/>
  <c r="A141" i="3"/>
  <c r="W127" i="3"/>
  <c r="T116" i="3"/>
  <c r="B137" i="3"/>
  <c r="Q133" i="3"/>
  <c r="L146" i="3"/>
  <c r="H29" i="3"/>
  <c r="N36" i="3"/>
  <c r="P50" i="3"/>
  <c r="I9" i="3"/>
  <c r="I20" i="3"/>
  <c r="I26" i="3"/>
  <c r="Q31" i="3"/>
  <c r="F41" i="3"/>
  <c r="F58" i="3"/>
  <c r="A17" i="3"/>
  <c r="T39" i="3"/>
  <c r="C48" i="3"/>
  <c r="J19" i="3"/>
  <c r="B29" i="3"/>
  <c r="W35" i="3"/>
  <c r="I51" i="3"/>
  <c r="B16" i="3"/>
  <c r="B27" i="3"/>
  <c r="T42" i="3"/>
  <c r="J53" i="3"/>
  <c r="K56" i="3"/>
  <c r="A56" i="3"/>
  <c r="D68" i="3"/>
  <c r="H76" i="3"/>
  <c r="R58" i="3"/>
  <c r="J76" i="3"/>
  <c r="W42" i="3"/>
  <c r="X53" i="3"/>
  <c r="A61" i="3"/>
  <c r="O53" i="3"/>
  <c r="L54" i="3"/>
  <c r="E66" i="3"/>
  <c r="S56" i="3"/>
  <c r="H75" i="3"/>
  <c r="O54" i="3"/>
  <c r="V55" i="3"/>
  <c r="L52" i="3"/>
  <c r="E71" i="3"/>
  <c r="S70" i="3"/>
  <c r="O83" i="3"/>
  <c r="C65" i="3"/>
  <c r="W76" i="3"/>
  <c r="O101" i="3"/>
  <c r="D83" i="3"/>
  <c r="F50" i="3"/>
  <c r="H62" i="3"/>
  <c r="B74" i="3"/>
  <c r="V49" i="3"/>
  <c r="Q62" i="3"/>
  <c r="D75" i="3"/>
  <c r="X89" i="3"/>
  <c r="F76" i="3"/>
  <c r="E75" i="3"/>
  <c r="C93" i="3"/>
  <c r="V64" i="3"/>
  <c r="I79" i="3"/>
  <c r="M74" i="3"/>
  <c r="A87" i="3"/>
  <c r="D73" i="3"/>
  <c r="H90" i="3"/>
  <c r="M73" i="3"/>
  <c r="W79" i="3"/>
  <c r="O63" i="3"/>
  <c r="L81" i="3"/>
  <c r="V76" i="3"/>
  <c r="X76" i="3"/>
  <c r="U91" i="3"/>
  <c r="B97" i="3"/>
  <c r="S90" i="3"/>
  <c r="C81" i="3"/>
  <c r="L102" i="3"/>
  <c r="R97" i="3"/>
  <c r="H99" i="3"/>
  <c r="T98" i="3"/>
  <c r="L85" i="3"/>
  <c r="B89" i="3"/>
  <c r="E80" i="3"/>
  <c r="X90" i="3"/>
  <c r="U108" i="3"/>
  <c r="N111" i="3"/>
  <c r="W120" i="3"/>
  <c r="U114" i="3"/>
  <c r="D108" i="3"/>
  <c r="K95" i="3"/>
  <c r="R121" i="3"/>
  <c r="G128" i="3"/>
  <c r="C105" i="3"/>
  <c r="H137" i="3"/>
  <c r="X141" i="3"/>
  <c r="H146" i="3"/>
  <c r="X130" i="3"/>
  <c r="R143" i="3"/>
  <c r="S151" i="3"/>
  <c r="L151" i="3"/>
  <c r="E59" i="3"/>
  <c r="P83" i="3"/>
  <c r="P43" i="3"/>
  <c r="H55" i="3"/>
  <c r="A62" i="3"/>
  <c r="A54" i="3"/>
  <c r="J55" i="3"/>
  <c r="V66" i="3"/>
  <c r="E57" i="3"/>
  <c r="H81" i="3"/>
  <c r="A55" i="3"/>
  <c r="J56" i="3"/>
  <c r="V52" i="3"/>
  <c r="L88" i="3"/>
  <c r="L71" i="3"/>
  <c r="O84" i="3"/>
  <c r="T65" i="3"/>
  <c r="J77" i="3"/>
  <c r="D89" i="3"/>
  <c r="Q83" i="3"/>
  <c r="W50" i="3"/>
  <c r="A63" i="3"/>
  <c r="S74" i="3"/>
  <c r="H51" i="3"/>
  <c r="S63" i="3"/>
  <c r="U75" i="3"/>
  <c r="S91" i="3"/>
  <c r="P80" i="3"/>
  <c r="V75" i="3"/>
  <c r="N104" i="3"/>
  <c r="H66" i="3"/>
  <c r="S80" i="3"/>
  <c r="F75" i="3"/>
  <c r="T88" i="3"/>
  <c r="U73" i="3"/>
  <c r="E91" i="3"/>
  <c r="W74" i="3"/>
  <c r="W81" i="3"/>
  <c r="H64" i="3"/>
  <c r="L82" i="3"/>
  <c r="S77" i="3"/>
  <c r="P77" i="3"/>
  <c r="Q92" i="3"/>
  <c r="C98" i="3"/>
  <c r="D91" i="3"/>
  <c r="T81" i="3"/>
  <c r="W104" i="3"/>
  <c r="G99" i="3"/>
  <c r="W99" i="3"/>
  <c r="P100" i="3"/>
  <c r="O87" i="3"/>
  <c r="W90" i="3"/>
  <c r="Q82" i="3"/>
  <c r="I91" i="3"/>
  <c r="D129" i="3"/>
  <c r="O130" i="3"/>
  <c r="D106" i="3"/>
  <c r="J116" i="3"/>
  <c r="Q109" i="3"/>
  <c r="D96" i="3"/>
  <c r="J129" i="3"/>
  <c r="J123" i="3"/>
  <c r="F107" i="3"/>
  <c r="U120" i="3"/>
  <c r="Q117" i="3"/>
  <c r="C149" i="3"/>
  <c r="O131" i="3"/>
  <c r="E144" i="3"/>
  <c r="R141" i="3"/>
  <c r="T151" i="3"/>
  <c r="X108" i="3"/>
  <c r="A123" i="3"/>
  <c r="V108" i="3"/>
  <c r="N99" i="3"/>
  <c r="D112" i="3"/>
  <c r="M107" i="3"/>
  <c r="N107" i="3"/>
  <c r="S114" i="3"/>
  <c r="J102" i="3"/>
  <c r="E118" i="3"/>
  <c r="I112" i="3"/>
  <c r="H94" i="3"/>
  <c r="Q108" i="3"/>
  <c r="H105" i="3"/>
  <c r="H111" i="3"/>
  <c r="A94" i="3"/>
  <c r="S107" i="3"/>
  <c r="C140" i="3"/>
  <c r="D121" i="3"/>
  <c r="A124" i="3"/>
  <c r="I111" i="3"/>
  <c r="O139" i="3"/>
  <c r="U107" i="3"/>
  <c r="W129" i="3"/>
  <c r="G103" i="3"/>
  <c r="H115" i="3"/>
  <c r="N128" i="3"/>
  <c r="T105" i="3"/>
  <c r="F117" i="3"/>
  <c r="H108" i="3"/>
  <c r="J120" i="3"/>
  <c r="S119" i="3"/>
  <c r="V134" i="3"/>
  <c r="A118" i="3"/>
  <c r="H126" i="3"/>
  <c r="C146" i="3"/>
  <c r="D130" i="3"/>
  <c r="C142" i="3"/>
  <c r="N120" i="3"/>
  <c r="X128" i="3"/>
  <c r="K125" i="3"/>
  <c r="F137" i="3"/>
  <c r="W124" i="3"/>
  <c r="T144" i="3"/>
  <c r="N127" i="3"/>
  <c r="D138" i="3"/>
  <c r="I130" i="3"/>
  <c r="M117" i="3"/>
  <c r="E132" i="3"/>
  <c r="C116" i="3"/>
  <c r="E125" i="3"/>
  <c r="C136" i="3"/>
  <c r="D131" i="3"/>
  <c r="Q131" i="3"/>
  <c r="F136" i="3"/>
  <c r="M137" i="3"/>
  <c r="O144" i="3"/>
  <c r="S131" i="3"/>
  <c r="W150" i="3"/>
  <c r="A130" i="3"/>
  <c r="U149" i="3"/>
  <c r="G140" i="3"/>
  <c r="P148" i="3"/>
  <c r="A135" i="3"/>
  <c r="E142" i="3"/>
  <c r="K132" i="3"/>
  <c r="U151" i="3"/>
  <c r="V144" i="3"/>
  <c r="H148" i="3"/>
  <c r="U145" i="3"/>
  <c r="X151" i="3"/>
  <c r="T146" i="3"/>
  <c r="V147" i="3"/>
  <c r="L107" i="3"/>
  <c r="D115" i="3"/>
  <c r="F125" i="3"/>
  <c r="W109" i="3"/>
  <c r="X99" i="3"/>
  <c r="V113" i="3"/>
  <c r="A108" i="3"/>
  <c r="M108" i="3"/>
  <c r="O115" i="3"/>
  <c r="U102" i="3"/>
  <c r="B119" i="3"/>
  <c r="M113" i="3"/>
  <c r="A95" i="3"/>
  <c r="E109" i="3"/>
  <c r="U105" i="3"/>
  <c r="A113" i="3"/>
  <c r="R94" i="3"/>
  <c r="F108" i="3"/>
  <c r="K108" i="3"/>
  <c r="D123" i="3"/>
  <c r="R127" i="3"/>
  <c r="B112" i="3"/>
  <c r="K99" i="3"/>
  <c r="N108" i="3"/>
  <c r="D132" i="3"/>
  <c r="X103" i="3"/>
  <c r="Q116" i="3"/>
  <c r="H130" i="3"/>
  <c r="M106" i="3"/>
  <c r="R117" i="3"/>
  <c r="A109" i="3"/>
  <c r="X120" i="3"/>
  <c r="D120" i="3"/>
  <c r="O135" i="3"/>
  <c r="R118" i="3"/>
  <c r="U126" i="3"/>
  <c r="S148" i="3"/>
  <c r="R130" i="3"/>
  <c r="F143" i="3"/>
  <c r="G121" i="3"/>
  <c r="N129" i="3"/>
  <c r="L126" i="3"/>
  <c r="V137" i="3"/>
  <c r="L125" i="3"/>
  <c r="H142" i="3"/>
  <c r="B128" i="3"/>
  <c r="V138" i="3"/>
  <c r="S132" i="3"/>
  <c r="F118" i="3"/>
  <c r="T132" i="3"/>
  <c r="L116" i="3"/>
  <c r="P125" i="3"/>
  <c r="U136" i="3"/>
  <c r="P131" i="3"/>
  <c r="D134" i="3"/>
  <c r="W136" i="3"/>
  <c r="W137" i="3"/>
  <c r="B145" i="3"/>
  <c r="C133" i="3"/>
  <c r="T143" i="3"/>
  <c r="I131" i="3"/>
  <c r="K150" i="3"/>
  <c r="R140" i="3"/>
  <c r="G149" i="3"/>
  <c r="I136" i="3"/>
  <c r="O142" i="3"/>
  <c r="S133" i="3"/>
  <c r="F138" i="3"/>
  <c r="H145" i="3"/>
  <c r="W148" i="3"/>
  <c r="G146" i="3"/>
  <c r="J147" i="3"/>
  <c r="D147" i="3"/>
  <c r="F148" i="3"/>
  <c r="E130" i="3"/>
  <c r="M128" i="3"/>
  <c r="R138" i="3"/>
  <c r="W125" i="3"/>
  <c r="L143" i="3"/>
  <c r="E129" i="3"/>
  <c r="P139" i="3"/>
  <c r="I133" i="3"/>
  <c r="W118" i="3"/>
  <c r="J133" i="3"/>
  <c r="E117" i="3"/>
  <c r="E126" i="3"/>
  <c r="G138" i="3"/>
  <c r="G132" i="3"/>
  <c r="S134" i="3"/>
  <c r="P137" i="3"/>
  <c r="J138" i="3"/>
  <c r="M145" i="3"/>
  <c r="K134" i="3"/>
  <c r="F144" i="3"/>
  <c r="Q132" i="3"/>
  <c r="X150" i="3"/>
  <c r="E141" i="3"/>
  <c r="A151" i="3"/>
  <c r="Q137" i="3"/>
  <c r="B143" i="3"/>
  <c r="C135" i="3"/>
  <c r="P138" i="3"/>
  <c r="T145" i="3"/>
  <c r="Q150" i="3"/>
  <c r="S146" i="3"/>
  <c r="R147" i="3"/>
  <c r="L147" i="3"/>
  <c r="N148" i="3"/>
  <c r="T109" i="3"/>
  <c r="U109" i="3"/>
  <c r="I129" i="3"/>
  <c r="M134" i="3"/>
  <c r="P115" i="3"/>
  <c r="C100" i="3"/>
  <c r="X109" i="3"/>
  <c r="G125" i="3"/>
  <c r="J105" i="3"/>
  <c r="J121" i="3"/>
  <c r="V141" i="3"/>
  <c r="W107" i="3"/>
  <c r="A127" i="3"/>
  <c r="C110" i="3"/>
  <c r="C122" i="3"/>
  <c r="N121" i="3"/>
  <c r="X136" i="3"/>
  <c r="T119" i="3"/>
  <c r="V127" i="3"/>
  <c r="J118" i="3"/>
  <c r="V131" i="3"/>
  <c r="D146" i="3"/>
  <c r="I122" i="3"/>
  <c r="S130" i="3"/>
  <c r="A129" i="3"/>
  <c r="M139" i="3"/>
  <c r="M126" i="3"/>
  <c r="U146" i="3"/>
  <c r="R129" i="3"/>
  <c r="N140" i="3"/>
  <c r="O134" i="3"/>
  <c r="P119" i="3"/>
  <c r="X133" i="3"/>
  <c r="V117" i="3"/>
  <c r="P126" i="3"/>
  <c r="B139" i="3"/>
  <c r="V132" i="3"/>
  <c r="M135" i="3"/>
  <c r="I138" i="3"/>
  <c r="U138" i="3"/>
  <c r="W145" i="3"/>
  <c r="S135" i="3"/>
  <c r="P144" i="3"/>
  <c r="A134" i="3"/>
  <c r="O151" i="3"/>
  <c r="O141" i="3"/>
  <c r="N146" i="3"/>
  <c r="A139" i="3"/>
  <c r="M143" i="3"/>
  <c r="K136" i="3"/>
  <c r="D139" i="3"/>
  <c r="F146" i="3"/>
  <c r="B140" i="3"/>
  <c r="I148" i="3"/>
  <c r="B148" i="3"/>
  <c r="T147" i="3"/>
  <c r="V148" i="3"/>
  <c r="K92" i="3"/>
  <c r="I108" i="3"/>
  <c r="N81" i="3"/>
  <c r="B92" i="3"/>
  <c r="X122" i="3"/>
  <c r="H97" i="3"/>
  <c r="E78" i="3"/>
  <c r="W86" i="3"/>
  <c r="C102" i="3"/>
  <c r="S93" i="3"/>
  <c r="S117" i="3"/>
  <c r="T93" i="3"/>
  <c r="K109" i="3"/>
  <c r="Q97" i="3"/>
  <c r="C112" i="3"/>
  <c r="H101" i="3"/>
  <c r="A117" i="3"/>
  <c r="S112" i="3"/>
  <c r="O110" i="3"/>
  <c r="A119" i="3"/>
  <c r="Q105" i="3"/>
  <c r="F127" i="3"/>
  <c r="E119" i="3"/>
  <c r="D97" i="3"/>
  <c r="X112" i="3"/>
  <c r="S109" i="3"/>
  <c r="U115" i="3"/>
  <c r="U96" i="3"/>
  <c r="U110" i="3"/>
  <c r="N110" i="3"/>
  <c r="E131" i="3"/>
  <c r="L138" i="3"/>
  <c r="B116" i="3"/>
  <c r="K100" i="3"/>
  <c r="Q110" i="3"/>
  <c r="R126" i="3"/>
  <c r="S105" i="3"/>
  <c r="A122" i="3"/>
  <c r="M99" i="3"/>
  <c r="P108" i="3"/>
  <c r="O128" i="3"/>
  <c r="T110" i="3"/>
  <c r="V122" i="3"/>
  <c r="U123" i="3"/>
  <c r="T137" i="3"/>
  <c r="M120" i="3"/>
  <c r="K128" i="3"/>
  <c r="C119" i="3"/>
  <c r="M132" i="3"/>
  <c r="A149" i="3"/>
  <c r="R122" i="3"/>
  <c r="H131" i="3"/>
  <c r="O129" i="3"/>
  <c r="H140" i="3"/>
  <c r="X126" i="3"/>
  <c r="P149" i="3"/>
  <c r="V130" i="3"/>
  <c r="L141" i="3"/>
  <c r="A136" i="3"/>
  <c r="I120" i="3"/>
  <c r="P134" i="3"/>
  <c r="O118" i="3"/>
  <c r="E127" i="3"/>
  <c r="S140" i="3"/>
  <c r="L133" i="3"/>
  <c r="H138" i="3"/>
  <c r="A140" i="3"/>
  <c r="G139" i="3"/>
  <c r="J146" i="3"/>
  <c r="C137" i="3"/>
  <c r="D145" i="3"/>
  <c r="I135" i="3"/>
  <c r="W134" i="3"/>
  <c r="B142" i="3"/>
  <c r="A147" i="3"/>
  <c r="I140" i="3"/>
  <c r="W143" i="3"/>
  <c r="S137" i="3"/>
  <c r="N139" i="3"/>
  <c r="Q146" i="3"/>
  <c r="M140" i="3"/>
  <c r="E150" i="3"/>
  <c r="J148" i="3"/>
  <c r="D148" i="3"/>
  <c r="F149" i="3"/>
  <c r="H89" i="3"/>
  <c r="X60" i="3"/>
  <c r="P71" i="3"/>
  <c r="C88" i="3"/>
  <c r="R76" i="3"/>
  <c r="B91" i="3"/>
  <c r="C67" i="3"/>
  <c r="C78" i="3"/>
  <c r="L95" i="3"/>
  <c r="J71" i="3"/>
  <c r="N89" i="3"/>
  <c r="N85" i="3"/>
  <c r="J65" i="3"/>
  <c r="B76" i="3"/>
  <c r="A70" i="3"/>
  <c r="A82" i="3"/>
  <c r="P76" i="3"/>
  <c r="M83" i="3"/>
  <c r="N97" i="3"/>
  <c r="O97" i="3"/>
  <c r="N83" i="3"/>
  <c r="I94" i="3"/>
  <c r="M82" i="3"/>
  <c r="N93" i="3"/>
  <c r="X91" i="3"/>
  <c r="K94" i="3"/>
  <c r="C90" i="3"/>
  <c r="P102" i="3"/>
  <c r="G93" i="3"/>
  <c r="Q111" i="3"/>
  <c r="G82" i="3"/>
  <c r="U92" i="3"/>
  <c r="G87" i="3"/>
  <c r="I98" i="3"/>
  <c r="M78" i="3"/>
  <c r="P87" i="3"/>
  <c r="H106" i="3"/>
  <c r="X94" i="3"/>
  <c r="B125" i="3"/>
  <c r="F94" i="3"/>
  <c r="L110" i="3"/>
  <c r="J98" i="3"/>
  <c r="G113" i="3"/>
  <c r="S101" i="3"/>
  <c r="U117" i="3"/>
  <c r="X113" i="3"/>
  <c r="G112" i="3"/>
  <c r="A121" i="3"/>
  <c r="F106" i="3"/>
  <c r="U133" i="3"/>
  <c r="C121" i="3"/>
  <c r="U97" i="3"/>
  <c r="N113" i="3"/>
  <c r="S110" i="3"/>
  <c r="L117" i="3"/>
  <c r="F97" i="3"/>
  <c r="W111" i="3"/>
  <c r="G111" i="3"/>
  <c r="F134" i="3"/>
  <c r="A125" i="3"/>
  <c r="N116" i="3"/>
  <c r="S100" i="3"/>
  <c r="J111" i="3"/>
  <c r="X129" i="3"/>
  <c r="L106" i="3"/>
  <c r="K124" i="3"/>
  <c r="U99" i="3"/>
  <c r="I109" i="3"/>
  <c r="N136" i="3"/>
  <c r="M111" i="3"/>
  <c r="P123" i="3"/>
  <c r="H124" i="3"/>
  <c r="D140" i="3"/>
  <c r="F121" i="3"/>
  <c r="W128" i="3"/>
  <c r="L119" i="3"/>
  <c r="B133" i="3"/>
  <c r="K113" i="3"/>
  <c r="C123" i="3"/>
  <c r="W131" i="3"/>
  <c r="F130" i="3"/>
  <c r="F141" i="3"/>
  <c r="M127" i="3"/>
  <c r="B122" i="3"/>
  <c r="M131" i="3"/>
  <c r="L142" i="3"/>
  <c r="S136" i="3"/>
  <c r="B121" i="3"/>
  <c r="H135" i="3"/>
  <c r="H119" i="3"/>
  <c r="P127" i="3"/>
  <c r="S142" i="3"/>
  <c r="C134" i="3"/>
  <c r="E139" i="3"/>
  <c r="V142" i="3"/>
  <c r="R139" i="3"/>
  <c r="V146" i="3"/>
  <c r="K138" i="3"/>
  <c r="N145" i="3"/>
  <c r="Q136" i="3"/>
  <c r="J135" i="3"/>
  <c r="M142" i="3"/>
  <c r="N147" i="3"/>
  <c r="Q141" i="3"/>
  <c r="J144" i="3"/>
  <c r="C139" i="3"/>
  <c r="X139" i="3"/>
  <c r="Q147" i="3"/>
  <c r="W140" i="3"/>
  <c r="S150" i="3"/>
  <c r="R148" i="3"/>
  <c r="L148" i="3"/>
  <c r="N149" i="3"/>
  <c r="F83" i="3"/>
  <c r="X93" i="3"/>
  <c r="S92" i="3"/>
  <c r="Q96" i="3"/>
  <c r="L90" i="3"/>
  <c r="I103" i="3"/>
  <c r="Q93" i="3"/>
  <c r="S113" i="3"/>
  <c r="X82" i="3"/>
  <c r="C94" i="3"/>
  <c r="X87" i="3"/>
  <c r="U98" i="3"/>
  <c r="U78" i="3"/>
  <c r="A88" i="3"/>
  <c r="I107" i="3"/>
  <c r="J95" i="3"/>
  <c r="D92" i="3"/>
  <c r="W96" i="3"/>
  <c r="P112" i="3"/>
  <c r="C99" i="3"/>
  <c r="D116" i="3"/>
  <c r="R102" i="3"/>
  <c r="U118" i="3"/>
  <c r="L115" i="3"/>
  <c r="T112" i="3"/>
  <c r="F122" i="3"/>
  <c r="P107" i="3"/>
  <c r="V102" i="3"/>
  <c r="G122" i="3"/>
  <c r="F98" i="3"/>
  <c r="X114" i="3"/>
  <c r="V111" i="3"/>
  <c r="I118" i="3"/>
  <c r="W97" i="3"/>
  <c r="B113" i="3"/>
  <c r="X111" i="3"/>
  <c r="X137" i="3"/>
  <c r="F126" i="3"/>
  <c r="C120" i="3"/>
  <c r="C101" i="3"/>
  <c r="S111" i="3"/>
  <c r="J132" i="3"/>
  <c r="E107" i="3"/>
  <c r="S126" i="3"/>
  <c r="E100" i="3"/>
  <c r="B110" i="3"/>
  <c r="N101" i="3"/>
  <c r="F112" i="3"/>
  <c r="N124" i="3"/>
  <c r="H127" i="3"/>
  <c r="X140" i="3"/>
  <c r="W121" i="3"/>
  <c r="C130" i="3"/>
  <c r="E120" i="3"/>
  <c r="P133" i="3"/>
  <c r="T113" i="3"/>
  <c r="M123" i="3"/>
  <c r="D133" i="3"/>
  <c r="T130" i="3"/>
  <c r="H143" i="3"/>
  <c r="X127" i="3"/>
  <c r="K122" i="3"/>
  <c r="C132" i="3"/>
  <c r="P143" i="3"/>
  <c r="K137" i="3"/>
  <c r="S121" i="3"/>
  <c r="B136" i="3"/>
  <c r="A120" i="3"/>
  <c r="E128" i="3"/>
  <c r="V143" i="3"/>
  <c r="R134" i="3"/>
  <c r="W139" i="3"/>
  <c r="P145" i="3"/>
  <c r="E140" i="3"/>
  <c r="I147" i="3"/>
  <c r="S139" i="3"/>
  <c r="X145" i="3"/>
  <c r="A138" i="3"/>
  <c r="U135" i="3"/>
  <c r="W142" i="3"/>
  <c r="Q148" i="3"/>
  <c r="A143" i="3"/>
  <c r="U144" i="3"/>
  <c r="K140" i="3"/>
  <c r="L140" i="3"/>
  <c r="M149" i="3"/>
  <c r="J141" i="3"/>
  <c r="H151" i="3"/>
  <c r="B149" i="3"/>
  <c r="T148" i="3"/>
  <c r="V149" i="3"/>
  <c r="B78" i="3"/>
  <c r="K84" i="3"/>
  <c r="M68" i="3"/>
  <c r="K79" i="3"/>
  <c r="D62" i="3"/>
  <c r="T72" i="3"/>
  <c r="F91" i="3"/>
  <c r="O86" i="3"/>
  <c r="T66" i="3"/>
  <c r="W80" i="3"/>
  <c r="C71" i="3"/>
  <c r="N84" i="3"/>
  <c r="H77" i="3"/>
  <c r="W84" i="3"/>
  <c r="Q99" i="3"/>
  <c r="D99" i="3"/>
  <c r="X84" i="3"/>
  <c r="O95" i="3"/>
  <c r="W83" i="3"/>
  <c r="J94" i="3"/>
  <c r="T94" i="3"/>
  <c r="E97" i="3"/>
  <c r="U90" i="3"/>
  <c r="A105" i="3"/>
  <c r="L94" i="3"/>
  <c r="L76" i="3"/>
  <c r="I83" i="3"/>
  <c r="H95" i="3"/>
  <c r="I88" i="3"/>
  <c r="J99" i="3"/>
  <c r="E79" i="3"/>
  <c r="R88" i="3"/>
  <c r="T108" i="3"/>
  <c r="U95" i="3"/>
  <c r="J93" i="3"/>
  <c r="K97" i="3"/>
  <c r="F113" i="3"/>
  <c r="R101" i="3"/>
  <c r="X116" i="3"/>
  <c r="E103" i="3"/>
  <c r="R119" i="3"/>
  <c r="C117" i="3"/>
  <c r="J113" i="3"/>
  <c r="S123" i="3"/>
  <c r="C108" i="3"/>
  <c r="J103" i="3"/>
  <c r="B124" i="3"/>
  <c r="W98" i="3"/>
  <c r="H118" i="3"/>
  <c r="J112" i="3"/>
  <c r="I119" i="3"/>
  <c r="P98" i="3"/>
  <c r="B115" i="3"/>
  <c r="Q112" i="3"/>
  <c r="Q114" i="3"/>
  <c r="T127" i="3"/>
  <c r="Q120" i="3"/>
  <c r="T101" i="3"/>
  <c r="L112" i="3"/>
  <c r="V135" i="3"/>
  <c r="V107" i="3"/>
  <c r="H128" i="3"/>
  <c r="M100" i="3"/>
  <c r="K110" i="3"/>
  <c r="G102" i="3"/>
  <c r="W112" i="3"/>
  <c r="Q125" i="3"/>
  <c r="J128" i="3"/>
  <c r="X142" i="3"/>
  <c r="H122" i="3"/>
  <c r="Q130" i="3"/>
  <c r="V120" i="3"/>
  <c r="X134" i="3"/>
  <c r="M114" i="3"/>
  <c r="W123" i="3"/>
  <c r="R133" i="3"/>
  <c r="J131" i="3"/>
  <c r="S144" i="3"/>
  <c r="B129" i="3"/>
  <c r="U122" i="3"/>
  <c r="P132" i="3"/>
  <c r="A145" i="3"/>
  <c r="E138" i="3"/>
  <c r="D122" i="3"/>
  <c r="T136" i="3"/>
  <c r="R120" i="3"/>
  <c r="S128" i="3"/>
  <c r="L145" i="3"/>
  <c r="L135" i="3"/>
  <c r="U140" i="3"/>
  <c r="E148" i="3"/>
  <c r="O140" i="3"/>
  <c r="W147" i="3"/>
  <c r="C141" i="3"/>
  <c r="W146" i="3"/>
  <c r="I139" i="3"/>
  <c r="G136" i="3"/>
  <c r="J143" i="3"/>
  <c r="M150" i="3"/>
  <c r="I144" i="3"/>
  <c r="G145" i="3"/>
  <c r="S141" i="3"/>
  <c r="V140" i="3"/>
  <c r="C150" i="3"/>
  <c r="U141" i="3"/>
  <c r="W151" i="3"/>
  <c r="J149" i="3"/>
  <c r="D149" i="3"/>
  <c r="F150" i="3"/>
  <c r="M79" i="3"/>
  <c r="K89" i="3"/>
  <c r="I110" i="3"/>
  <c r="I96" i="3"/>
  <c r="E94" i="3"/>
  <c r="X97" i="3"/>
  <c r="U113" i="3"/>
  <c r="F102" i="3"/>
  <c r="Q119" i="3"/>
  <c r="O104" i="3"/>
  <c r="G123" i="3"/>
  <c r="X117" i="3"/>
  <c r="A114" i="3"/>
  <c r="H133" i="3"/>
  <c r="O109" i="3"/>
  <c r="U103" i="3"/>
  <c r="V133" i="3"/>
  <c r="M101" i="3"/>
  <c r="F119" i="3"/>
  <c r="O113" i="3"/>
  <c r="H120" i="3"/>
  <c r="I99" i="3"/>
  <c r="N117" i="3"/>
  <c r="F114" i="3"/>
  <c r="C115" i="3"/>
  <c r="K129" i="3"/>
  <c r="H121" i="3"/>
  <c r="M102" i="3"/>
  <c r="T114" i="3"/>
  <c r="L99" i="3"/>
  <c r="O108" i="3"/>
  <c r="G130" i="3"/>
  <c r="U100" i="3"/>
  <c r="D111" i="3"/>
  <c r="X102" i="3"/>
  <c r="H113" i="3"/>
  <c r="C127" i="3"/>
  <c r="L129" i="3"/>
  <c r="H144" i="3"/>
  <c r="Q122" i="3"/>
  <c r="A133" i="3"/>
  <c r="O121" i="3"/>
  <c r="P135" i="3"/>
  <c r="F115" i="3"/>
  <c r="J124" i="3"/>
  <c r="H134" i="3"/>
  <c r="X131" i="3"/>
  <c r="I146" i="3"/>
  <c r="K131" i="3"/>
  <c r="F123" i="3"/>
  <c r="G133" i="3"/>
  <c r="B147" i="3"/>
  <c r="Q139" i="3"/>
  <c r="D124" i="3"/>
  <c r="L137" i="3"/>
  <c r="K121" i="3"/>
  <c r="L130" i="3"/>
  <c r="U150" i="3"/>
  <c r="D136" i="3"/>
  <c r="D144" i="3"/>
  <c r="W133" i="3"/>
  <c r="B141" i="3"/>
  <c r="Q149" i="3"/>
  <c r="K142" i="3"/>
  <c r="X147" i="3"/>
  <c r="Q140" i="3"/>
  <c r="R136" i="3"/>
  <c r="U143" i="3"/>
  <c r="C151" i="3"/>
  <c r="Q145" i="3"/>
  <c r="R145" i="3"/>
  <c r="C143" i="3"/>
  <c r="H141" i="3"/>
  <c r="P150" i="3"/>
  <c r="G142" i="3"/>
  <c r="K145" i="3"/>
  <c r="R149" i="3"/>
  <c r="L149" i="3"/>
  <c r="N150" i="3"/>
  <c r="X73" i="3"/>
  <c r="E85" i="3"/>
  <c r="N76" i="3"/>
  <c r="V87" i="3"/>
  <c r="U54" i="3"/>
  <c r="M65" i="3"/>
  <c r="E76" i="3"/>
  <c r="O50" i="3"/>
  <c r="G61" i="3"/>
  <c r="W71" i="3"/>
  <c r="G85" i="3"/>
  <c r="E70" i="3"/>
  <c r="U85" i="3"/>
  <c r="V78" i="3"/>
  <c r="T52" i="3"/>
  <c r="L63" i="3"/>
  <c r="D74" i="3"/>
  <c r="N98" i="3"/>
  <c r="J79" i="3"/>
  <c r="N87" i="3"/>
  <c r="W69" i="3"/>
  <c r="I80" i="3"/>
  <c r="N63" i="3"/>
  <c r="F74" i="3"/>
  <c r="P99" i="3"/>
  <c r="G88" i="3"/>
  <c r="F68" i="3"/>
  <c r="X81" i="3"/>
  <c r="M72" i="3"/>
  <c r="O85" i="3"/>
  <c r="X77" i="3"/>
  <c r="A86" i="3"/>
  <c r="I102" i="3"/>
  <c r="I100" i="3"/>
  <c r="B86" i="3"/>
  <c r="B101" i="3"/>
  <c r="A85" i="3"/>
  <c r="C96" i="3"/>
  <c r="P95" i="3"/>
  <c r="R98" i="3"/>
  <c r="T92" i="3"/>
  <c r="A107" i="3"/>
  <c r="F96" i="3"/>
  <c r="D77" i="3"/>
  <c r="S84" i="3"/>
  <c r="S96" i="3"/>
  <c r="N90" i="3"/>
  <c r="S102" i="3"/>
  <c r="U79" i="3"/>
  <c r="T89" i="3"/>
  <c r="A112" i="3"/>
  <c r="V96" i="3"/>
  <c r="O94" i="3"/>
  <c r="L98" i="3"/>
  <c r="N114" i="3"/>
  <c r="P103" i="3"/>
  <c r="R125" i="3"/>
  <c r="D105" i="3"/>
  <c r="S125" i="3"/>
  <c r="V118" i="3"/>
  <c r="R114" i="3"/>
  <c r="Q95" i="3"/>
  <c r="P110" i="3"/>
  <c r="H104" i="3"/>
  <c r="Q89" i="3"/>
  <c r="W102" i="3"/>
  <c r="F120" i="3"/>
  <c r="S115" i="3"/>
  <c r="O122" i="3"/>
  <c r="G100" i="3"/>
  <c r="P122" i="3"/>
  <c r="P114" i="3"/>
  <c r="N115" i="3"/>
  <c r="L131" i="3"/>
  <c r="U121" i="3"/>
  <c r="F103" i="3"/>
  <c r="G115" i="3"/>
  <c r="T99" i="3"/>
  <c r="H109" i="3"/>
  <c r="O132" i="3"/>
  <c r="E101" i="3"/>
  <c r="U111" i="3"/>
  <c r="Q103" i="3"/>
  <c r="Q113" i="3"/>
  <c r="U128" i="3"/>
  <c r="B130" i="3"/>
  <c r="M148" i="3"/>
  <c r="B123" i="3"/>
  <c r="G134" i="3"/>
  <c r="L123" i="3"/>
  <c r="L136" i="3"/>
  <c r="W115" i="3"/>
  <c r="V124" i="3"/>
  <c r="B135" i="3"/>
  <c r="N132" i="3"/>
  <c r="H149" i="3"/>
  <c r="A132" i="3"/>
  <c r="O123" i="3"/>
  <c r="W135" i="3"/>
  <c r="D126" i="3"/>
  <c r="Q143" i="3"/>
  <c r="D125" i="3"/>
  <c r="X138" i="3"/>
  <c r="T121" i="3"/>
  <c r="B131" i="3"/>
  <c r="Q126" i="3"/>
  <c r="V136" i="3"/>
  <c r="R131" i="3"/>
  <c r="J134" i="3"/>
  <c r="M141" i="3"/>
  <c r="M151" i="3"/>
  <c r="S143" i="3"/>
  <c r="O148" i="3"/>
  <c r="A142" i="3"/>
  <c r="E137" i="3"/>
  <c r="G144" i="3"/>
  <c r="P151" i="3"/>
  <c r="O146" i="3"/>
  <c r="E146" i="3"/>
  <c r="K144" i="3"/>
  <c r="T141" i="3"/>
  <c r="G151" i="3"/>
  <c r="R142" i="3"/>
  <c r="G147" i="3"/>
  <c r="B150" i="3"/>
  <c r="T149" i="3"/>
  <c r="V150" i="3"/>
  <c r="J125" i="3"/>
  <c r="Q135" i="3"/>
  <c r="E133" i="3"/>
  <c r="J122" i="3"/>
  <c r="L134" i="3"/>
  <c r="M124" i="3"/>
  <c r="I137" i="3"/>
  <c r="O126" i="3"/>
  <c r="G150" i="3"/>
  <c r="R128" i="3"/>
  <c r="T139" i="3"/>
  <c r="E122" i="3"/>
  <c r="F132" i="3"/>
  <c r="Q127" i="3"/>
  <c r="N137" i="3"/>
  <c r="H132" i="3"/>
  <c r="U134" i="3"/>
  <c r="W141" i="3"/>
  <c r="F124" i="3"/>
  <c r="C145" i="3"/>
  <c r="I150" i="3"/>
  <c r="I143" i="3"/>
  <c r="O137" i="3"/>
  <c r="R144" i="3"/>
  <c r="Q151" i="3"/>
  <c r="C147" i="3"/>
  <c r="U148" i="3"/>
  <c r="S145" i="3"/>
  <c r="F142" i="3"/>
  <c r="Q142" i="3"/>
  <c r="E143" i="3"/>
  <c r="U147" i="3"/>
  <c r="J150" i="3"/>
  <c r="D150" i="3"/>
  <c r="F151" i="3"/>
  <c r="A83" i="3"/>
  <c r="W73" i="3"/>
  <c r="P86" i="3"/>
  <c r="P78" i="3"/>
  <c r="K87" i="3"/>
  <c r="T103" i="3"/>
  <c r="Q101" i="3"/>
  <c r="L87" i="3"/>
  <c r="D103" i="3"/>
  <c r="K86" i="3"/>
  <c r="P97" i="3"/>
  <c r="F99" i="3"/>
  <c r="N100" i="3"/>
  <c r="P93" i="3"/>
  <c r="O111" i="3"/>
  <c r="G97" i="3"/>
  <c r="T77" i="3"/>
  <c r="E86" i="3"/>
  <c r="A102" i="3"/>
  <c r="H91" i="3"/>
  <c r="F105" i="3"/>
  <c r="V80" i="3"/>
  <c r="C92" i="3"/>
  <c r="P117" i="3"/>
  <c r="K98" i="3"/>
  <c r="X98" i="3"/>
  <c r="O99" i="3"/>
  <c r="T117" i="3"/>
  <c r="B105" i="3"/>
  <c r="W95" i="3"/>
  <c r="N106" i="3"/>
  <c r="T120" i="3"/>
  <c r="X125" i="3"/>
  <c r="W119" i="3"/>
  <c r="C97" i="3"/>
  <c r="H112" i="3"/>
  <c r="R105" i="3"/>
  <c r="C91" i="3"/>
  <c r="I104" i="3"/>
  <c r="L122" i="3"/>
  <c r="G120" i="3"/>
  <c r="C128" i="3"/>
  <c r="B102" i="3"/>
  <c r="R137" i="3"/>
  <c r="X115" i="3"/>
  <c r="W117" i="3"/>
  <c r="T138" i="3"/>
  <c r="G126" i="3"/>
  <c r="P104" i="3"/>
  <c r="C118" i="3"/>
  <c r="L100" i="3"/>
  <c r="R110" i="3"/>
  <c r="I141" i="3"/>
  <c r="O102" i="3"/>
  <c r="W114" i="3"/>
  <c r="S104" i="3"/>
  <c r="J115" i="3"/>
  <c r="F133" i="3"/>
  <c r="F131" i="3"/>
  <c r="L114" i="3"/>
  <c r="V123" i="3"/>
  <c r="A137" i="3"/>
  <c r="I126" i="3"/>
  <c r="U137" i="3"/>
  <c r="I117" i="3"/>
  <c r="V125" i="3"/>
  <c r="Q138" i="3"/>
  <c r="T133" i="3"/>
  <c r="S122" i="3"/>
  <c r="G137" i="3"/>
  <c r="X124" i="3"/>
  <c r="C138" i="3"/>
  <c r="D127" i="3"/>
  <c r="H114" i="3"/>
  <c r="G129" i="3"/>
  <c r="P140" i="3"/>
  <c r="N122" i="3"/>
  <c r="U132" i="3"/>
  <c r="F128" i="3"/>
  <c r="V139" i="3"/>
  <c r="W132" i="3"/>
  <c r="G135" i="3"/>
  <c r="J142" i="3"/>
  <c r="C125" i="3"/>
  <c r="K146" i="3"/>
  <c r="G124" i="3"/>
  <c r="Q144" i="3"/>
  <c r="B138" i="3"/>
  <c r="E145" i="3"/>
  <c r="I128" i="3"/>
  <c r="O147" i="3"/>
  <c r="K149" i="3"/>
  <c r="P146" i="3"/>
  <c r="P142" i="3"/>
  <c r="A144" i="3"/>
  <c r="O143" i="3"/>
  <c r="K148" i="3"/>
  <c r="R150" i="3"/>
  <c r="L150" i="3"/>
  <c r="N151" i="3"/>
  <c r="S78" i="3"/>
  <c r="O91" i="3"/>
  <c r="X56" i="3"/>
  <c r="P67" i="3"/>
  <c r="Q79" i="3"/>
  <c r="J52" i="3"/>
  <c r="B63" i="3"/>
  <c r="R73" i="3"/>
  <c r="U86" i="3"/>
  <c r="H72" i="3"/>
  <c r="B90" i="3"/>
  <c r="F81" i="3"/>
  <c r="W54" i="3"/>
  <c r="O65" i="3"/>
  <c r="G76" i="3"/>
  <c r="O70" i="3"/>
  <c r="U83" i="3"/>
  <c r="K93" i="3"/>
  <c r="R71" i="3"/>
  <c r="K83" i="3"/>
  <c r="Q65" i="3"/>
  <c r="I76" i="3"/>
  <c r="O78" i="3"/>
  <c r="K90" i="3"/>
  <c r="I70" i="3"/>
  <c r="R87" i="3"/>
  <c r="P74" i="3"/>
  <c r="E87" i="3"/>
  <c r="X78" i="3"/>
  <c r="D88" i="3"/>
  <c r="P106" i="3"/>
  <c r="V103" i="3"/>
  <c r="E88" i="3"/>
  <c r="V104" i="3"/>
  <c r="D87" i="3"/>
  <c r="D98" i="3"/>
  <c r="V99" i="3"/>
  <c r="F101" i="3"/>
  <c r="B94" i="3"/>
  <c r="U116" i="3"/>
  <c r="S97" i="3"/>
  <c r="D78" i="3"/>
  <c r="V86" i="3"/>
  <c r="Q102" i="3"/>
  <c r="Q91" i="3"/>
  <c r="H110" i="3"/>
  <c r="O81" i="3"/>
  <c r="W92" i="3"/>
  <c r="T124" i="3"/>
  <c r="J101" i="3"/>
  <c r="F100" i="3"/>
  <c r="E102" i="3"/>
  <c r="Q118" i="3"/>
  <c r="N105" i="3"/>
  <c r="P96" i="3"/>
  <c r="X107" i="3"/>
  <c r="I123" i="3"/>
  <c r="F104" i="3"/>
  <c r="R123" i="3"/>
  <c r="T97" i="3"/>
  <c r="V112" i="3"/>
  <c r="Q106" i="3"/>
  <c r="T91" i="3"/>
  <c r="U104" i="3"/>
  <c r="C124" i="3"/>
  <c r="M122" i="3"/>
  <c r="J137" i="3"/>
  <c r="L104" i="3"/>
  <c r="J119" i="3"/>
  <c r="J117" i="3"/>
  <c r="L118" i="3"/>
  <c r="U127" i="3"/>
  <c r="A128" i="3"/>
  <c r="I105" i="3"/>
  <c r="S120" i="3"/>
  <c r="T100" i="3"/>
  <c r="C111" i="3"/>
  <c r="L121" i="3"/>
  <c r="H103" i="3"/>
  <c r="I115" i="3"/>
  <c r="L105" i="3"/>
  <c r="H116" i="3"/>
  <c r="P136" i="3"/>
  <c r="U131" i="3"/>
  <c r="E115" i="3"/>
  <c r="I124" i="3"/>
  <c r="N138" i="3"/>
  <c r="V126" i="3"/>
  <c r="O138" i="3"/>
  <c r="B118" i="3"/>
  <c r="J126" i="3"/>
  <c r="L139" i="3"/>
  <c r="I134" i="3"/>
  <c r="E123" i="3"/>
  <c r="S138" i="3"/>
  <c r="M125" i="3"/>
  <c r="K141" i="3"/>
  <c r="O127" i="3"/>
  <c r="A115" i="3"/>
  <c r="U129" i="3"/>
  <c r="N141" i="3"/>
  <c r="W122" i="3"/>
  <c r="K133" i="3"/>
  <c r="T128" i="3"/>
  <c r="T140" i="3"/>
  <c r="M133" i="3"/>
  <c r="R135" i="3"/>
  <c r="U142" i="3"/>
  <c r="K126" i="3"/>
  <c r="K147" i="3"/>
  <c r="Q124" i="3"/>
  <c r="A146" i="3"/>
  <c r="M138" i="3"/>
  <c r="O145" i="3"/>
  <c r="Q129" i="3"/>
  <c r="I149" i="3"/>
  <c r="X149" i="3"/>
  <c r="E147" i="3"/>
  <c r="D143" i="3"/>
  <c r="I145" i="3"/>
  <c r="B144" i="3"/>
  <c r="X148" i="3"/>
  <c r="B151" i="3"/>
  <c r="T150" i="3"/>
  <c r="V151" i="3"/>
  <c r="L103" i="3"/>
  <c r="L92" i="3"/>
  <c r="I114" i="3"/>
  <c r="H82" i="3"/>
  <c r="I93" i="3"/>
  <c r="F90" i="3"/>
  <c r="T102" i="3"/>
  <c r="L101" i="3"/>
  <c r="R103" i="3"/>
  <c r="O119" i="3"/>
  <c r="X106" i="3"/>
  <c r="I97" i="3"/>
  <c r="W108" i="3"/>
  <c r="T125" i="3"/>
  <c r="P105" i="3"/>
  <c r="B132" i="3"/>
  <c r="M98" i="3"/>
  <c r="D114" i="3"/>
  <c r="P109" i="3"/>
  <c r="M92" i="3"/>
  <c r="G106" i="3"/>
  <c r="G127" i="3"/>
  <c r="R108" i="3"/>
  <c r="V91" i="3"/>
  <c r="V105" i="3"/>
  <c r="K120" i="3"/>
  <c r="K118" i="3"/>
  <c r="X118" i="3"/>
  <c r="P129" i="3"/>
  <c r="T129" i="3"/>
  <c r="B106" i="3"/>
  <c r="I121" i="3"/>
  <c r="D101" i="3"/>
  <c r="T111" i="3"/>
  <c r="T122" i="3"/>
  <c r="A104" i="3"/>
  <c r="T115" i="3"/>
  <c r="E106" i="3"/>
  <c r="G118" i="3"/>
  <c r="V145" i="3"/>
  <c r="L132" i="3"/>
  <c r="V115" i="3"/>
  <c r="U124" i="3"/>
  <c r="H139" i="3"/>
  <c r="K127" i="3"/>
  <c r="K139" i="3"/>
  <c r="S118" i="3"/>
  <c r="W126" i="3"/>
  <c r="D142" i="3"/>
  <c r="D135" i="3"/>
  <c r="N123" i="3"/>
  <c r="J140" i="3"/>
  <c r="B126" i="3"/>
  <c r="I142" i="3"/>
  <c r="D128" i="3"/>
  <c r="R115" i="3"/>
  <c r="J130" i="3"/>
  <c r="N142" i="3"/>
  <c r="H123" i="3"/>
  <c r="B134" i="3"/>
  <c r="H129" i="3"/>
  <c r="P141" i="3"/>
  <c r="E134" i="3"/>
  <c r="E136" i="3"/>
  <c r="G143" i="3"/>
  <c r="S127" i="3"/>
  <c r="E149" i="3"/>
  <c r="A126" i="3"/>
  <c r="M146" i="3"/>
  <c r="W138" i="3"/>
  <c r="B146" i="3"/>
  <c r="A131" i="3"/>
  <c r="E151" i="3"/>
  <c r="O150" i="3"/>
  <c r="P147" i="3"/>
  <c r="N143" i="3"/>
  <c r="R146" i="3"/>
  <c r="M144" i="3"/>
  <c r="O149" i="3"/>
  <c r="J151" i="3"/>
  <c r="D151" i="3"/>
  <c r="AP151" i="1"/>
  <c r="AE151" i="1"/>
  <c r="AB121" i="1"/>
  <c r="AG121" i="1"/>
  <c r="AC121" i="1"/>
  <c r="AF121" i="1"/>
  <c r="AU91" i="1"/>
  <c r="AS61" i="1"/>
  <c r="AN151" i="1"/>
  <c r="AU121" i="1"/>
  <c r="AQ151" i="1"/>
  <c r="AL151" i="1"/>
  <c r="AJ151" i="1"/>
  <c r="AK121" i="1"/>
  <c r="AR151" i="1"/>
  <c r="AB2" i="1"/>
  <c r="AC3" i="1"/>
  <c r="AE91" i="1"/>
  <c r="AM151" i="1"/>
  <c r="AU151" i="1"/>
  <c r="AY151" i="1"/>
  <c r="AV91" i="1"/>
  <c r="AI151" i="1"/>
  <c r="AY61" i="1"/>
  <c r="AQ121" i="1"/>
  <c r="AI121" i="1"/>
  <c r="AT91" i="1"/>
  <c r="AD91" i="1"/>
  <c r="AM91" i="1"/>
  <c r="AN91" i="1"/>
  <c r="AU61" i="1"/>
  <c r="AL61" i="1"/>
  <c r="AQ61" i="1"/>
  <c r="AI91" i="1"/>
  <c r="AJ121" i="1"/>
  <c r="AY91" i="1"/>
  <c r="AX151" i="1"/>
  <c r="AN61" i="1"/>
  <c r="AX91" i="1"/>
  <c r="AO121" i="1"/>
  <c r="AN121" i="1"/>
  <c r="AF91" i="1"/>
  <c r="AE121" i="1"/>
  <c r="AM121" i="1"/>
  <c r="AE131" i="1"/>
  <c r="AH91" i="1"/>
  <c r="AP91" i="1"/>
  <c r="AI61" i="1"/>
  <c r="AQ91" i="1"/>
  <c r="AT61" i="1"/>
  <c r="AD61" i="1"/>
  <c r="AK151" i="1"/>
  <c r="AS91" i="1"/>
  <c r="AC151" i="1"/>
  <c r="AJ91" i="1"/>
  <c r="AB91" i="1"/>
  <c r="AP121" i="1"/>
  <c r="AE61" i="1"/>
  <c r="AF61" i="1"/>
  <c r="AD121" i="1"/>
  <c r="AL121" i="1"/>
  <c r="AB151" i="1"/>
  <c r="AR91" i="1"/>
  <c r="AP61" i="1"/>
  <c r="AY121" i="1"/>
  <c r="AX61" i="1"/>
  <c r="AV61" i="1"/>
  <c r="AO61" i="1"/>
  <c r="AT121" i="1"/>
  <c r="AW47" i="1"/>
  <c r="AT151" i="1"/>
  <c r="AG61" i="1"/>
  <c r="AD151" i="1"/>
  <c r="AR121" i="1"/>
  <c r="AG91" i="1"/>
  <c r="AO91" i="1"/>
  <c r="AK61" i="1"/>
  <c r="AS121" i="1"/>
  <c r="AX121" i="1"/>
  <c r="AH121" i="1"/>
  <c r="AV121" i="1"/>
  <c r="AV151" i="1"/>
  <c r="AH151" i="1"/>
  <c r="AW91" i="1"/>
  <c r="AF151" i="1"/>
  <c r="AL91" i="1"/>
  <c r="AR61" i="1"/>
  <c r="AJ61" i="1"/>
  <c r="AU136" i="1"/>
  <c r="AV136" i="1"/>
  <c r="AW151" i="1"/>
  <c r="AG151" i="1"/>
  <c r="AO151" i="1"/>
  <c r="AL142" i="1"/>
  <c r="AK150" i="1"/>
  <c r="AK149" i="1"/>
  <c r="AK142" i="1"/>
  <c r="AS125" i="1"/>
  <c r="AW121" i="1"/>
  <c r="AJ149" i="1"/>
  <c r="AR132" i="1"/>
  <c r="AR125" i="1"/>
  <c r="AJ124" i="1"/>
  <c r="AU143" i="1"/>
  <c r="AM135" i="1"/>
  <c r="AE127" i="1"/>
  <c r="AT150" i="1"/>
  <c r="AD134" i="1"/>
  <c r="AT143" i="1"/>
  <c r="AL135" i="1"/>
  <c r="AR149" i="1"/>
  <c r="AR148" i="1"/>
  <c r="AJ148" i="1"/>
  <c r="AR141" i="1"/>
  <c r="AJ141" i="1"/>
  <c r="AR140" i="1"/>
  <c r="AJ140" i="1"/>
  <c r="AR133" i="1"/>
  <c r="AJ133" i="1"/>
  <c r="AJ132" i="1"/>
  <c r="AJ125" i="1"/>
  <c r="AR124" i="1"/>
  <c r="AY150" i="1"/>
  <c r="AQ150" i="1"/>
  <c r="AI150" i="1"/>
  <c r="AY147" i="1"/>
  <c r="AY140" i="1"/>
  <c r="AQ139" i="1"/>
  <c r="AI124" i="1"/>
  <c r="AQ132" i="1"/>
  <c r="AX150" i="1"/>
  <c r="AP150" i="1"/>
  <c r="AP146" i="1"/>
  <c r="AH131" i="1"/>
  <c r="AS151" i="1"/>
  <c r="AC91" i="1"/>
  <c r="AO150" i="1"/>
  <c r="AG150" i="1"/>
  <c r="AO146" i="1"/>
  <c r="AG145" i="1"/>
  <c r="AG138" i="1"/>
  <c r="AW129" i="1"/>
  <c r="AW122" i="1"/>
  <c r="AS150" i="1"/>
  <c r="AV150" i="1"/>
  <c r="AF150" i="1"/>
  <c r="AF145" i="1"/>
  <c r="AV129" i="1"/>
  <c r="AN128" i="1"/>
  <c r="AI149" i="1"/>
  <c r="AY146" i="1"/>
  <c r="AY144" i="1"/>
  <c r="AY142" i="1"/>
  <c r="AQ140" i="1"/>
  <c r="AI132" i="1"/>
  <c r="AY124" i="1"/>
  <c r="AP147" i="1"/>
  <c r="AX138" i="1"/>
  <c r="AX130" i="1"/>
  <c r="AP122" i="1"/>
  <c r="AW149" i="1"/>
  <c r="AW147" i="1"/>
  <c r="AW145" i="1"/>
  <c r="AG143" i="1"/>
  <c r="AO141" i="1"/>
  <c r="AO139" i="1"/>
  <c r="AO137" i="1"/>
  <c r="AO135" i="1"/>
  <c r="AO133" i="1"/>
  <c r="AN150" i="1"/>
  <c r="AV148" i="1"/>
  <c r="AF147" i="1"/>
  <c r="AN145" i="1"/>
  <c r="AN143" i="1"/>
  <c r="AV141" i="1"/>
  <c r="AF140" i="1"/>
  <c r="AN138" i="1"/>
  <c r="AN136" i="1"/>
  <c r="AV134" i="1"/>
  <c r="AF133" i="1"/>
  <c r="AN131" i="1"/>
  <c r="AN129" i="1"/>
  <c r="AF127" i="1"/>
  <c r="AV122" i="1"/>
  <c r="AC150" i="1"/>
  <c r="AS149" i="1"/>
  <c r="AC149" i="1"/>
  <c r="AS148" i="1"/>
  <c r="AS142" i="1"/>
  <c r="AC142" i="1"/>
  <c r="AS141" i="1"/>
  <c r="AK141" i="1"/>
  <c r="AS134" i="1"/>
  <c r="AK134" i="1"/>
  <c r="AS133" i="1"/>
  <c r="AK133" i="1"/>
  <c r="AC133" i="1"/>
  <c r="AS126" i="1"/>
  <c r="AK126" i="1"/>
  <c r="AC126" i="1"/>
  <c r="AK125" i="1"/>
  <c r="AC125" i="1"/>
  <c r="AH138" i="1"/>
  <c r="AI148" i="1"/>
  <c r="AY145" i="1"/>
  <c r="AY143" i="1"/>
  <c r="AY141" i="1"/>
  <c r="AY139" i="1"/>
  <c r="AI138" i="1"/>
  <c r="AQ136" i="1"/>
  <c r="AQ135" i="1"/>
  <c r="AY132" i="1"/>
  <c r="AY123" i="1"/>
  <c r="AX149" i="1"/>
  <c r="AH147" i="1"/>
  <c r="AP138" i="1"/>
  <c r="AX123" i="1"/>
  <c r="AO148" i="1"/>
  <c r="AG146" i="1"/>
  <c r="AW143" i="1"/>
  <c r="AW141" i="1"/>
  <c r="AW139" i="1"/>
  <c r="AW137" i="1"/>
  <c r="AW135" i="1"/>
  <c r="AG133" i="1"/>
  <c r="AN149" i="1"/>
  <c r="AF148" i="1"/>
  <c r="AN146" i="1"/>
  <c r="AN144" i="1"/>
  <c r="AF143" i="1"/>
  <c r="AF141" i="1"/>
  <c r="AN139" i="1"/>
  <c r="AN137" i="1"/>
  <c r="AV135" i="1"/>
  <c r="AF134" i="1"/>
  <c r="AV132" i="1"/>
  <c r="AF131" i="1"/>
  <c r="AF129" i="1"/>
  <c r="AN127" i="1"/>
  <c r="AF123" i="1"/>
  <c r="AD127" i="1"/>
  <c r="AY148" i="1"/>
  <c r="AQ146" i="1"/>
  <c r="AQ144" i="1"/>
  <c r="AI142" i="1"/>
  <c r="AI139" i="1"/>
  <c r="AY137" i="1"/>
  <c r="AY135" i="1"/>
  <c r="AY131" i="1"/>
  <c r="AI123" i="1"/>
  <c r="AI131" i="1"/>
  <c r="AX148" i="1"/>
  <c r="AH139" i="1"/>
  <c r="AP130" i="1"/>
  <c r="AH123" i="1"/>
  <c r="AG148" i="1"/>
  <c r="AO145" i="1"/>
  <c r="AO143" i="1"/>
  <c r="AG141" i="1"/>
  <c r="AG139" i="1"/>
  <c r="AW136" i="1"/>
  <c r="AG135" i="1"/>
  <c r="AW134" i="1"/>
  <c r="AO134" i="1"/>
  <c r="AG134" i="1"/>
  <c r="AG132" i="1"/>
  <c r="AW131" i="1"/>
  <c r="AO131" i="1"/>
  <c r="AG131" i="1"/>
  <c r="AW130" i="1"/>
  <c r="AO130" i="1"/>
  <c r="AG130" i="1"/>
  <c r="AO129" i="1"/>
  <c r="AG129" i="1"/>
  <c r="AW128" i="1"/>
  <c r="AO128" i="1"/>
  <c r="AG128" i="1"/>
  <c r="AW127" i="1"/>
  <c r="AO127" i="1"/>
  <c r="AG127" i="1"/>
  <c r="AW126" i="1"/>
  <c r="AO126" i="1"/>
  <c r="AG126" i="1"/>
  <c r="AW125" i="1"/>
  <c r="AO125" i="1"/>
  <c r="AG125" i="1"/>
  <c r="AW124" i="1"/>
  <c r="AO124" i="1"/>
  <c r="AG124" i="1"/>
  <c r="AW123" i="1"/>
  <c r="AO123" i="1"/>
  <c r="AG123" i="1"/>
  <c r="AO122" i="1"/>
  <c r="AG122" i="1"/>
  <c r="AC141" i="1"/>
  <c r="AQ149" i="1"/>
  <c r="AI147" i="1"/>
  <c r="AI145" i="1"/>
  <c r="AQ143" i="1"/>
  <c r="AQ141" i="1"/>
  <c r="AY138" i="1"/>
  <c r="AQ137" i="1"/>
  <c r="AI136" i="1"/>
  <c r="AQ134" i="1"/>
  <c r="AQ123" i="1"/>
  <c r="AH149" i="1"/>
  <c r="AH146" i="1"/>
  <c r="AP131" i="1"/>
  <c r="AH122" i="1"/>
  <c r="AW150" i="1"/>
  <c r="AW148" i="1"/>
  <c r="AW146" i="1"/>
  <c r="AG144" i="1"/>
  <c r="AG142" i="1"/>
  <c r="AO140" i="1"/>
  <c r="AW138" i="1"/>
  <c r="AG136" i="1"/>
  <c r="AO132" i="1"/>
  <c r="AF149" i="1"/>
  <c r="AN147" i="1"/>
  <c r="AV145" i="1"/>
  <c r="AV143" i="1"/>
  <c r="AN142" i="1"/>
  <c r="AN141" i="1"/>
  <c r="AV139" i="1"/>
  <c r="AV137" i="1"/>
  <c r="AF136" i="1"/>
  <c r="AN134" i="1"/>
  <c r="AN132" i="1"/>
  <c r="AV130" i="1"/>
  <c r="AV128" i="1"/>
  <c r="AV127" i="1"/>
  <c r="AN126" i="1"/>
  <c r="AN125" i="1"/>
  <c r="AV124" i="1"/>
  <c r="AF124" i="1"/>
  <c r="AN122" i="1"/>
  <c r="AY149" i="1"/>
  <c r="AQ147" i="1"/>
  <c r="AQ145" i="1"/>
  <c r="AI143" i="1"/>
  <c r="AI141" i="1"/>
  <c r="AI137" i="1"/>
  <c r="AY134" i="1"/>
  <c r="AQ124" i="1"/>
  <c r="AP149" i="1"/>
  <c r="AX139" i="1"/>
  <c r="AH130" i="1"/>
  <c r="AX147" i="1"/>
  <c r="AO149" i="1"/>
  <c r="AO147" i="1"/>
  <c r="AW144" i="1"/>
  <c r="AW142" i="1"/>
  <c r="AG140" i="1"/>
  <c r="AG137" i="1"/>
  <c r="AW132" i="1"/>
  <c r="AV149" i="1"/>
  <c r="AV147" i="1"/>
  <c r="AF146" i="1"/>
  <c r="AF144" i="1"/>
  <c r="AF142" i="1"/>
  <c r="AN140" i="1"/>
  <c r="AF139" i="1"/>
  <c r="AF138" i="1"/>
  <c r="AF135" i="1"/>
  <c r="AN133" i="1"/>
  <c r="AV131" i="1"/>
  <c r="AF130" i="1"/>
  <c r="AV126" i="1"/>
  <c r="AF126" i="1"/>
  <c r="AV125" i="1"/>
  <c r="AF125" i="1"/>
  <c r="AN124" i="1"/>
  <c r="AV123" i="1"/>
  <c r="AF122" i="1"/>
  <c r="AU150" i="1"/>
  <c r="AM150" i="1"/>
  <c r="AE150" i="1"/>
  <c r="AU149" i="1"/>
  <c r="AM149" i="1"/>
  <c r="AE149" i="1"/>
  <c r="AU148" i="1"/>
  <c r="AM148" i="1"/>
  <c r="AE148" i="1"/>
  <c r="AU144" i="1"/>
  <c r="AM144" i="1"/>
  <c r="AE144" i="1"/>
  <c r="AM143" i="1"/>
  <c r="AE143" i="1"/>
  <c r="AM136" i="1"/>
  <c r="AE136" i="1"/>
  <c r="AU135" i="1"/>
  <c r="AE135" i="1"/>
  <c r="AU128" i="1"/>
  <c r="AE128" i="1"/>
  <c r="AU127" i="1"/>
  <c r="AM127" i="1"/>
  <c r="AX122" i="1"/>
  <c r="AQ148" i="1"/>
  <c r="AI146" i="1"/>
  <c r="AI144" i="1"/>
  <c r="AQ142" i="1"/>
  <c r="AI140" i="1"/>
  <c r="AQ138" i="1"/>
  <c r="AY136" i="1"/>
  <c r="AI135" i="1"/>
  <c r="AQ131" i="1"/>
  <c r="AH150" i="1"/>
  <c r="AX146" i="1"/>
  <c r="AX131" i="1"/>
  <c r="AP123" i="1"/>
  <c r="AG149" i="1"/>
  <c r="AG147" i="1"/>
  <c r="AO144" i="1"/>
  <c r="AO142" i="1"/>
  <c r="AW140" i="1"/>
  <c r="AO138" i="1"/>
  <c r="AO136" i="1"/>
  <c r="AW133" i="1"/>
  <c r="AN148" i="1"/>
  <c r="AV146" i="1"/>
  <c r="AV144" i="1"/>
  <c r="AV142" i="1"/>
  <c r="AV140" i="1"/>
  <c r="AV138" i="1"/>
  <c r="AF137" i="1"/>
  <c r="AN135" i="1"/>
  <c r="AV133" i="1"/>
  <c r="AF132" i="1"/>
  <c r="AN130" i="1"/>
  <c r="AF128" i="1"/>
  <c r="AN123" i="1"/>
  <c r="AL150" i="1"/>
  <c r="AD150" i="1"/>
  <c r="AT149" i="1"/>
  <c r="AL149" i="1"/>
  <c r="AD149" i="1"/>
  <c r="AT148" i="1"/>
  <c r="AL148" i="1"/>
  <c r="AD148" i="1"/>
  <c r="AT147" i="1"/>
  <c r="AL147" i="1"/>
  <c r="AD147" i="1"/>
  <c r="AT146" i="1"/>
  <c r="AL146" i="1"/>
  <c r="AD146" i="1"/>
  <c r="AT145" i="1"/>
  <c r="AL145" i="1"/>
  <c r="AD145" i="1"/>
  <c r="AT144" i="1"/>
  <c r="AL144" i="1"/>
  <c r="AL143" i="1"/>
  <c r="AD143" i="1"/>
  <c r="AT142" i="1"/>
  <c r="AD142" i="1"/>
  <c r="AT135" i="1"/>
  <c r="AD135" i="1"/>
  <c r="AT134" i="1"/>
  <c r="AL134" i="1"/>
  <c r="AT127" i="1"/>
  <c r="AL127" i="1"/>
  <c r="AT126" i="1"/>
  <c r="AL126" i="1"/>
  <c r="AD126" i="1"/>
  <c r="AP139" i="1"/>
  <c r="AC134" i="1"/>
  <c r="AM128" i="1"/>
  <c r="AI134" i="1"/>
  <c r="AY133" i="1"/>
  <c r="AQ133" i="1"/>
  <c r="AI133" i="1"/>
  <c r="AY130" i="1"/>
  <c r="AQ130" i="1"/>
  <c r="AI130" i="1"/>
  <c r="AY129" i="1"/>
  <c r="AQ129" i="1"/>
  <c r="AI129" i="1"/>
  <c r="AY128" i="1"/>
  <c r="AQ128" i="1"/>
  <c r="AI128" i="1"/>
  <c r="AY127" i="1"/>
  <c r="AQ127" i="1"/>
  <c r="AI127" i="1"/>
  <c r="AY126" i="1"/>
  <c r="AQ126" i="1"/>
  <c r="AI126" i="1"/>
  <c r="AY125" i="1"/>
  <c r="AQ125" i="1"/>
  <c r="AI125" i="1"/>
  <c r="AY122" i="1"/>
  <c r="AQ122" i="1"/>
  <c r="AI122" i="1"/>
  <c r="AP148" i="1"/>
  <c r="AH148" i="1"/>
  <c r="AX145" i="1"/>
  <c r="AP145" i="1"/>
  <c r="AH145" i="1"/>
  <c r="AX144" i="1"/>
  <c r="AP144" i="1"/>
  <c r="AH144" i="1"/>
  <c r="AX143" i="1"/>
  <c r="AP143" i="1"/>
  <c r="AH143" i="1"/>
  <c r="AX142" i="1"/>
  <c r="AP142" i="1"/>
  <c r="AH142" i="1"/>
  <c r="AX141" i="1"/>
  <c r="AP141" i="1"/>
  <c r="AH141" i="1"/>
  <c r="AX140" i="1"/>
  <c r="AP140" i="1"/>
  <c r="AH140" i="1"/>
  <c r="AX137" i="1"/>
  <c r="AP137" i="1"/>
  <c r="AH137" i="1"/>
  <c r="AX136" i="1"/>
  <c r="AP136" i="1"/>
  <c r="AH136" i="1"/>
  <c r="AX135" i="1"/>
  <c r="AP135" i="1"/>
  <c r="AH135" i="1"/>
  <c r="AX134" i="1"/>
  <c r="AP134" i="1"/>
  <c r="AH134" i="1"/>
  <c r="AX133" i="1"/>
  <c r="AP133" i="1"/>
  <c r="AH133" i="1"/>
  <c r="AX132" i="1"/>
  <c r="AP132" i="1"/>
  <c r="AH132" i="1"/>
  <c r="AX129" i="1"/>
  <c r="AP129" i="1"/>
  <c r="AH129" i="1"/>
  <c r="AX128" i="1"/>
  <c r="AP128" i="1"/>
  <c r="AH128" i="1"/>
  <c r="AX127" i="1"/>
  <c r="AP127" i="1"/>
  <c r="AH127" i="1"/>
  <c r="AX126" i="1"/>
  <c r="AP126" i="1"/>
  <c r="AH126" i="1"/>
  <c r="AX125" i="1"/>
  <c r="AP125" i="1"/>
  <c r="AH125" i="1"/>
  <c r="AX124" i="1"/>
  <c r="AP124" i="1"/>
  <c r="AH124" i="1"/>
  <c r="AU147" i="1"/>
  <c r="AM147" i="1"/>
  <c r="AE147" i="1"/>
  <c r="AU146" i="1"/>
  <c r="AM146" i="1"/>
  <c r="AE146" i="1"/>
  <c r="AU145" i="1"/>
  <c r="AM145" i="1"/>
  <c r="AE145" i="1"/>
  <c r="AU142" i="1"/>
  <c r="AM142" i="1"/>
  <c r="AE142" i="1"/>
  <c r="AU141" i="1"/>
  <c r="AM141" i="1"/>
  <c r="AE141" i="1"/>
  <c r="AU140" i="1"/>
  <c r="AM140" i="1"/>
  <c r="AE140" i="1"/>
  <c r="AU139" i="1"/>
  <c r="AM139" i="1"/>
  <c r="AE139" i="1"/>
  <c r="AU138" i="1"/>
  <c r="AM138" i="1"/>
  <c r="AE138" i="1"/>
  <c r="AU137" i="1"/>
  <c r="AM137" i="1"/>
  <c r="AE137" i="1"/>
  <c r="AU134" i="1"/>
  <c r="AM134" i="1"/>
  <c r="AE134" i="1"/>
  <c r="AU133" i="1"/>
  <c r="AM133" i="1"/>
  <c r="AE133" i="1"/>
  <c r="AU132" i="1"/>
  <c r="AM132" i="1"/>
  <c r="AE132" i="1"/>
  <c r="AU131" i="1"/>
  <c r="AM131" i="1"/>
  <c r="AU130" i="1"/>
  <c r="AM130" i="1"/>
  <c r="AE130" i="1"/>
  <c r="AU129" i="1"/>
  <c r="AM129" i="1"/>
  <c r="AE129" i="1"/>
  <c r="AU126" i="1"/>
  <c r="AM126" i="1"/>
  <c r="AE126" i="1"/>
  <c r="AU125" i="1"/>
  <c r="AM125" i="1"/>
  <c r="AE125" i="1"/>
  <c r="AU124" i="1"/>
  <c r="AM124" i="1"/>
  <c r="AE124" i="1"/>
  <c r="AU123" i="1"/>
  <c r="AM123" i="1"/>
  <c r="AE123" i="1"/>
  <c r="AU122" i="1"/>
  <c r="AM122" i="1"/>
  <c r="AE122" i="1"/>
  <c r="AD144" i="1"/>
  <c r="AT141" i="1"/>
  <c r="AL141" i="1"/>
  <c r="AD141" i="1"/>
  <c r="AT140" i="1"/>
  <c r="AL140" i="1"/>
  <c r="AD140" i="1"/>
  <c r="AT139" i="1"/>
  <c r="AL139" i="1"/>
  <c r="AD139" i="1"/>
  <c r="AT138" i="1"/>
  <c r="AL138" i="1"/>
  <c r="AD138" i="1"/>
  <c r="AT137" i="1"/>
  <c r="AL137" i="1"/>
  <c r="AD137" i="1"/>
  <c r="AT136" i="1"/>
  <c r="AL136" i="1"/>
  <c r="AD136" i="1"/>
  <c r="AT133" i="1"/>
  <c r="AL133" i="1"/>
  <c r="AD133" i="1"/>
  <c r="AT132" i="1"/>
  <c r="AL132" i="1"/>
  <c r="AD132" i="1"/>
  <c r="AT131" i="1"/>
  <c r="AL131" i="1"/>
  <c r="AD131" i="1"/>
  <c r="AT130" i="1"/>
  <c r="AL130" i="1"/>
  <c r="AD130" i="1"/>
  <c r="AT129" i="1"/>
  <c r="AL129" i="1"/>
  <c r="AD129" i="1"/>
  <c r="AT128" i="1"/>
  <c r="AL128" i="1"/>
  <c r="AD128" i="1"/>
  <c r="AT125" i="1"/>
  <c r="AL125" i="1"/>
  <c r="AD125" i="1"/>
  <c r="AT124" i="1"/>
  <c r="AL124" i="1"/>
  <c r="AD124" i="1"/>
  <c r="AT123" i="1"/>
  <c r="AL123" i="1"/>
  <c r="AD123" i="1"/>
  <c r="AT122" i="1"/>
  <c r="AL122" i="1"/>
  <c r="AD122" i="1"/>
  <c r="AK148" i="1"/>
  <c r="AC148" i="1"/>
  <c r="AS147" i="1"/>
  <c r="AK147" i="1"/>
  <c r="AC147" i="1"/>
  <c r="AS146" i="1"/>
  <c r="AK146" i="1"/>
  <c r="AC146" i="1"/>
  <c r="AS145" i="1"/>
  <c r="AK145" i="1"/>
  <c r="AC145" i="1"/>
  <c r="AS144" i="1"/>
  <c r="AK144" i="1"/>
  <c r="AC144" i="1"/>
  <c r="AS143" i="1"/>
  <c r="AK143" i="1"/>
  <c r="AC143" i="1"/>
  <c r="AS140" i="1"/>
  <c r="AK140" i="1"/>
  <c r="AC140" i="1"/>
  <c r="AS139" i="1"/>
  <c r="AK139" i="1"/>
  <c r="AC139" i="1"/>
  <c r="AS138" i="1"/>
  <c r="AK138" i="1"/>
  <c r="AC138" i="1"/>
  <c r="AS137" i="1"/>
  <c r="AK137" i="1"/>
  <c r="AC137" i="1"/>
  <c r="AS136" i="1"/>
  <c r="AK136" i="1"/>
  <c r="AC136" i="1"/>
  <c r="AS135" i="1"/>
  <c r="AK135" i="1"/>
  <c r="AC135" i="1"/>
  <c r="AS132" i="1"/>
  <c r="AK132" i="1"/>
  <c r="AC132" i="1"/>
  <c r="AS131" i="1"/>
  <c r="AK131" i="1"/>
  <c r="AC131" i="1"/>
  <c r="AS130" i="1"/>
  <c r="AK130" i="1"/>
  <c r="AC130" i="1"/>
  <c r="AS129" i="1"/>
  <c r="AK129" i="1"/>
  <c r="AC129" i="1"/>
  <c r="AS128" i="1"/>
  <c r="AK128" i="1"/>
  <c r="AC128" i="1"/>
  <c r="AS127" i="1"/>
  <c r="AK127" i="1"/>
  <c r="AC127" i="1"/>
  <c r="AS124" i="1"/>
  <c r="AK124" i="1"/>
  <c r="AC124" i="1"/>
  <c r="AS123" i="1"/>
  <c r="AK123" i="1"/>
  <c r="AC123" i="1"/>
  <c r="AS122" i="1"/>
  <c r="AK122" i="1"/>
  <c r="AC122" i="1"/>
  <c r="AR150" i="1"/>
  <c r="AJ150" i="1"/>
  <c r="AR147" i="1"/>
  <c r="AJ147" i="1"/>
  <c r="AR146" i="1"/>
  <c r="AJ146" i="1"/>
  <c r="AR145" i="1"/>
  <c r="AJ145" i="1"/>
  <c r="AR144" i="1"/>
  <c r="AJ144" i="1"/>
  <c r="AR143" i="1"/>
  <c r="AJ143" i="1"/>
  <c r="AR142" i="1"/>
  <c r="AJ142" i="1"/>
  <c r="AR139" i="1"/>
  <c r="AJ139" i="1"/>
  <c r="AR138" i="1"/>
  <c r="AJ138" i="1"/>
  <c r="AR137" i="1"/>
  <c r="AJ137" i="1"/>
  <c r="AR136" i="1"/>
  <c r="AJ136" i="1"/>
  <c r="AR135" i="1"/>
  <c r="AJ135" i="1"/>
  <c r="AR134" i="1"/>
  <c r="AJ134" i="1"/>
  <c r="AR131" i="1"/>
  <c r="AJ131" i="1"/>
  <c r="AR130" i="1"/>
  <c r="AJ130" i="1"/>
  <c r="AR129" i="1"/>
  <c r="AJ129" i="1"/>
  <c r="AR128" i="1"/>
  <c r="AJ128" i="1"/>
  <c r="AR127" i="1"/>
  <c r="AJ127" i="1"/>
  <c r="AR126" i="1"/>
  <c r="AJ126" i="1"/>
  <c r="AR123" i="1"/>
  <c r="AJ123" i="1"/>
  <c r="AR122" i="1"/>
  <c r="AJ122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K120" i="1"/>
  <c r="AS119" i="1"/>
  <c r="AK117" i="1"/>
  <c r="AC109" i="1"/>
  <c r="AP119" i="1"/>
  <c r="AR112" i="1"/>
  <c r="AU82" i="1"/>
  <c r="AE119" i="1"/>
  <c r="AM115" i="1"/>
  <c r="AL116" i="1"/>
  <c r="AR120" i="1"/>
  <c r="AY120" i="1"/>
  <c r="AQ120" i="1"/>
  <c r="AI120" i="1"/>
  <c r="AQ113" i="1"/>
  <c r="AI105" i="1"/>
  <c r="AH118" i="1"/>
  <c r="AP114" i="1"/>
  <c r="AH106" i="1"/>
  <c r="AG120" i="1"/>
  <c r="AW109" i="1"/>
  <c r="AV110" i="1"/>
  <c r="AS120" i="1"/>
  <c r="AK118" i="1"/>
  <c r="AQ119" i="1"/>
  <c r="AQ117" i="1"/>
  <c r="AI112" i="1"/>
  <c r="AU120" i="1"/>
  <c r="AM120" i="1"/>
  <c r="AE120" i="1"/>
  <c r="AU119" i="1"/>
  <c r="AM119" i="1"/>
  <c r="AU118" i="1"/>
  <c r="AM118" i="1"/>
  <c r="AE118" i="1"/>
  <c r="AU117" i="1"/>
  <c r="AM117" i="1"/>
  <c r="AE117" i="1"/>
  <c r="AU116" i="1"/>
  <c r="AM116" i="1"/>
  <c r="AE116" i="1"/>
  <c r="AU115" i="1"/>
  <c r="AE115" i="1"/>
  <c r="AU114" i="1"/>
  <c r="AM114" i="1"/>
  <c r="AM111" i="1"/>
  <c r="AE111" i="1"/>
  <c r="AU109" i="1"/>
  <c r="AM109" i="1"/>
  <c r="AE109" i="1"/>
  <c r="AU107" i="1"/>
  <c r="AM107" i="1"/>
  <c r="AU103" i="1"/>
  <c r="AM103" i="1"/>
  <c r="AU95" i="1"/>
  <c r="AM95" i="1"/>
  <c r="AE95" i="1"/>
  <c r="AE107" i="1"/>
  <c r="AC119" i="1"/>
  <c r="AK113" i="1"/>
  <c r="AI119" i="1"/>
  <c r="AI117" i="1"/>
  <c r="AY111" i="1"/>
  <c r="AT120" i="1"/>
  <c r="AL120" i="1"/>
  <c r="AD120" i="1"/>
  <c r="AT119" i="1"/>
  <c r="AL119" i="1"/>
  <c r="AD119" i="1"/>
  <c r="AT118" i="1"/>
  <c r="AL118" i="1"/>
  <c r="AD118" i="1"/>
  <c r="AT117" i="1"/>
  <c r="AL117" i="1"/>
  <c r="AD117" i="1"/>
  <c r="AT116" i="1"/>
  <c r="AD116" i="1"/>
  <c r="AT115" i="1"/>
  <c r="AT114" i="1"/>
  <c r="AL114" i="1"/>
  <c r="AD114" i="1"/>
  <c r="AT110" i="1"/>
  <c r="AL110" i="1"/>
  <c r="AD110" i="1"/>
  <c r="AT108" i="1"/>
  <c r="AL108" i="1"/>
  <c r="AT106" i="1"/>
  <c r="AL106" i="1"/>
  <c r="AD106" i="1"/>
  <c r="AT102" i="1"/>
  <c r="AL102" i="1"/>
  <c r="AD102" i="1"/>
  <c r="AL94" i="1"/>
  <c r="AD94" i="1"/>
  <c r="AC118" i="1"/>
  <c r="AS116" i="1"/>
  <c r="AK116" i="1"/>
  <c r="AS115" i="1"/>
  <c r="AK115" i="1"/>
  <c r="AC113" i="1"/>
  <c r="AS109" i="1"/>
  <c r="AK109" i="1"/>
  <c r="AS107" i="1"/>
  <c r="AK107" i="1"/>
  <c r="AC107" i="1"/>
  <c r="AS105" i="1"/>
  <c r="AK105" i="1"/>
  <c r="AC105" i="1"/>
  <c r="AS101" i="1"/>
  <c r="AK101" i="1"/>
  <c r="AC101" i="1"/>
  <c r="AS93" i="1"/>
  <c r="AK93" i="1"/>
  <c r="AC93" i="1"/>
  <c r="AJ120" i="1"/>
  <c r="AB120" i="1"/>
  <c r="AR119" i="1"/>
  <c r="AJ119" i="1"/>
  <c r="AB119" i="1"/>
  <c r="AR118" i="1"/>
  <c r="AR116" i="1"/>
  <c r="AJ116" i="1"/>
  <c r="AB116" i="1"/>
  <c r="AR114" i="1"/>
  <c r="AJ114" i="1"/>
  <c r="AB114" i="1"/>
  <c r="AJ112" i="1"/>
  <c r="AR108" i="1"/>
  <c r="AJ108" i="1"/>
  <c r="AB108" i="1"/>
  <c r="AR106" i="1"/>
  <c r="AJ106" i="1"/>
  <c r="AB106" i="1"/>
  <c r="AR104" i="1"/>
  <c r="AR100" i="1"/>
  <c r="AB100" i="1"/>
  <c r="AB98" i="1"/>
  <c r="AR92" i="1"/>
  <c r="AJ92" i="1"/>
  <c r="AU111" i="1"/>
  <c r="AJ104" i="1"/>
  <c r="AC120" i="1"/>
  <c r="AS117" i="1"/>
  <c r="AQ118" i="1"/>
  <c r="AI116" i="1"/>
  <c r="AI115" i="1"/>
  <c r="AI114" i="1"/>
  <c r="AY112" i="1"/>
  <c r="AY110" i="1"/>
  <c r="AY109" i="1"/>
  <c r="AY108" i="1"/>
  <c r="AI108" i="1"/>
  <c r="AQ107" i="1"/>
  <c r="AI107" i="1"/>
  <c r="AY106" i="1"/>
  <c r="AQ106" i="1"/>
  <c r="AY105" i="1"/>
  <c r="AQ105" i="1"/>
  <c r="AQ104" i="1"/>
  <c r="AI104" i="1"/>
  <c r="AY103" i="1"/>
  <c r="AQ103" i="1"/>
  <c r="AI103" i="1"/>
  <c r="AY102" i="1"/>
  <c r="AQ102" i="1"/>
  <c r="AI102" i="1"/>
  <c r="AY101" i="1"/>
  <c r="AQ101" i="1"/>
  <c r="AI101" i="1"/>
  <c r="AY100" i="1"/>
  <c r="AQ100" i="1"/>
  <c r="AI100" i="1"/>
  <c r="AY99" i="1"/>
  <c r="AQ99" i="1"/>
  <c r="AI99" i="1"/>
  <c r="AY98" i="1"/>
  <c r="AQ98" i="1"/>
  <c r="AI98" i="1"/>
  <c r="AY97" i="1"/>
  <c r="AQ97" i="1"/>
  <c r="AI97" i="1"/>
  <c r="AY96" i="1"/>
  <c r="AQ96" i="1"/>
  <c r="AI96" i="1"/>
  <c r="AY95" i="1"/>
  <c r="AQ95" i="1"/>
  <c r="AI95" i="1"/>
  <c r="AY94" i="1"/>
  <c r="AQ94" i="1"/>
  <c r="AI94" i="1"/>
  <c r="AY93" i="1"/>
  <c r="AQ93" i="1"/>
  <c r="AI93" i="1"/>
  <c r="AY92" i="1"/>
  <c r="AQ92" i="1"/>
  <c r="AI92" i="1"/>
  <c r="AE103" i="1"/>
  <c r="AS118" i="1"/>
  <c r="AS113" i="1"/>
  <c r="AI118" i="1"/>
  <c r="AQ116" i="1"/>
  <c r="AQ115" i="1"/>
  <c r="AQ114" i="1"/>
  <c r="AI113" i="1"/>
  <c r="AI111" i="1"/>
  <c r="AI110" i="1"/>
  <c r="AI109" i="1"/>
  <c r="AQ108" i="1"/>
  <c r="AY107" i="1"/>
  <c r="AY104" i="1"/>
  <c r="AX120" i="1"/>
  <c r="AP120" i="1"/>
  <c r="AH120" i="1"/>
  <c r="AX119" i="1"/>
  <c r="AH119" i="1"/>
  <c r="AX118" i="1"/>
  <c r="AP118" i="1"/>
  <c r="AX117" i="1"/>
  <c r="AP117" i="1"/>
  <c r="AH117" i="1"/>
  <c r="AX116" i="1"/>
  <c r="AP116" i="1"/>
  <c r="AH116" i="1"/>
  <c r="AX114" i="1"/>
  <c r="AH114" i="1"/>
  <c r="AX112" i="1"/>
  <c r="AP112" i="1"/>
  <c r="AH112" i="1"/>
  <c r="AX110" i="1"/>
  <c r="AP110" i="1"/>
  <c r="AH110" i="1"/>
  <c r="AX106" i="1"/>
  <c r="AP106" i="1"/>
  <c r="AX104" i="1"/>
  <c r="AP104" i="1"/>
  <c r="AH104" i="1"/>
  <c r="AX98" i="1"/>
  <c r="AP98" i="1"/>
  <c r="AH98" i="1"/>
  <c r="AJ100" i="1"/>
  <c r="AC115" i="1"/>
  <c r="AY118" i="1"/>
  <c r="AY116" i="1"/>
  <c r="AY115" i="1"/>
  <c r="AY114" i="1"/>
  <c r="AY113" i="1"/>
  <c r="AQ111" i="1"/>
  <c r="AQ110" i="1"/>
  <c r="AQ109" i="1"/>
  <c r="AI106" i="1"/>
  <c r="AW120" i="1"/>
  <c r="AO120" i="1"/>
  <c r="AW119" i="1"/>
  <c r="AO119" i="1"/>
  <c r="AG119" i="1"/>
  <c r="AW118" i="1"/>
  <c r="AO118" i="1"/>
  <c r="AG118" i="1"/>
  <c r="AW117" i="1"/>
  <c r="AO117" i="1"/>
  <c r="AG117" i="1"/>
  <c r="AW116" i="1"/>
  <c r="AO116" i="1"/>
  <c r="AG116" i="1"/>
  <c r="AW115" i="1"/>
  <c r="AO115" i="1"/>
  <c r="AG115" i="1"/>
  <c r="AW113" i="1"/>
  <c r="AO113" i="1"/>
  <c r="AG113" i="1"/>
  <c r="AW111" i="1"/>
  <c r="AO111" i="1"/>
  <c r="AG111" i="1"/>
  <c r="AO109" i="1"/>
  <c r="AG109" i="1"/>
  <c r="AW105" i="1"/>
  <c r="AO105" i="1"/>
  <c r="AG105" i="1"/>
  <c r="AW97" i="1"/>
  <c r="AG97" i="1"/>
  <c r="AO97" i="1"/>
  <c r="AK119" i="1"/>
  <c r="AC117" i="1"/>
  <c r="AY119" i="1"/>
  <c r="AY117" i="1"/>
  <c r="AQ112" i="1"/>
  <c r="AV120" i="1"/>
  <c r="AN120" i="1"/>
  <c r="AF120" i="1"/>
  <c r="AV119" i="1"/>
  <c r="AN119" i="1"/>
  <c r="AF119" i="1"/>
  <c r="AV118" i="1"/>
  <c r="AN118" i="1"/>
  <c r="AF118" i="1"/>
  <c r="AV117" i="1"/>
  <c r="AN117" i="1"/>
  <c r="AF117" i="1"/>
  <c r="AV116" i="1"/>
  <c r="AN116" i="1"/>
  <c r="AF116" i="1"/>
  <c r="AV115" i="1"/>
  <c r="AV112" i="1"/>
  <c r="AN112" i="1"/>
  <c r="AF112" i="1"/>
  <c r="AN110" i="1"/>
  <c r="AF110" i="1"/>
  <c r="AV108" i="1"/>
  <c r="AN108" i="1"/>
  <c r="AF108" i="1"/>
  <c r="AV104" i="1"/>
  <c r="AN104" i="1"/>
  <c r="AF104" i="1"/>
  <c r="AV96" i="1"/>
  <c r="AN96" i="1"/>
  <c r="AF96" i="1"/>
  <c r="AD108" i="1"/>
  <c r="AT94" i="1"/>
  <c r="AX115" i="1"/>
  <c r="AP115" i="1"/>
  <c r="AH115" i="1"/>
  <c r="AX113" i="1"/>
  <c r="AP113" i="1"/>
  <c r="AH113" i="1"/>
  <c r="AX111" i="1"/>
  <c r="AP111" i="1"/>
  <c r="AH111" i="1"/>
  <c r="AX109" i="1"/>
  <c r="AP109" i="1"/>
  <c r="AH109" i="1"/>
  <c r="AX108" i="1"/>
  <c r="AP108" i="1"/>
  <c r="AH108" i="1"/>
  <c r="AX107" i="1"/>
  <c r="AP107" i="1"/>
  <c r="AH107" i="1"/>
  <c r="AX105" i="1"/>
  <c r="AP105" i="1"/>
  <c r="AH105" i="1"/>
  <c r="AX103" i="1"/>
  <c r="AP103" i="1"/>
  <c r="AH103" i="1"/>
  <c r="AX102" i="1"/>
  <c r="AP102" i="1"/>
  <c r="AH102" i="1"/>
  <c r="AX101" i="1"/>
  <c r="AP101" i="1"/>
  <c r="AH101" i="1"/>
  <c r="AX100" i="1"/>
  <c r="AP100" i="1"/>
  <c r="AH100" i="1"/>
  <c r="AX99" i="1"/>
  <c r="AP99" i="1"/>
  <c r="AH99" i="1"/>
  <c r="AX97" i="1"/>
  <c r="AP97" i="1"/>
  <c r="AH97" i="1"/>
  <c r="AX96" i="1"/>
  <c r="AP96" i="1"/>
  <c r="AH96" i="1"/>
  <c r="AX95" i="1"/>
  <c r="AP95" i="1"/>
  <c r="AH95" i="1"/>
  <c r="AX94" i="1"/>
  <c r="AP94" i="1"/>
  <c r="AH94" i="1"/>
  <c r="AX93" i="1"/>
  <c r="AP93" i="1"/>
  <c r="AH93" i="1"/>
  <c r="AX92" i="1"/>
  <c r="AP92" i="1"/>
  <c r="AH92" i="1"/>
  <c r="AW114" i="1"/>
  <c r="AO114" i="1"/>
  <c r="AG114" i="1"/>
  <c r="AW112" i="1"/>
  <c r="AO112" i="1"/>
  <c r="AG112" i="1"/>
  <c r="AW110" i="1"/>
  <c r="AO110" i="1"/>
  <c r="AG110" i="1"/>
  <c r="AW108" i="1"/>
  <c r="AO108" i="1"/>
  <c r="AG108" i="1"/>
  <c r="AW107" i="1"/>
  <c r="AO107" i="1"/>
  <c r="AG107" i="1"/>
  <c r="AW106" i="1"/>
  <c r="AO106" i="1"/>
  <c r="AG106" i="1"/>
  <c r="AW104" i="1"/>
  <c r="AO104" i="1"/>
  <c r="AG104" i="1"/>
  <c r="AW103" i="1"/>
  <c r="AO103" i="1"/>
  <c r="AG103" i="1"/>
  <c r="AW102" i="1"/>
  <c r="AO102" i="1"/>
  <c r="AG102" i="1"/>
  <c r="AW101" i="1"/>
  <c r="AO101" i="1"/>
  <c r="AG101" i="1"/>
  <c r="AW100" i="1"/>
  <c r="AO100" i="1"/>
  <c r="AG100" i="1"/>
  <c r="AW99" i="1"/>
  <c r="AO99" i="1"/>
  <c r="AG99" i="1"/>
  <c r="AW98" i="1"/>
  <c r="AO98" i="1"/>
  <c r="AG98" i="1"/>
  <c r="AW96" i="1"/>
  <c r="AO96" i="1"/>
  <c r="AG96" i="1"/>
  <c r="AW95" i="1"/>
  <c r="AO95" i="1"/>
  <c r="AG95" i="1"/>
  <c r="AW94" i="1"/>
  <c r="AO94" i="1"/>
  <c r="AG94" i="1"/>
  <c r="AW93" i="1"/>
  <c r="AO93" i="1"/>
  <c r="AG93" i="1"/>
  <c r="AW92" i="1"/>
  <c r="AO92" i="1"/>
  <c r="AG92" i="1"/>
  <c r="AG84" i="1"/>
  <c r="AW68" i="1"/>
  <c r="AO67" i="1"/>
  <c r="AN115" i="1"/>
  <c r="AF115" i="1"/>
  <c r="AV114" i="1"/>
  <c r="AN114" i="1"/>
  <c r="AF114" i="1"/>
  <c r="AV113" i="1"/>
  <c r="AN113" i="1"/>
  <c r="AF113" i="1"/>
  <c r="AV111" i="1"/>
  <c r="AN111" i="1"/>
  <c r="AF111" i="1"/>
  <c r="AV109" i="1"/>
  <c r="AN109" i="1"/>
  <c r="AF109" i="1"/>
  <c r="AV107" i="1"/>
  <c r="AN107" i="1"/>
  <c r="AF107" i="1"/>
  <c r="AV106" i="1"/>
  <c r="AN106" i="1"/>
  <c r="AF106" i="1"/>
  <c r="AV105" i="1"/>
  <c r="AN105" i="1"/>
  <c r="AF105" i="1"/>
  <c r="AV103" i="1"/>
  <c r="AN103" i="1"/>
  <c r="AF103" i="1"/>
  <c r="AV102" i="1"/>
  <c r="AN102" i="1"/>
  <c r="AF102" i="1"/>
  <c r="AV101" i="1"/>
  <c r="AN101" i="1"/>
  <c r="AF101" i="1"/>
  <c r="AV100" i="1"/>
  <c r="AN100" i="1"/>
  <c r="AF100" i="1"/>
  <c r="AV99" i="1"/>
  <c r="AN99" i="1"/>
  <c r="AF99" i="1"/>
  <c r="AV98" i="1"/>
  <c r="AN98" i="1"/>
  <c r="AF98" i="1"/>
  <c r="AV97" i="1"/>
  <c r="AN97" i="1"/>
  <c r="AF97" i="1"/>
  <c r="AV95" i="1"/>
  <c r="AN95" i="1"/>
  <c r="AF95" i="1"/>
  <c r="AV94" i="1"/>
  <c r="AN94" i="1"/>
  <c r="AF94" i="1"/>
  <c r="AV93" i="1"/>
  <c r="AN93" i="1"/>
  <c r="AF93" i="1"/>
  <c r="AV92" i="1"/>
  <c r="AN92" i="1"/>
  <c r="AF92" i="1"/>
  <c r="AE114" i="1"/>
  <c r="AU113" i="1"/>
  <c r="AM113" i="1"/>
  <c r="AE113" i="1"/>
  <c r="AU112" i="1"/>
  <c r="AM112" i="1"/>
  <c r="AE112" i="1"/>
  <c r="AU110" i="1"/>
  <c r="AM110" i="1"/>
  <c r="AE110" i="1"/>
  <c r="AU108" i="1"/>
  <c r="AM108" i="1"/>
  <c r="AE108" i="1"/>
  <c r="AU106" i="1"/>
  <c r="AM106" i="1"/>
  <c r="AE106" i="1"/>
  <c r="AU105" i="1"/>
  <c r="AM105" i="1"/>
  <c r="AE105" i="1"/>
  <c r="AU104" i="1"/>
  <c r="AM104" i="1"/>
  <c r="AE104" i="1"/>
  <c r="AU102" i="1"/>
  <c r="AM102" i="1"/>
  <c r="AE102" i="1"/>
  <c r="AU101" i="1"/>
  <c r="AM101" i="1"/>
  <c r="AE101" i="1"/>
  <c r="AU100" i="1"/>
  <c r="AM100" i="1"/>
  <c r="AE100" i="1"/>
  <c r="AU99" i="1"/>
  <c r="AM99" i="1"/>
  <c r="AE99" i="1"/>
  <c r="AU98" i="1"/>
  <c r="AM98" i="1"/>
  <c r="AE98" i="1"/>
  <c r="AU97" i="1"/>
  <c r="AM97" i="1"/>
  <c r="AE97" i="1"/>
  <c r="AU96" i="1"/>
  <c r="AM96" i="1"/>
  <c r="AE96" i="1"/>
  <c r="AU94" i="1"/>
  <c r="AM94" i="1"/>
  <c r="AE94" i="1"/>
  <c r="AU93" i="1"/>
  <c r="AM93" i="1"/>
  <c r="AE93" i="1"/>
  <c r="AU92" i="1"/>
  <c r="AM92" i="1"/>
  <c r="AE92" i="1"/>
  <c r="AM90" i="1"/>
  <c r="AE90" i="1"/>
  <c r="AU89" i="1"/>
  <c r="AE89" i="1"/>
  <c r="AL115" i="1"/>
  <c r="AD115" i="1"/>
  <c r="AT113" i="1"/>
  <c r="AL113" i="1"/>
  <c r="AD113" i="1"/>
  <c r="AT112" i="1"/>
  <c r="AL112" i="1"/>
  <c r="AD112" i="1"/>
  <c r="AT111" i="1"/>
  <c r="AL111" i="1"/>
  <c r="AD111" i="1"/>
  <c r="AT109" i="1"/>
  <c r="AL109" i="1"/>
  <c r="AD109" i="1"/>
  <c r="AT107" i="1"/>
  <c r="AL107" i="1"/>
  <c r="AD107" i="1"/>
  <c r="AT105" i="1"/>
  <c r="AL105" i="1"/>
  <c r="AD105" i="1"/>
  <c r="AT104" i="1"/>
  <c r="AL104" i="1"/>
  <c r="AD104" i="1"/>
  <c r="AT103" i="1"/>
  <c r="AL103" i="1"/>
  <c r="AD103" i="1"/>
  <c r="AT101" i="1"/>
  <c r="AL101" i="1"/>
  <c r="AD101" i="1"/>
  <c r="AT100" i="1"/>
  <c r="AL100" i="1"/>
  <c r="AD100" i="1"/>
  <c r="AT99" i="1"/>
  <c r="AL99" i="1"/>
  <c r="AD99" i="1"/>
  <c r="AT98" i="1"/>
  <c r="AL98" i="1"/>
  <c r="AD98" i="1"/>
  <c r="AT97" i="1"/>
  <c r="AL97" i="1"/>
  <c r="AD97" i="1"/>
  <c r="AT96" i="1"/>
  <c r="AL96" i="1"/>
  <c r="AD96" i="1"/>
  <c r="AT95" i="1"/>
  <c r="AL95" i="1"/>
  <c r="AD95" i="1"/>
  <c r="AT93" i="1"/>
  <c r="AL93" i="1"/>
  <c r="AD93" i="1"/>
  <c r="AT92" i="1"/>
  <c r="AL92" i="1"/>
  <c r="AD92" i="1"/>
  <c r="AC116" i="1"/>
  <c r="AS114" i="1"/>
  <c r="AK114" i="1"/>
  <c r="AC114" i="1"/>
  <c r="AS112" i="1"/>
  <c r="AK112" i="1"/>
  <c r="AC112" i="1"/>
  <c r="AS111" i="1"/>
  <c r="AK111" i="1"/>
  <c r="AC111" i="1"/>
  <c r="AS110" i="1"/>
  <c r="AK110" i="1"/>
  <c r="AC110" i="1"/>
  <c r="AS108" i="1"/>
  <c r="AK108" i="1"/>
  <c r="AC108" i="1"/>
  <c r="AS106" i="1"/>
  <c r="AK106" i="1"/>
  <c r="AC106" i="1"/>
  <c r="AS104" i="1"/>
  <c r="AK104" i="1"/>
  <c r="AC104" i="1"/>
  <c r="AS103" i="1"/>
  <c r="AK103" i="1"/>
  <c r="AC103" i="1"/>
  <c r="AS102" i="1"/>
  <c r="AK102" i="1"/>
  <c r="AC102" i="1"/>
  <c r="AS100" i="1"/>
  <c r="AK100" i="1"/>
  <c r="AC100" i="1"/>
  <c r="AS99" i="1"/>
  <c r="AK99" i="1"/>
  <c r="AC99" i="1"/>
  <c r="AS98" i="1"/>
  <c r="AK98" i="1"/>
  <c r="AC98" i="1"/>
  <c r="AS97" i="1"/>
  <c r="AK97" i="1"/>
  <c r="AC97" i="1"/>
  <c r="AS96" i="1"/>
  <c r="AK96" i="1"/>
  <c r="AC96" i="1"/>
  <c r="AS95" i="1"/>
  <c r="AK95" i="1"/>
  <c r="AC95" i="1"/>
  <c r="AS94" i="1"/>
  <c r="AK94" i="1"/>
  <c r="AC94" i="1"/>
  <c r="AS92" i="1"/>
  <c r="AK92" i="1"/>
  <c r="AC92" i="1"/>
  <c r="AC87" i="1"/>
  <c r="AJ118" i="1"/>
  <c r="AB118" i="1"/>
  <c r="AR117" i="1"/>
  <c r="AJ117" i="1"/>
  <c r="AB117" i="1"/>
  <c r="AR115" i="1"/>
  <c r="AJ115" i="1"/>
  <c r="AB115" i="1"/>
  <c r="AR113" i="1"/>
  <c r="AJ113" i="1"/>
  <c r="AB113" i="1"/>
  <c r="AB112" i="1"/>
  <c r="AR111" i="1"/>
  <c r="AJ111" i="1"/>
  <c r="AB111" i="1"/>
  <c r="AR110" i="1"/>
  <c r="AJ110" i="1"/>
  <c r="AB110" i="1"/>
  <c r="AR109" i="1"/>
  <c r="AJ109" i="1"/>
  <c r="AB109" i="1"/>
  <c r="AR107" i="1"/>
  <c r="AJ107" i="1"/>
  <c r="AB107" i="1"/>
  <c r="AR105" i="1"/>
  <c r="AJ105" i="1"/>
  <c r="AB105" i="1"/>
  <c r="AB104" i="1"/>
  <c r="AR103" i="1"/>
  <c r="AJ103" i="1"/>
  <c r="AB103" i="1"/>
  <c r="AR102" i="1"/>
  <c r="AJ102" i="1"/>
  <c r="AB102" i="1"/>
  <c r="AR101" i="1"/>
  <c r="AJ101" i="1"/>
  <c r="AB101" i="1"/>
  <c r="AR99" i="1"/>
  <c r="AJ99" i="1"/>
  <c r="AB99" i="1"/>
  <c r="AR98" i="1"/>
  <c r="AJ98" i="1"/>
  <c r="AR97" i="1"/>
  <c r="AJ97" i="1"/>
  <c r="AB97" i="1"/>
  <c r="AR96" i="1"/>
  <c r="AJ96" i="1"/>
  <c r="AB96" i="1"/>
  <c r="AR95" i="1"/>
  <c r="AJ95" i="1"/>
  <c r="AB95" i="1"/>
  <c r="AR94" i="1"/>
  <c r="AJ94" i="1"/>
  <c r="AB94" i="1"/>
  <c r="AR93" i="1"/>
  <c r="AJ93" i="1"/>
  <c r="AB93" i="1"/>
  <c r="AV90" i="1"/>
  <c r="AN90" i="1"/>
  <c r="AF90" i="1"/>
  <c r="AV82" i="1"/>
  <c r="AV75" i="1"/>
  <c r="AN74" i="1"/>
  <c r="AN67" i="1"/>
  <c r="AF66" i="1"/>
  <c r="AM74" i="1"/>
  <c r="AM61" i="1"/>
  <c r="AS71" i="1"/>
  <c r="AK63" i="1"/>
  <c r="AE66" i="1"/>
  <c r="AB92" i="1"/>
  <c r="AR78" i="1"/>
  <c r="AR71" i="1"/>
  <c r="AJ70" i="1"/>
  <c r="AJ63" i="1"/>
  <c r="AW75" i="1"/>
  <c r="AY86" i="1"/>
  <c r="AQ85" i="1"/>
  <c r="AQ78" i="1"/>
  <c r="AI77" i="1"/>
  <c r="AI70" i="1"/>
  <c r="AM81" i="1"/>
  <c r="AE73" i="1"/>
  <c r="AP85" i="1"/>
  <c r="AH84" i="1"/>
  <c r="AH77" i="1"/>
  <c r="AX68" i="1"/>
  <c r="AN83" i="1"/>
  <c r="AN75" i="1"/>
  <c r="AF67" i="1"/>
  <c r="AM89" i="1"/>
  <c r="AM82" i="1"/>
  <c r="AU66" i="1"/>
  <c r="AT90" i="1"/>
  <c r="AL90" i="1"/>
  <c r="AD90" i="1"/>
  <c r="AT89" i="1"/>
  <c r="AL89" i="1"/>
  <c r="AD89" i="1"/>
  <c r="AT88" i="1"/>
  <c r="AL88" i="1"/>
  <c r="AD88" i="1"/>
  <c r="AT81" i="1"/>
  <c r="AL81" i="1"/>
  <c r="AD81" i="1"/>
  <c r="AT80" i="1"/>
  <c r="AL80" i="1"/>
  <c r="AD80" i="1"/>
  <c r="AT73" i="1"/>
  <c r="AL73" i="1"/>
  <c r="AD73" i="1"/>
  <c r="AT72" i="1"/>
  <c r="AL72" i="1"/>
  <c r="AD72" i="1"/>
  <c r="AT65" i="1"/>
  <c r="AL65" i="1"/>
  <c r="AD65" i="1"/>
  <c r="AT64" i="1"/>
  <c r="AL64" i="1"/>
  <c r="AD64" i="1"/>
  <c r="AE81" i="1"/>
  <c r="AE74" i="1"/>
  <c r="AE65" i="1"/>
  <c r="AS88" i="1"/>
  <c r="AK88" i="1"/>
  <c r="AC88" i="1"/>
  <c r="AS87" i="1"/>
  <c r="AK87" i="1"/>
  <c r="AS80" i="1"/>
  <c r="AK80" i="1"/>
  <c r="AC80" i="1"/>
  <c r="AS79" i="1"/>
  <c r="AK79" i="1"/>
  <c r="AC79" i="1"/>
  <c r="AS72" i="1"/>
  <c r="AK72" i="1"/>
  <c r="AC72" i="1"/>
  <c r="AK71" i="1"/>
  <c r="AC71" i="1"/>
  <c r="AS64" i="1"/>
  <c r="AK64" i="1"/>
  <c r="AC64" i="1"/>
  <c r="AS63" i="1"/>
  <c r="AC63" i="1"/>
  <c r="AF82" i="1"/>
  <c r="AF74" i="1"/>
  <c r="AE82" i="1"/>
  <c r="AU74" i="1"/>
  <c r="AU65" i="1"/>
  <c r="AR87" i="1"/>
  <c r="AJ87" i="1"/>
  <c r="AR86" i="1"/>
  <c r="AJ86" i="1"/>
  <c r="AR79" i="1"/>
  <c r="AJ79" i="1"/>
  <c r="AJ78" i="1"/>
  <c r="AJ71" i="1"/>
  <c r="AR70" i="1"/>
  <c r="AR63" i="1"/>
  <c r="AR62" i="1"/>
  <c r="AJ62" i="1"/>
  <c r="AF83" i="1"/>
  <c r="AF75" i="1"/>
  <c r="AV67" i="1"/>
  <c r="AU81" i="1"/>
  <c r="AM65" i="1"/>
  <c r="AQ86" i="1"/>
  <c r="AI86" i="1"/>
  <c r="AY85" i="1"/>
  <c r="AI85" i="1"/>
  <c r="AY78" i="1"/>
  <c r="AI78" i="1"/>
  <c r="AY77" i="1"/>
  <c r="AQ77" i="1"/>
  <c r="AY70" i="1"/>
  <c r="AQ70" i="1"/>
  <c r="AY69" i="1"/>
  <c r="AQ69" i="1"/>
  <c r="AI69" i="1"/>
  <c r="AY62" i="1"/>
  <c r="AQ62" i="1"/>
  <c r="AI62" i="1"/>
  <c r="AY46" i="1"/>
  <c r="AV83" i="1"/>
  <c r="AV66" i="1"/>
  <c r="AU73" i="1"/>
  <c r="AM66" i="1"/>
  <c r="AX85" i="1"/>
  <c r="AH85" i="1"/>
  <c r="AX84" i="1"/>
  <c r="AP84" i="1"/>
  <c r="AX77" i="1"/>
  <c r="AP77" i="1"/>
  <c r="AX76" i="1"/>
  <c r="AP76" i="1"/>
  <c r="AH76" i="1"/>
  <c r="AX69" i="1"/>
  <c r="AP69" i="1"/>
  <c r="AH69" i="1"/>
  <c r="AP68" i="1"/>
  <c r="AH68" i="1"/>
  <c r="AN82" i="1"/>
  <c r="AV74" i="1"/>
  <c r="AN66" i="1"/>
  <c r="AU90" i="1"/>
  <c r="AM73" i="1"/>
  <c r="AW84" i="1"/>
  <c r="AO84" i="1"/>
  <c r="AW83" i="1"/>
  <c r="AO83" i="1"/>
  <c r="AG83" i="1"/>
  <c r="AW76" i="1"/>
  <c r="AO76" i="1"/>
  <c r="AG76" i="1"/>
  <c r="AO75" i="1"/>
  <c r="AG75" i="1"/>
  <c r="AO68" i="1"/>
  <c r="AG68" i="1"/>
  <c r="AW67" i="1"/>
  <c r="AG67" i="1"/>
  <c r="AD87" i="1"/>
  <c r="AT84" i="1"/>
  <c r="AL83" i="1"/>
  <c r="AD78" i="1"/>
  <c r="AD76" i="1"/>
  <c r="AL74" i="1"/>
  <c r="AD71" i="1"/>
  <c r="AT68" i="1"/>
  <c r="AT66" i="1"/>
  <c r="AD63" i="1"/>
  <c r="AL62" i="1"/>
  <c r="AK84" i="1"/>
  <c r="AS82" i="1"/>
  <c r="AS78" i="1"/>
  <c r="AC77" i="1"/>
  <c r="AC75" i="1"/>
  <c r="AK73" i="1"/>
  <c r="AK70" i="1"/>
  <c r="AK68" i="1"/>
  <c r="AC66" i="1"/>
  <c r="AC61" i="1"/>
  <c r="AR90" i="1"/>
  <c r="AJ90" i="1"/>
  <c r="AB90" i="1"/>
  <c r="AR89" i="1"/>
  <c r="AJ89" i="1"/>
  <c r="AB89" i="1"/>
  <c r="AR88" i="1"/>
  <c r="AJ88" i="1"/>
  <c r="AB88" i="1"/>
  <c r="AB87" i="1"/>
  <c r="AB86" i="1"/>
  <c r="AR85" i="1"/>
  <c r="AJ85" i="1"/>
  <c r="AB85" i="1"/>
  <c r="AR84" i="1"/>
  <c r="AJ84" i="1"/>
  <c r="AB84" i="1"/>
  <c r="AR83" i="1"/>
  <c r="AJ83" i="1"/>
  <c r="AB83" i="1"/>
  <c r="AR82" i="1"/>
  <c r="AJ82" i="1"/>
  <c r="AB82" i="1"/>
  <c r="AR81" i="1"/>
  <c r="AJ81" i="1"/>
  <c r="AB81" i="1"/>
  <c r="AR80" i="1"/>
  <c r="AJ80" i="1"/>
  <c r="AB80" i="1"/>
  <c r="AB79" i="1"/>
  <c r="AB78" i="1"/>
  <c r="AR77" i="1"/>
  <c r="AJ77" i="1"/>
  <c r="AB77" i="1"/>
  <c r="AR76" i="1"/>
  <c r="AJ76" i="1"/>
  <c r="AB76" i="1"/>
  <c r="AR75" i="1"/>
  <c r="AJ75" i="1"/>
  <c r="AB75" i="1"/>
  <c r="AR74" i="1"/>
  <c r="AJ74" i="1"/>
  <c r="AB74" i="1"/>
  <c r="AR73" i="1"/>
  <c r="AJ73" i="1"/>
  <c r="AB73" i="1"/>
  <c r="AR72" i="1"/>
  <c r="AJ72" i="1"/>
  <c r="AB72" i="1"/>
  <c r="AB71" i="1"/>
  <c r="AB70" i="1"/>
  <c r="AR69" i="1"/>
  <c r="AJ69" i="1"/>
  <c r="AB69" i="1"/>
  <c r="AR68" i="1"/>
  <c r="AJ68" i="1"/>
  <c r="AB68" i="1"/>
  <c r="AR67" i="1"/>
  <c r="AJ67" i="1"/>
  <c r="AB67" i="1"/>
  <c r="AR66" i="1"/>
  <c r="AJ66" i="1"/>
  <c r="AB66" i="1"/>
  <c r="AR65" i="1"/>
  <c r="AJ65" i="1"/>
  <c r="AB65" i="1"/>
  <c r="AR64" i="1"/>
  <c r="AJ64" i="1"/>
  <c r="AB64" i="1"/>
  <c r="AB63" i="1"/>
  <c r="AL86" i="1"/>
  <c r="AD84" i="1"/>
  <c r="AD82" i="1"/>
  <c r="AL79" i="1"/>
  <c r="AL77" i="1"/>
  <c r="AT75" i="1"/>
  <c r="AT70" i="1"/>
  <c r="AL68" i="1"/>
  <c r="AL66" i="1"/>
  <c r="AT63" i="1"/>
  <c r="AT62" i="1"/>
  <c r="AK91" i="1"/>
  <c r="AC90" i="1"/>
  <c r="AS86" i="1"/>
  <c r="AK85" i="1"/>
  <c r="AK83" i="1"/>
  <c r="AK81" i="1"/>
  <c r="AK77" i="1"/>
  <c r="AS75" i="1"/>
  <c r="AS73" i="1"/>
  <c r="AS70" i="1"/>
  <c r="AS68" i="1"/>
  <c r="AS66" i="1"/>
  <c r="AC65" i="1"/>
  <c r="AY90" i="1"/>
  <c r="AQ90" i="1"/>
  <c r="AI90" i="1"/>
  <c r="AY89" i="1"/>
  <c r="AQ89" i="1"/>
  <c r="AI89" i="1"/>
  <c r="AY88" i="1"/>
  <c r="AQ88" i="1"/>
  <c r="AI88" i="1"/>
  <c r="AY87" i="1"/>
  <c r="AQ87" i="1"/>
  <c r="AI87" i="1"/>
  <c r="AY84" i="1"/>
  <c r="AQ84" i="1"/>
  <c r="AI84" i="1"/>
  <c r="AY83" i="1"/>
  <c r="AQ83" i="1"/>
  <c r="AI83" i="1"/>
  <c r="AY82" i="1"/>
  <c r="AQ82" i="1"/>
  <c r="AI82" i="1"/>
  <c r="AY81" i="1"/>
  <c r="AQ81" i="1"/>
  <c r="AI81" i="1"/>
  <c r="AY80" i="1"/>
  <c r="AQ80" i="1"/>
  <c r="AI80" i="1"/>
  <c r="AY79" i="1"/>
  <c r="AQ79" i="1"/>
  <c r="AI79" i="1"/>
  <c r="AY76" i="1"/>
  <c r="AQ76" i="1"/>
  <c r="AI76" i="1"/>
  <c r="AY75" i="1"/>
  <c r="AQ75" i="1"/>
  <c r="AI75" i="1"/>
  <c r="AY74" i="1"/>
  <c r="AQ74" i="1"/>
  <c r="AI74" i="1"/>
  <c r="AY73" i="1"/>
  <c r="AQ73" i="1"/>
  <c r="AI73" i="1"/>
  <c r="AY72" i="1"/>
  <c r="AQ72" i="1"/>
  <c r="AI72" i="1"/>
  <c r="AY71" i="1"/>
  <c r="AQ71" i="1"/>
  <c r="AI71" i="1"/>
  <c r="AY68" i="1"/>
  <c r="AQ68" i="1"/>
  <c r="AI68" i="1"/>
  <c r="AY67" i="1"/>
  <c r="AQ67" i="1"/>
  <c r="AI67" i="1"/>
  <c r="AY66" i="1"/>
  <c r="AQ66" i="1"/>
  <c r="AI66" i="1"/>
  <c r="AY65" i="1"/>
  <c r="AQ65" i="1"/>
  <c r="AI65" i="1"/>
  <c r="AY64" i="1"/>
  <c r="AQ64" i="1"/>
  <c r="AI64" i="1"/>
  <c r="AY63" i="1"/>
  <c r="AQ63" i="1"/>
  <c r="AI63" i="1"/>
  <c r="AY54" i="1"/>
  <c r="AL87" i="1"/>
  <c r="AT85" i="1"/>
  <c r="AD83" i="1"/>
  <c r="AT79" i="1"/>
  <c r="AT77" i="1"/>
  <c r="AL75" i="1"/>
  <c r="AT71" i="1"/>
  <c r="AT69" i="1"/>
  <c r="AD67" i="1"/>
  <c r="AK89" i="1"/>
  <c r="AC85" i="1"/>
  <c r="AC83" i="1"/>
  <c r="AC81" i="1"/>
  <c r="AC78" i="1"/>
  <c r="AC76" i="1"/>
  <c r="AS74" i="1"/>
  <c r="AK69" i="1"/>
  <c r="AK67" i="1"/>
  <c r="AS65" i="1"/>
  <c r="AS62" i="1"/>
  <c r="AC62" i="1"/>
  <c r="AX90" i="1"/>
  <c r="AP90" i="1"/>
  <c r="AH90" i="1"/>
  <c r="AX89" i="1"/>
  <c r="AP89" i="1"/>
  <c r="AH89" i="1"/>
  <c r="AX88" i="1"/>
  <c r="AP88" i="1"/>
  <c r="AH88" i="1"/>
  <c r="AX87" i="1"/>
  <c r="AP87" i="1"/>
  <c r="AH87" i="1"/>
  <c r="AX86" i="1"/>
  <c r="AP86" i="1"/>
  <c r="AH86" i="1"/>
  <c r="AX83" i="1"/>
  <c r="AP83" i="1"/>
  <c r="AH83" i="1"/>
  <c r="AX82" i="1"/>
  <c r="AP82" i="1"/>
  <c r="AH82" i="1"/>
  <c r="AX81" i="1"/>
  <c r="AP81" i="1"/>
  <c r="AH81" i="1"/>
  <c r="AX80" i="1"/>
  <c r="AP80" i="1"/>
  <c r="AH80" i="1"/>
  <c r="AX79" i="1"/>
  <c r="AP79" i="1"/>
  <c r="AH79" i="1"/>
  <c r="AX78" i="1"/>
  <c r="AP78" i="1"/>
  <c r="AH78" i="1"/>
  <c r="AX75" i="1"/>
  <c r="AP75" i="1"/>
  <c r="AH75" i="1"/>
  <c r="AX74" i="1"/>
  <c r="AP74" i="1"/>
  <c r="AH74" i="1"/>
  <c r="AX73" i="1"/>
  <c r="AP73" i="1"/>
  <c r="AH73" i="1"/>
  <c r="AX72" i="1"/>
  <c r="AP72" i="1"/>
  <c r="AH72" i="1"/>
  <c r="AX71" i="1"/>
  <c r="AP71" i="1"/>
  <c r="AH71" i="1"/>
  <c r="AX70" i="1"/>
  <c r="AP70" i="1"/>
  <c r="AH70" i="1"/>
  <c r="AX67" i="1"/>
  <c r="AP67" i="1"/>
  <c r="AH67" i="1"/>
  <c r="AX66" i="1"/>
  <c r="AP66" i="1"/>
  <c r="AH66" i="1"/>
  <c r="AX65" i="1"/>
  <c r="AP65" i="1"/>
  <c r="AH65" i="1"/>
  <c r="AX64" i="1"/>
  <c r="AP64" i="1"/>
  <c r="AH64" i="1"/>
  <c r="AX63" i="1"/>
  <c r="AP63" i="1"/>
  <c r="AH63" i="1"/>
  <c r="AX62" i="1"/>
  <c r="AP62" i="1"/>
  <c r="AH62" i="1"/>
  <c r="AT86" i="1"/>
  <c r="AD85" i="1"/>
  <c r="AL82" i="1"/>
  <c r="AT78" i="1"/>
  <c r="AT76" i="1"/>
  <c r="AT74" i="1"/>
  <c r="AD70" i="1"/>
  <c r="AD68" i="1"/>
  <c r="AD66" i="1"/>
  <c r="AL63" i="1"/>
  <c r="AD62" i="1"/>
  <c r="AS90" i="1"/>
  <c r="AK86" i="1"/>
  <c r="AS84" i="1"/>
  <c r="AC82" i="1"/>
  <c r="AC73" i="1"/>
  <c r="AS69" i="1"/>
  <c r="AC68" i="1"/>
  <c r="AK66" i="1"/>
  <c r="AK62" i="1"/>
  <c r="AW90" i="1"/>
  <c r="AO90" i="1"/>
  <c r="AG90" i="1"/>
  <c r="AW89" i="1"/>
  <c r="AO89" i="1"/>
  <c r="AG89" i="1"/>
  <c r="AW88" i="1"/>
  <c r="AO88" i="1"/>
  <c r="AG88" i="1"/>
  <c r="AW87" i="1"/>
  <c r="AO87" i="1"/>
  <c r="AG87" i="1"/>
  <c r="AW86" i="1"/>
  <c r="AO86" i="1"/>
  <c r="AG86" i="1"/>
  <c r="AW85" i="1"/>
  <c r="AO85" i="1"/>
  <c r="AG85" i="1"/>
  <c r="AW82" i="1"/>
  <c r="AO82" i="1"/>
  <c r="AG82" i="1"/>
  <c r="AW81" i="1"/>
  <c r="AO81" i="1"/>
  <c r="AG81" i="1"/>
  <c r="AW80" i="1"/>
  <c r="AO80" i="1"/>
  <c r="AG80" i="1"/>
  <c r="AW79" i="1"/>
  <c r="AO79" i="1"/>
  <c r="AG79" i="1"/>
  <c r="AW78" i="1"/>
  <c r="AO78" i="1"/>
  <c r="AG78" i="1"/>
  <c r="AW77" i="1"/>
  <c r="AO77" i="1"/>
  <c r="AG77" i="1"/>
  <c r="AW74" i="1"/>
  <c r="AO74" i="1"/>
  <c r="AG74" i="1"/>
  <c r="AW73" i="1"/>
  <c r="AO73" i="1"/>
  <c r="AG73" i="1"/>
  <c r="AW72" i="1"/>
  <c r="AO72" i="1"/>
  <c r="AG72" i="1"/>
  <c r="AW71" i="1"/>
  <c r="AO71" i="1"/>
  <c r="AG71" i="1"/>
  <c r="AW70" i="1"/>
  <c r="AO70" i="1"/>
  <c r="AG70" i="1"/>
  <c r="AW69" i="1"/>
  <c r="AO69" i="1"/>
  <c r="AG69" i="1"/>
  <c r="AW66" i="1"/>
  <c r="AO66" i="1"/>
  <c r="AG66" i="1"/>
  <c r="AW65" i="1"/>
  <c r="AO65" i="1"/>
  <c r="AG65" i="1"/>
  <c r="AW64" i="1"/>
  <c r="AO64" i="1"/>
  <c r="AG64" i="1"/>
  <c r="AW63" i="1"/>
  <c r="AO63" i="1"/>
  <c r="AG63" i="1"/>
  <c r="AW62" i="1"/>
  <c r="AO62" i="1"/>
  <c r="AG62" i="1"/>
  <c r="AD86" i="1"/>
  <c r="AL84" i="1"/>
  <c r="AT82" i="1"/>
  <c r="AL78" i="1"/>
  <c r="AL76" i="1"/>
  <c r="AD74" i="1"/>
  <c r="AL70" i="1"/>
  <c r="AD69" i="1"/>
  <c r="AL67" i="1"/>
  <c r="AS89" i="1"/>
  <c r="AC86" i="1"/>
  <c r="AC84" i="1"/>
  <c r="AK82" i="1"/>
  <c r="AK78" i="1"/>
  <c r="AS76" i="1"/>
  <c r="AK75" i="1"/>
  <c r="AC74" i="1"/>
  <c r="AC70" i="1"/>
  <c r="AS67" i="1"/>
  <c r="AV89" i="1"/>
  <c r="AN89" i="1"/>
  <c r="AF89" i="1"/>
  <c r="AV88" i="1"/>
  <c r="AN88" i="1"/>
  <c r="AF88" i="1"/>
  <c r="AV87" i="1"/>
  <c r="AN87" i="1"/>
  <c r="AF87" i="1"/>
  <c r="AV86" i="1"/>
  <c r="AN86" i="1"/>
  <c r="AF86" i="1"/>
  <c r="AV85" i="1"/>
  <c r="AN85" i="1"/>
  <c r="AF85" i="1"/>
  <c r="AV84" i="1"/>
  <c r="AN84" i="1"/>
  <c r="AF84" i="1"/>
  <c r="AV81" i="1"/>
  <c r="AN81" i="1"/>
  <c r="AF81" i="1"/>
  <c r="AV80" i="1"/>
  <c r="AN80" i="1"/>
  <c r="AF80" i="1"/>
  <c r="AV79" i="1"/>
  <c r="AN79" i="1"/>
  <c r="AF79" i="1"/>
  <c r="AV78" i="1"/>
  <c r="AN78" i="1"/>
  <c r="AF78" i="1"/>
  <c r="AV77" i="1"/>
  <c r="AN77" i="1"/>
  <c r="AF77" i="1"/>
  <c r="AV76" i="1"/>
  <c r="AN76" i="1"/>
  <c r="AF76" i="1"/>
  <c r="AV73" i="1"/>
  <c r="AN73" i="1"/>
  <c r="AF73" i="1"/>
  <c r="AV72" i="1"/>
  <c r="AN72" i="1"/>
  <c r="AF72" i="1"/>
  <c r="AV71" i="1"/>
  <c r="AN71" i="1"/>
  <c r="AF71" i="1"/>
  <c r="AV70" i="1"/>
  <c r="AN70" i="1"/>
  <c r="AF70" i="1"/>
  <c r="AV69" i="1"/>
  <c r="AN69" i="1"/>
  <c r="AF69" i="1"/>
  <c r="AV68" i="1"/>
  <c r="AN68" i="1"/>
  <c r="AF68" i="1"/>
  <c r="AV65" i="1"/>
  <c r="AN65" i="1"/>
  <c r="AF65" i="1"/>
  <c r="AV64" i="1"/>
  <c r="AN64" i="1"/>
  <c r="AF64" i="1"/>
  <c r="AV63" i="1"/>
  <c r="AN63" i="1"/>
  <c r="AF63" i="1"/>
  <c r="AV62" i="1"/>
  <c r="AN62" i="1"/>
  <c r="AF62" i="1"/>
  <c r="AT87" i="1"/>
  <c r="AL85" i="1"/>
  <c r="AT83" i="1"/>
  <c r="AD79" i="1"/>
  <c r="AD77" i="1"/>
  <c r="AD75" i="1"/>
  <c r="AL71" i="1"/>
  <c r="AL69" i="1"/>
  <c r="AT67" i="1"/>
  <c r="AK90" i="1"/>
  <c r="AC89" i="1"/>
  <c r="AS85" i="1"/>
  <c r="AS83" i="1"/>
  <c r="AS81" i="1"/>
  <c r="AS77" i="1"/>
  <c r="AK76" i="1"/>
  <c r="AK74" i="1"/>
  <c r="AC69" i="1"/>
  <c r="AC67" i="1"/>
  <c r="AK65" i="1"/>
  <c r="AU88" i="1"/>
  <c r="AM88" i="1"/>
  <c r="AE88" i="1"/>
  <c r="AU87" i="1"/>
  <c r="AM87" i="1"/>
  <c r="AE87" i="1"/>
  <c r="AU86" i="1"/>
  <c r="AM86" i="1"/>
  <c r="AE86" i="1"/>
  <c r="AU85" i="1"/>
  <c r="AM85" i="1"/>
  <c r="AE85" i="1"/>
  <c r="AU84" i="1"/>
  <c r="AM84" i="1"/>
  <c r="AE84" i="1"/>
  <c r="AU83" i="1"/>
  <c r="AM83" i="1"/>
  <c r="AE83" i="1"/>
  <c r="AU80" i="1"/>
  <c r="AM80" i="1"/>
  <c r="AE80" i="1"/>
  <c r="AU79" i="1"/>
  <c r="AM79" i="1"/>
  <c r="AE79" i="1"/>
  <c r="AU78" i="1"/>
  <c r="AM78" i="1"/>
  <c r="AE78" i="1"/>
  <c r="AU77" i="1"/>
  <c r="AM77" i="1"/>
  <c r="AE77" i="1"/>
  <c r="AU76" i="1"/>
  <c r="AM76" i="1"/>
  <c r="AE76" i="1"/>
  <c r="AU75" i="1"/>
  <c r="AM75" i="1"/>
  <c r="AE75" i="1"/>
  <c r="AU72" i="1"/>
  <c r="AM72" i="1"/>
  <c r="AE72" i="1"/>
  <c r="AU71" i="1"/>
  <c r="AM71" i="1"/>
  <c r="AE71" i="1"/>
  <c r="AU70" i="1"/>
  <c r="AM70" i="1"/>
  <c r="AE70" i="1"/>
  <c r="AU69" i="1"/>
  <c r="AM69" i="1"/>
  <c r="AE69" i="1"/>
  <c r="AU68" i="1"/>
  <c r="AM68" i="1"/>
  <c r="AE68" i="1"/>
  <c r="AU67" i="1"/>
  <c r="AM67" i="1"/>
  <c r="AE67" i="1"/>
  <c r="AU64" i="1"/>
  <c r="AM64" i="1"/>
  <c r="AE64" i="1"/>
  <c r="AU63" i="1"/>
  <c r="AM63" i="1"/>
  <c r="AE63" i="1"/>
  <c r="AU62" i="1"/>
  <c r="AM62" i="1"/>
  <c r="AE62" i="1"/>
  <c r="AB62" i="1"/>
  <c r="AB61" i="1"/>
  <c r="AJ54" i="1"/>
  <c r="AY38" i="1"/>
  <c r="AW60" i="1"/>
  <c r="AW58" i="1"/>
  <c r="AW52" i="1"/>
  <c r="AW44" i="1"/>
  <c r="AW36" i="1"/>
  <c r="AH61" i="1"/>
  <c r="AX33" i="1"/>
  <c r="AR60" i="1"/>
  <c r="AR44" i="1"/>
  <c r="AJ38" i="1"/>
  <c r="AY60" i="1"/>
  <c r="AY59" i="1"/>
  <c r="AY58" i="1"/>
  <c r="AY57" i="1"/>
  <c r="AY56" i="1"/>
  <c r="AY55" i="1"/>
  <c r="AY53" i="1"/>
  <c r="AY52" i="1"/>
  <c r="AY51" i="1"/>
  <c r="AY50" i="1"/>
  <c r="AY49" i="1"/>
  <c r="AY48" i="1"/>
  <c r="AY47" i="1"/>
  <c r="AY45" i="1"/>
  <c r="AY44" i="1"/>
  <c r="AY43" i="1"/>
  <c r="AY42" i="1"/>
  <c r="AY41" i="1"/>
  <c r="AY40" i="1"/>
  <c r="AY39" i="1"/>
  <c r="AY37" i="1"/>
  <c r="AY36" i="1"/>
  <c r="AY35" i="1"/>
  <c r="AY34" i="1"/>
  <c r="AY33" i="1"/>
  <c r="AY32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2" i="1"/>
  <c r="AW39" i="1"/>
  <c r="AW59" i="1"/>
  <c r="AW57" i="1"/>
  <c r="AW56" i="1"/>
  <c r="AW54" i="1"/>
  <c r="AW53" i="1"/>
  <c r="AW51" i="1"/>
  <c r="AW49" i="1"/>
  <c r="AW48" i="1"/>
  <c r="AW46" i="1"/>
  <c r="AW45" i="1"/>
  <c r="AW43" i="1"/>
  <c r="AW41" i="1"/>
  <c r="AW40" i="1"/>
  <c r="AW38" i="1"/>
  <c r="AW37" i="1"/>
  <c r="AW35" i="1"/>
  <c r="AW33" i="1"/>
  <c r="AW32" i="1"/>
  <c r="AW61" i="1"/>
  <c r="AJ60" i="1"/>
  <c r="AR58" i="1"/>
  <c r="AJ58" i="1"/>
  <c r="AR56" i="1"/>
  <c r="AJ56" i="1"/>
  <c r="AR54" i="1"/>
  <c r="AR52" i="1"/>
  <c r="AJ52" i="1"/>
  <c r="AR50" i="1"/>
  <c r="AJ50" i="1"/>
  <c r="AR48" i="1"/>
  <c r="AJ48" i="1"/>
  <c r="AR46" i="1"/>
  <c r="AJ46" i="1"/>
  <c r="AJ44" i="1"/>
  <c r="AR40" i="1"/>
  <c r="AJ40" i="1"/>
  <c r="AW50" i="1"/>
  <c r="AW42" i="1"/>
  <c r="AW34" i="1"/>
  <c r="AW55" i="1"/>
  <c r="AV60" i="1"/>
  <c r="AN60" i="1"/>
  <c r="AF60" i="1"/>
  <c r="AN57" i="1"/>
  <c r="AV59" i="1"/>
  <c r="AF57" i="1"/>
  <c r="AF54" i="1"/>
  <c r="AN48" i="1"/>
  <c r="AF44" i="1"/>
  <c r="AN40" i="1"/>
  <c r="AN32" i="1"/>
  <c r="AN59" i="1"/>
  <c r="AV56" i="1"/>
  <c r="AF45" i="1"/>
  <c r="AF39" i="1"/>
  <c r="AF55" i="1"/>
  <c r="AF33" i="1"/>
  <c r="AF49" i="1"/>
  <c r="AF43" i="1"/>
  <c r="AF37" i="1"/>
  <c r="AF53" i="1"/>
  <c r="AF47" i="1"/>
  <c r="AF41" i="1"/>
  <c r="AN50" i="1"/>
  <c r="AV46" i="1"/>
  <c r="AN42" i="1"/>
  <c r="AV38" i="1"/>
  <c r="AF36" i="1"/>
  <c r="AO60" i="1"/>
  <c r="AG60" i="1"/>
  <c r="AO59" i="1"/>
  <c r="AG59" i="1"/>
  <c r="AO58" i="1"/>
  <c r="AG58" i="1"/>
  <c r="AO57" i="1"/>
  <c r="AG57" i="1"/>
  <c r="AO56" i="1"/>
  <c r="AG56" i="1"/>
  <c r="AO55" i="1"/>
  <c r="AG55" i="1"/>
  <c r="AO54" i="1"/>
  <c r="AG54" i="1"/>
  <c r="AO53" i="1"/>
  <c r="AG53" i="1"/>
  <c r="AV58" i="1"/>
  <c r="AF56" i="1"/>
  <c r="AV54" i="1"/>
  <c r="AV41" i="1"/>
  <c r="AV35" i="1"/>
  <c r="AV51" i="1"/>
  <c r="AV45" i="1"/>
  <c r="AV39" i="1"/>
  <c r="AV33" i="1"/>
  <c r="AV49" i="1"/>
  <c r="AV43" i="1"/>
  <c r="AV37" i="1"/>
  <c r="AV53" i="1"/>
  <c r="AF50" i="1"/>
  <c r="AF46" i="1"/>
  <c r="AF42" i="1"/>
  <c r="AN38" i="1"/>
  <c r="AN36" i="1"/>
  <c r="AN34" i="1"/>
  <c r="AF34" i="1"/>
  <c r="AF51" i="1"/>
  <c r="AU60" i="1"/>
  <c r="AM60" i="1"/>
  <c r="AE60" i="1"/>
  <c r="AU59" i="1"/>
  <c r="AM59" i="1"/>
  <c r="AE59" i="1"/>
  <c r="AU58" i="1"/>
  <c r="AM58" i="1"/>
  <c r="AE58" i="1"/>
  <c r="AU57" i="1"/>
  <c r="AM57" i="1"/>
  <c r="AV47" i="1"/>
  <c r="AF58" i="1"/>
  <c r="AN35" i="1"/>
  <c r="AN51" i="1"/>
  <c r="AN45" i="1"/>
  <c r="AN39" i="1"/>
  <c r="AN55" i="1"/>
  <c r="AN33" i="1"/>
  <c r="AN49" i="1"/>
  <c r="AN43" i="1"/>
  <c r="AN37" i="1"/>
  <c r="AN53" i="1"/>
  <c r="AN47" i="1"/>
  <c r="AF52" i="1"/>
  <c r="AV44" i="1"/>
  <c r="AV36" i="1"/>
  <c r="AT60" i="1"/>
  <c r="AL60" i="1"/>
  <c r="AD60" i="1"/>
  <c r="AT59" i="1"/>
  <c r="AL59" i="1"/>
  <c r="AD59" i="1"/>
  <c r="AT58" i="1"/>
  <c r="AL58" i="1"/>
  <c r="AD58" i="1"/>
  <c r="AT57" i="1"/>
  <c r="AL57" i="1"/>
  <c r="AD57" i="1"/>
  <c r="AT56" i="1"/>
  <c r="AL56" i="1"/>
  <c r="AD56" i="1"/>
  <c r="AT55" i="1"/>
  <c r="AL55" i="1"/>
  <c r="AD55" i="1"/>
  <c r="AT54" i="1"/>
  <c r="AV57" i="1"/>
  <c r="AN54" i="1"/>
  <c r="AV50" i="1"/>
  <c r="AN46" i="1"/>
  <c r="AV40" i="1"/>
  <c r="AF32" i="1"/>
  <c r="AS60" i="1"/>
  <c r="AK60" i="1"/>
  <c r="AC60" i="1"/>
  <c r="AS59" i="1"/>
  <c r="AK59" i="1"/>
  <c r="AC59" i="1"/>
  <c r="AS58" i="1"/>
  <c r="AK58" i="1"/>
  <c r="AC58" i="1"/>
  <c r="AS57" i="1"/>
  <c r="AK57" i="1"/>
  <c r="AC57" i="1"/>
  <c r="AS56" i="1"/>
  <c r="AK56" i="1"/>
  <c r="AC56" i="1"/>
  <c r="AS55" i="1"/>
  <c r="AK55" i="1"/>
  <c r="AC55" i="1"/>
  <c r="AN41" i="1"/>
  <c r="AF59" i="1"/>
  <c r="AN56" i="1"/>
  <c r="AV52" i="1"/>
  <c r="AV48" i="1"/>
  <c r="AV42" i="1"/>
  <c r="AN58" i="1"/>
  <c r="AV55" i="1"/>
  <c r="AN52" i="1"/>
  <c r="AF48" i="1"/>
  <c r="AN44" i="1"/>
  <c r="AF40" i="1"/>
  <c r="AF38" i="1"/>
  <c r="AV34" i="1"/>
  <c r="AV32" i="1"/>
  <c r="AF35" i="1"/>
  <c r="AE57" i="1"/>
  <c r="AU56" i="1"/>
  <c r="AM56" i="1"/>
  <c r="AE56" i="1"/>
  <c r="AU55" i="1"/>
  <c r="AM55" i="1"/>
  <c r="AE55" i="1"/>
  <c r="AU54" i="1"/>
  <c r="AM54" i="1"/>
  <c r="AE54" i="1"/>
  <c r="AU53" i="1"/>
  <c r="AM53" i="1"/>
  <c r="AE53" i="1"/>
  <c r="AU52" i="1"/>
  <c r="AM52" i="1"/>
  <c r="AE52" i="1"/>
  <c r="AU51" i="1"/>
  <c r="AM51" i="1"/>
  <c r="AE51" i="1"/>
  <c r="AU50" i="1"/>
  <c r="AM50" i="1"/>
  <c r="AE50" i="1"/>
  <c r="AU49" i="1"/>
  <c r="AM49" i="1"/>
  <c r="AE49" i="1"/>
  <c r="AU48" i="1"/>
  <c r="AM48" i="1"/>
  <c r="AE48" i="1"/>
  <c r="AU47" i="1"/>
  <c r="AM47" i="1"/>
  <c r="AE47" i="1"/>
  <c r="AU46" i="1"/>
  <c r="AM46" i="1"/>
  <c r="AE46" i="1"/>
  <c r="AU45" i="1"/>
  <c r="AM45" i="1"/>
  <c r="AE45" i="1"/>
  <c r="AU44" i="1"/>
  <c r="AM44" i="1"/>
  <c r="AE44" i="1"/>
  <c r="AU43" i="1"/>
  <c r="AM43" i="1"/>
  <c r="AE43" i="1"/>
  <c r="AU42" i="1"/>
  <c r="AM42" i="1"/>
  <c r="AE42" i="1"/>
  <c r="AU41" i="1"/>
  <c r="AM41" i="1"/>
  <c r="AE41" i="1"/>
  <c r="AU40" i="1"/>
  <c r="AM40" i="1"/>
  <c r="AE40" i="1"/>
  <c r="AU39" i="1"/>
  <c r="AM39" i="1"/>
  <c r="AE39" i="1"/>
  <c r="AU38" i="1"/>
  <c r="AM38" i="1"/>
  <c r="AE38" i="1"/>
  <c r="AU37" i="1"/>
  <c r="AM37" i="1"/>
  <c r="AE37" i="1"/>
  <c r="AU36" i="1"/>
  <c r="AM36" i="1"/>
  <c r="AE36" i="1"/>
  <c r="AU35" i="1"/>
  <c r="AM35" i="1"/>
  <c r="AE35" i="1"/>
  <c r="AU34" i="1"/>
  <c r="AM34" i="1"/>
  <c r="AE34" i="1"/>
  <c r="AU33" i="1"/>
  <c r="AM33" i="1"/>
  <c r="AE33" i="1"/>
  <c r="AU32" i="1"/>
  <c r="AM32" i="1"/>
  <c r="AE32" i="1"/>
  <c r="AR34" i="1"/>
  <c r="AL54" i="1"/>
  <c r="AD54" i="1"/>
  <c r="AT53" i="1"/>
  <c r="AL53" i="1"/>
  <c r="AD53" i="1"/>
  <c r="AT52" i="1"/>
  <c r="AL52" i="1"/>
  <c r="AD52" i="1"/>
  <c r="AT51" i="1"/>
  <c r="AL51" i="1"/>
  <c r="AD51" i="1"/>
  <c r="AT50" i="1"/>
  <c r="AL50" i="1"/>
  <c r="AD50" i="1"/>
  <c r="AT49" i="1"/>
  <c r="AL49" i="1"/>
  <c r="AD49" i="1"/>
  <c r="AT48" i="1"/>
  <c r="AL48" i="1"/>
  <c r="AD48" i="1"/>
  <c r="AT47" i="1"/>
  <c r="AL47" i="1"/>
  <c r="AD47" i="1"/>
  <c r="AT46" i="1"/>
  <c r="AL46" i="1"/>
  <c r="AD46" i="1"/>
  <c r="AT45" i="1"/>
  <c r="AL45" i="1"/>
  <c r="AD45" i="1"/>
  <c r="AT44" i="1"/>
  <c r="AL44" i="1"/>
  <c r="AD44" i="1"/>
  <c r="AT43" i="1"/>
  <c r="AL43" i="1"/>
  <c r="AD43" i="1"/>
  <c r="AT42" i="1"/>
  <c r="AL42" i="1"/>
  <c r="AD42" i="1"/>
  <c r="AT41" i="1"/>
  <c r="AL41" i="1"/>
  <c r="AD41" i="1"/>
  <c r="AT40" i="1"/>
  <c r="AL40" i="1"/>
  <c r="AD40" i="1"/>
  <c r="AT39" i="1"/>
  <c r="AL39" i="1"/>
  <c r="AD39" i="1"/>
  <c r="AT38" i="1"/>
  <c r="AL38" i="1"/>
  <c r="AD38" i="1"/>
  <c r="AT37" i="1"/>
  <c r="AL37" i="1"/>
  <c r="AD37" i="1"/>
  <c r="AT36" i="1"/>
  <c r="AL36" i="1"/>
  <c r="AD36" i="1"/>
  <c r="AT35" i="1"/>
  <c r="AL35" i="1"/>
  <c r="AD35" i="1"/>
  <c r="AT34" i="1"/>
  <c r="AL34" i="1"/>
  <c r="AD34" i="1"/>
  <c r="AT33" i="1"/>
  <c r="AL33" i="1"/>
  <c r="AD33" i="1"/>
  <c r="AT32" i="1"/>
  <c r="AL32" i="1"/>
  <c r="AD32" i="1"/>
  <c r="AJ34" i="1"/>
  <c r="AS54" i="1"/>
  <c r="AK54" i="1"/>
  <c r="AC54" i="1"/>
  <c r="AS53" i="1"/>
  <c r="AK53" i="1"/>
  <c r="AC53" i="1"/>
  <c r="AS52" i="1"/>
  <c r="AK52" i="1"/>
  <c r="AC52" i="1"/>
  <c r="AS51" i="1"/>
  <c r="AK51" i="1"/>
  <c r="AC51" i="1"/>
  <c r="AS50" i="1"/>
  <c r="AK50" i="1"/>
  <c r="AC50" i="1"/>
  <c r="AS49" i="1"/>
  <c r="AK49" i="1"/>
  <c r="AC49" i="1"/>
  <c r="AS48" i="1"/>
  <c r="AK48" i="1"/>
  <c r="AC48" i="1"/>
  <c r="AS47" i="1"/>
  <c r="AK47" i="1"/>
  <c r="AC47" i="1"/>
  <c r="AS46" i="1"/>
  <c r="AK46" i="1"/>
  <c r="AC46" i="1"/>
  <c r="AS45" i="1"/>
  <c r="AK45" i="1"/>
  <c r="AC45" i="1"/>
  <c r="AS44" i="1"/>
  <c r="AK44" i="1"/>
  <c r="AC44" i="1"/>
  <c r="AS43" i="1"/>
  <c r="AK43" i="1"/>
  <c r="AC43" i="1"/>
  <c r="AS42" i="1"/>
  <c r="AK42" i="1"/>
  <c r="AC42" i="1"/>
  <c r="AS41" i="1"/>
  <c r="AK41" i="1"/>
  <c r="AC41" i="1"/>
  <c r="AS40" i="1"/>
  <c r="AK40" i="1"/>
  <c r="AC40" i="1"/>
  <c r="AS39" i="1"/>
  <c r="AK39" i="1"/>
  <c r="AC39" i="1"/>
  <c r="AS38" i="1"/>
  <c r="AK38" i="1"/>
  <c r="AC38" i="1"/>
  <c r="AS37" i="1"/>
  <c r="AK37" i="1"/>
  <c r="AC37" i="1"/>
  <c r="AS36" i="1"/>
  <c r="AK36" i="1"/>
  <c r="AC36" i="1"/>
  <c r="AS35" i="1"/>
  <c r="AK35" i="1"/>
  <c r="AC35" i="1"/>
  <c r="AS34" i="1"/>
  <c r="AK34" i="1"/>
  <c r="AC34" i="1"/>
  <c r="AS33" i="1"/>
  <c r="AK33" i="1"/>
  <c r="AC33" i="1"/>
  <c r="AS32" i="1"/>
  <c r="AK32" i="1"/>
  <c r="AC32" i="1"/>
  <c r="AB60" i="1"/>
  <c r="AR59" i="1"/>
  <c r="AJ59" i="1"/>
  <c r="AB59" i="1"/>
  <c r="AB58" i="1"/>
  <c r="AR57" i="1"/>
  <c r="AJ57" i="1"/>
  <c r="AB57" i="1"/>
  <c r="AB56" i="1"/>
  <c r="AR55" i="1"/>
  <c r="AJ55" i="1"/>
  <c r="AB38" i="1"/>
  <c r="AB54" i="1"/>
  <c r="AR53" i="1"/>
  <c r="AJ53" i="1"/>
  <c r="AB53" i="1"/>
  <c r="AB52" i="1"/>
  <c r="AR51" i="1"/>
  <c r="AJ51" i="1"/>
  <c r="AB51" i="1"/>
  <c r="AB50" i="1"/>
  <c r="AR49" i="1"/>
  <c r="AJ49" i="1"/>
  <c r="AB49" i="1"/>
  <c r="AB48" i="1"/>
  <c r="AR47" i="1"/>
  <c r="AJ47" i="1"/>
  <c r="AB47" i="1"/>
  <c r="AB46" i="1"/>
  <c r="AR45" i="1"/>
  <c r="AJ45" i="1"/>
  <c r="AB45" i="1"/>
  <c r="AB44" i="1"/>
  <c r="AR43" i="1"/>
  <c r="AJ43" i="1"/>
  <c r="AR41" i="1"/>
  <c r="AJ41" i="1"/>
  <c r="AR39" i="1"/>
  <c r="AJ39" i="1"/>
  <c r="AR37" i="1"/>
  <c r="AJ37" i="1"/>
  <c r="AR35" i="1"/>
  <c r="AJ35" i="1"/>
  <c r="AR33" i="1"/>
  <c r="AJ33" i="1"/>
  <c r="AR36" i="1"/>
  <c r="AQ60" i="1"/>
  <c r="AI60" i="1"/>
  <c r="AQ59" i="1"/>
  <c r="AI59" i="1"/>
  <c r="AQ58" i="1"/>
  <c r="AI58" i="1"/>
  <c r="AQ57" i="1"/>
  <c r="AI57" i="1"/>
  <c r="AQ56" i="1"/>
  <c r="AI56" i="1"/>
  <c r="AQ55" i="1"/>
  <c r="AI55" i="1"/>
  <c r="AQ54" i="1"/>
  <c r="AI54" i="1"/>
  <c r="AQ53" i="1"/>
  <c r="AI53" i="1"/>
  <c r="AQ52" i="1"/>
  <c r="AI52" i="1"/>
  <c r="AQ51" i="1"/>
  <c r="AI51" i="1"/>
  <c r="AQ50" i="1"/>
  <c r="AI50" i="1"/>
  <c r="AQ49" i="1"/>
  <c r="AI49" i="1"/>
  <c r="AQ48" i="1"/>
  <c r="AI48" i="1"/>
  <c r="AQ47" i="1"/>
  <c r="AI47" i="1"/>
  <c r="AQ46" i="1"/>
  <c r="AI46" i="1"/>
  <c r="AQ45" i="1"/>
  <c r="AI45" i="1"/>
  <c r="AQ44" i="1"/>
  <c r="AI44" i="1"/>
  <c r="AQ43" i="1"/>
  <c r="AI43" i="1"/>
  <c r="AQ42" i="1"/>
  <c r="AI42" i="1"/>
  <c r="AQ41" i="1"/>
  <c r="AI41" i="1"/>
  <c r="AQ40" i="1"/>
  <c r="AI40" i="1"/>
  <c r="AQ39" i="1"/>
  <c r="AI39" i="1"/>
  <c r="AQ38" i="1"/>
  <c r="AI38" i="1"/>
  <c r="AQ37" i="1"/>
  <c r="AI37" i="1"/>
  <c r="AQ36" i="1"/>
  <c r="AI36" i="1"/>
  <c r="AQ35" i="1"/>
  <c r="AI35" i="1"/>
  <c r="AQ34" i="1"/>
  <c r="AI34" i="1"/>
  <c r="AQ33" i="1"/>
  <c r="AI33" i="1"/>
  <c r="AQ32" i="1"/>
  <c r="AI32" i="1"/>
  <c r="AR42" i="1"/>
  <c r="AJ36" i="1"/>
  <c r="AP60" i="1"/>
  <c r="AH60" i="1"/>
  <c r="AP59" i="1"/>
  <c r="AH59" i="1"/>
  <c r="AP58" i="1"/>
  <c r="AH58" i="1"/>
  <c r="AP57" i="1"/>
  <c r="AH57" i="1"/>
  <c r="AP56" i="1"/>
  <c r="AH56" i="1"/>
  <c r="AP55" i="1"/>
  <c r="AH55" i="1"/>
  <c r="AP54" i="1"/>
  <c r="AH54" i="1"/>
  <c r="AP53" i="1"/>
  <c r="AH53" i="1"/>
  <c r="AP52" i="1"/>
  <c r="AH52" i="1"/>
  <c r="AP51" i="1"/>
  <c r="AH51" i="1"/>
  <c r="AP50" i="1"/>
  <c r="AH50" i="1"/>
  <c r="AP49" i="1"/>
  <c r="AH49" i="1"/>
  <c r="AP48" i="1"/>
  <c r="AH48" i="1"/>
  <c r="AP47" i="1"/>
  <c r="AH47" i="1"/>
  <c r="AP46" i="1"/>
  <c r="AH46" i="1"/>
  <c r="AP45" i="1"/>
  <c r="AH45" i="1"/>
  <c r="AP44" i="1"/>
  <c r="AH44" i="1"/>
  <c r="AP43" i="1"/>
  <c r="AH43" i="1"/>
  <c r="AP42" i="1"/>
  <c r="AH42" i="1"/>
  <c r="AP41" i="1"/>
  <c r="AH41" i="1"/>
  <c r="AP40" i="1"/>
  <c r="AH40" i="1"/>
  <c r="AP39" i="1"/>
  <c r="AH39" i="1"/>
  <c r="AP38" i="1"/>
  <c r="AH38" i="1"/>
  <c r="AP37" i="1"/>
  <c r="AH37" i="1"/>
  <c r="AP36" i="1"/>
  <c r="AH36" i="1"/>
  <c r="AP35" i="1"/>
  <c r="AH35" i="1"/>
  <c r="AP34" i="1"/>
  <c r="AH34" i="1"/>
  <c r="AP33" i="1"/>
  <c r="AH33" i="1"/>
  <c r="AP32" i="1"/>
  <c r="AH32" i="1"/>
  <c r="AJ42" i="1"/>
  <c r="AR32" i="1"/>
  <c r="AO52" i="1"/>
  <c r="AG52" i="1"/>
  <c r="AO51" i="1"/>
  <c r="AG51" i="1"/>
  <c r="AO50" i="1"/>
  <c r="AG50" i="1"/>
  <c r="AO49" i="1"/>
  <c r="AG49" i="1"/>
  <c r="AO48" i="1"/>
  <c r="AG48" i="1"/>
  <c r="AO47" i="1"/>
  <c r="AG47" i="1"/>
  <c r="AO46" i="1"/>
  <c r="AG46" i="1"/>
  <c r="AO45" i="1"/>
  <c r="AG45" i="1"/>
  <c r="AO44" i="1"/>
  <c r="AG44" i="1"/>
  <c r="AO43" i="1"/>
  <c r="AG43" i="1"/>
  <c r="AO42" i="1"/>
  <c r="AG42" i="1"/>
  <c r="AO41" i="1"/>
  <c r="AG41" i="1"/>
  <c r="AO40" i="1"/>
  <c r="AG40" i="1"/>
  <c r="AO39" i="1"/>
  <c r="AG39" i="1"/>
  <c r="AO38" i="1"/>
  <c r="AG38" i="1"/>
  <c r="AO37" i="1"/>
  <c r="AG37" i="1"/>
  <c r="AO36" i="1"/>
  <c r="AG36" i="1"/>
  <c r="AO35" i="1"/>
  <c r="AG35" i="1"/>
  <c r="AO34" i="1"/>
  <c r="AG34" i="1"/>
  <c r="AO33" i="1"/>
  <c r="AG33" i="1"/>
  <c r="AO32" i="1"/>
  <c r="AG32" i="1"/>
  <c r="AR38" i="1"/>
  <c r="AJ32" i="1"/>
  <c r="AB43" i="1"/>
  <c r="AB42" i="1"/>
  <c r="AB41" i="1"/>
  <c r="AB40" i="1"/>
  <c r="AB39" i="1"/>
  <c r="AB37" i="1"/>
  <c r="AB36" i="1"/>
  <c r="AB35" i="1"/>
  <c r="AB34" i="1"/>
  <c r="AB33" i="1"/>
  <c r="AB55" i="1"/>
  <c r="AB32" i="1"/>
  <c r="AD5" i="1"/>
  <c r="AL5" i="1"/>
  <c r="AS2" i="1"/>
  <c r="AV31" i="1"/>
  <c r="AK6" i="1"/>
  <c r="AC6" i="1"/>
  <c r="AB4" i="1"/>
  <c r="AH4" i="1"/>
  <c r="AR5" i="1"/>
  <c r="AF31" i="1"/>
  <c r="AU4" i="1"/>
  <c r="AN30" i="1"/>
  <c r="AQ6" i="1"/>
  <c r="AH6" i="1"/>
  <c r="AO6" i="1"/>
  <c r="AX3" i="1"/>
  <c r="AN31" i="1"/>
  <c r="AJ5" i="1"/>
  <c r="AM6" i="1"/>
  <c r="AE6" i="1"/>
  <c r="AI5" i="1"/>
  <c r="AT6" i="1"/>
  <c r="AJ31" i="1"/>
  <c r="AW6" i="1"/>
  <c r="AP3" i="1"/>
  <c r="AF30" i="1"/>
  <c r="AG5" i="1"/>
  <c r="AY31" i="1"/>
  <c r="AQ31" i="1"/>
  <c r="AQ29" i="1"/>
  <c r="AI24" i="1"/>
  <c r="AV30" i="1"/>
  <c r="AF29" i="1"/>
  <c r="AN27" i="1"/>
  <c r="AF27" i="1"/>
  <c r="AV26" i="1"/>
  <c r="AN26" i="1"/>
  <c r="AF26" i="1"/>
  <c r="AV25" i="1"/>
  <c r="AN25" i="1"/>
  <c r="AF25" i="1"/>
  <c r="AV24" i="1"/>
  <c r="AN24" i="1"/>
  <c r="AF24" i="1"/>
  <c r="AV23" i="1"/>
  <c r="AN23" i="1"/>
  <c r="AF23" i="1"/>
  <c r="AV22" i="1"/>
  <c r="AN22" i="1"/>
  <c r="AF22" i="1"/>
  <c r="AV21" i="1"/>
  <c r="AN21" i="1"/>
  <c r="AF21" i="1"/>
  <c r="AV20" i="1"/>
  <c r="AN20" i="1"/>
  <c r="AF20" i="1"/>
  <c r="AQ5" i="1"/>
  <c r="AR2" i="1"/>
  <c r="AM30" i="1"/>
  <c r="AF28" i="1"/>
  <c r="AE4" i="1"/>
  <c r="AO5" i="1"/>
  <c r="AU3" i="1"/>
  <c r="AP2" i="1"/>
  <c r="AK31" i="1"/>
  <c r="AS30" i="1"/>
  <c r="AC30" i="1"/>
  <c r="AK29" i="1"/>
  <c r="AS28" i="1"/>
  <c r="AC28" i="1"/>
  <c r="AK27" i="1"/>
  <c r="AS26" i="1"/>
  <c r="AC26" i="1"/>
  <c r="AK25" i="1"/>
  <c r="AS24" i="1"/>
  <c r="AC24" i="1"/>
  <c r="AK23" i="1"/>
  <c r="AS22" i="1"/>
  <c r="AC22" i="1"/>
  <c r="AK21" i="1"/>
  <c r="AS20" i="1"/>
  <c r="AC20" i="1"/>
  <c r="AK19" i="1"/>
  <c r="AS18" i="1"/>
  <c r="AC18" i="1"/>
  <c r="AK17" i="1"/>
  <c r="AS16" i="1"/>
  <c r="AC16" i="1"/>
  <c r="AS15" i="1"/>
  <c r="AC15" i="1"/>
  <c r="AS14" i="1"/>
  <c r="AK14" i="1"/>
  <c r="AS13" i="1"/>
  <c r="AK13" i="1"/>
  <c r="AC13" i="1"/>
  <c r="AS12" i="1"/>
  <c r="AK12" i="1"/>
  <c r="AC12" i="1"/>
  <c r="AS11" i="1"/>
  <c r="AK11" i="1"/>
  <c r="AC11" i="1"/>
  <c r="AS10" i="1"/>
  <c r="AK10" i="1"/>
  <c r="AC10" i="1"/>
  <c r="AS9" i="1"/>
  <c r="AL3" i="1"/>
  <c r="AL31" i="1"/>
  <c r="AN29" i="1"/>
  <c r="AM4" i="1"/>
  <c r="AI3" i="1"/>
  <c r="AI4" i="1"/>
  <c r="AM2" i="1"/>
  <c r="AE2" i="1"/>
  <c r="AW5" i="1"/>
  <c r="AR4" i="1"/>
  <c r="AX2" i="1"/>
  <c r="AS31" i="1"/>
  <c r="AC31" i="1"/>
  <c r="AK30" i="1"/>
  <c r="AS29" i="1"/>
  <c r="AC29" i="1"/>
  <c r="AK28" i="1"/>
  <c r="AS27" i="1"/>
  <c r="AC27" i="1"/>
  <c r="AK26" i="1"/>
  <c r="AS25" i="1"/>
  <c r="AC25" i="1"/>
  <c r="AK24" i="1"/>
  <c r="AS23" i="1"/>
  <c r="AC23" i="1"/>
  <c r="AK22" i="1"/>
  <c r="AS21" i="1"/>
  <c r="AC21" i="1"/>
  <c r="AK20" i="1"/>
  <c r="AS19" i="1"/>
  <c r="AC19" i="1"/>
  <c r="AK18" i="1"/>
  <c r="AS17" i="1"/>
  <c r="AC17" i="1"/>
  <c r="AK16" i="1"/>
  <c r="AK15" i="1"/>
  <c r="AC14" i="1"/>
  <c r="AW30" i="1"/>
  <c r="AR31" i="1"/>
  <c r="AV29" i="1"/>
  <c r="AV28" i="1"/>
  <c r="AG3" i="1"/>
  <c r="AC2" i="1"/>
  <c r="AX4" i="1"/>
  <c r="AY30" i="1"/>
  <c r="AI30" i="1"/>
  <c r="AI29" i="1"/>
  <c r="AY27" i="1"/>
  <c r="AI27" i="1"/>
  <c r="AY25" i="1"/>
  <c r="AI25" i="1"/>
  <c r="AY23" i="1"/>
  <c r="AQ22" i="1"/>
  <c r="AI22" i="1"/>
  <c r="AY20" i="1"/>
  <c r="AQ19" i="1"/>
  <c r="AI19" i="1"/>
  <c r="AY17" i="1"/>
  <c r="AQ16" i="1"/>
  <c r="AI16" i="1"/>
  <c r="AY14" i="1"/>
  <c r="AQ13" i="1"/>
  <c r="AQ12" i="1"/>
  <c r="AY11" i="1"/>
  <c r="AQ10" i="1"/>
  <c r="AI10" i="1"/>
  <c r="AY8" i="1"/>
  <c r="AQ7" i="1"/>
  <c r="AT31" i="1"/>
  <c r="AD3" i="1"/>
  <c r="AN28" i="1"/>
  <c r="AK4" i="1"/>
  <c r="AK2" i="1"/>
  <c r="AU5" i="1"/>
  <c r="AS3" i="1"/>
  <c r="AV2" i="1"/>
  <c r="AI31" i="1"/>
  <c r="AY29" i="1"/>
  <c r="AQ28" i="1"/>
  <c r="AI28" i="1"/>
  <c r="AY26" i="1"/>
  <c r="AI26" i="1"/>
  <c r="AY24" i="1"/>
  <c r="AQ23" i="1"/>
  <c r="AI23" i="1"/>
  <c r="AY21" i="1"/>
  <c r="AQ20" i="1"/>
  <c r="AI20" i="1"/>
  <c r="AY18" i="1"/>
  <c r="AI18" i="1"/>
  <c r="AY16" i="1"/>
  <c r="AQ15" i="1"/>
  <c r="AQ14" i="1"/>
  <c r="AI14" i="1"/>
  <c r="AI13" i="1"/>
  <c r="AI12" i="1"/>
  <c r="AQ11" i="1"/>
  <c r="AI11" i="1"/>
  <c r="AY9" i="1"/>
  <c r="AI9" i="1"/>
  <c r="AI8" i="1"/>
  <c r="AY6" i="1"/>
  <c r="AY7" i="1"/>
  <c r="AW4" i="1"/>
  <c r="AX31" i="1"/>
  <c r="AP31" i="1"/>
  <c r="AH31" i="1"/>
  <c r="AP30" i="1"/>
  <c r="AV27" i="1"/>
  <c r="AC4" i="1"/>
  <c r="AR6" i="1"/>
  <c r="AP4" i="1"/>
  <c r="AQ30" i="1"/>
  <c r="AY28" i="1"/>
  <c r="AQ27" i="1"/>
  <c r="AQ26" i="1"/>
  <c r="AQ25" i="1"/>
  <c r="AQ24" i="1"/>
  <c r="AY22" i="1"/>
  <c r="AQ21" i="1"/>
  <c r="AI21" i="1"/>
  <c r="AY19" i="1"/>
  <c r="AQ18" i="1"/>
  <c r="AQ17" i="1"/>
  <c r="AI17" i="1"/>
  <c r="AY15" i="1"/>
  <c r="AI15" i="1"/>
  <c r="AY13" i="1"/>
  <c r="AY12" i="1"/>
  <c r="AY10" i="1"/>
  <c r="AQ9" i="1"/>
  <c r="AQ8" i="1"/>
  <c r="AI7" i="1"/>
  <c r="AO4" i="1"/>
  <c r="AX30" i="1"/>
  <c r="AI6" i="1"/>
  <c r="AQ3" i="1"/>
  <c r="AW31" i="1"/>
  <c r="AO31" i="1"/>
  <c r="AG31" i="1"/>
  <c r="AO30" i="1"/>
  <c r="AG30" i="1"/>
  <c r="AW29" i="1"/>
  <c r="AO29" i="1"/>
  <c r="AG29" i="1"/>
  <c r="AW28" i="1"/>
  <c r="AO28" i="1"/>
  <c r="AG28" i="1"/>
  <c r="AW27" i="1"/>
  <c r="AO27" i="1"/>
  <c r="AG27" i="1"/>
  <c r="AW26" i="1"/>
  <c r="AO26" i="1"/>
  <c r="AG26" i="1"/>
  <c r="AW25" i="1"/>
  <c r="AO25" i="1"/>
  <c r="AG25" i="1"/>
  <c r="AW24" i="1"/>
  <c r="AO24" i="1"/>
  <c r="AG24" i="1"/>
  <c r="AW23" i="1"/>
  <c r="AO23" i="1"/>
  <c r="AG23" i="1"/>
  <c r="AW22" i="1"/>
  <c r="AO22" i="1"/>
  <c r="AG22" i="1"/>
  <c r="AW21" i="1"/>
  <c r="AO21" i="1"/>
  <c r="AG21" i="1"/>
  <c r="AW20" i="1"/>
  <c r="AO20" i="1"/>
  <c r="AG20" i="1"/>
  <c r="AW19" i="1"/>
  <c r="AO19" i="1"/>
  <c r="AG19" i="1"/>
  <c r="AW18" i="1"/>
  <c r="AO18" i="1"/>
  <c r="AG18" i="1"/>
  <c r="AW17" i="1"/>
  <c r="AO17" i="1"/>
  <c r="AG17" i="1"/>
  <c r="AW16" i="1"/>
  <c r="AO16" i="1"/>
  <c r="AG16" i="1"/>
  <c r="AW15" i="1"/>
  <c r="AO15" i="1"/>
  <c r="AG15" i="1"/>
  <c r="AW14" i="1"/>
  <c r="AO14" i="1"/>
  <c r="AG14" i="1"/>
  <c r="AW13" i="1"/>
  <c r="AO13" i="1"/>
  <c r="AG13" i="1"/>
  <c r="AW12" i="1"/>
  <c r="AO12" i="1"/>
  <c r="AG12" i="1"/>
  <c r="AW11" i="1"/>
  <c r="AO11" i="1"/>
  <c r="AG11" i="1"/>
  <c r="AW10" i="1"/>
  <c r="AO10" i="1"/>
  <c r="AG10" i="1"/>
  <c r="AW9" i="1"/>
  <c r="AO9" i="1"/>
  <c r="AG9" i="1"/>
  <c r="AW8" i="1"/>
  <c r="AO8" i="1"/>
  <c r="AG8" i="1"/>
  <c r="AW7" i="1"/>
  <c r="AO7" i="1"/>
  <c r="AG7" i="1"/>
  <c r="AV19" i="1"/>
  <c r="AF19" i="1"/>
  <c r="AN18" i="1"/>
  <c r="AV17" i="1"/>
  <c r="AF17" i="1"/>
  <c r="AN16" i="1"/>
  <c r="AV15" i="1"/>
  <c r="AF15" i="1"/>
  <c r="AN14" i="1"/>
  <c r="AV13" i="1"/>
  <c r="AF13" i="1"/>
  <c r="AF12" i="1"/>
  <c r="AB3" i="1"/>
  <c r="AG6" i="1"/>
  <c r="AK5" i="1"/>
  <c r="AC5" i="1"/>
  <c r="AG4" i="1"/>
  <c r="AK3" i="1"/>
  <c r="AG2" i="1"/>
  <c r="AV6" i="1"/>
  <c r="AY5" i="1"/>
  <c r="AT4" i="1"/>
  <c r="AW3" i="1"/>
  <c r="AO3" i="1"/>
  <c r="AU31" i="1"/>
  <c r="AM31" i="1"/>
  <c r="AE31" i="1"/>
  <c r="AU30" i="1"/>
  <c r="AE30" i="1"/>
  <c r="AU29" i="1"/>
  <c r="AM29" i="1"/>
  <c r="AE29" i="1"/>
  <c r="AU28" i="1"/>
  <c r="AM28" i="1"/>
  <c r="AE28" i="1"/>
  <c r="AU27" i="1"/>
  <c r="AM27" i="1"/>
  <c r="AE27" i="1"/>
  <c r="AN19" i="1"/>
  <c r="AV18" i="1"/>
  <c r="AF18" i="1"/>
  <c r="AN17" i="1"/>
  <c r="AV16" i="1"/>
  <c r="AF16" i="1"/>
  <c r="AN15" i="1"/>
  <c r="AV14" i="1"/>
  <c r="AF14" i="1"/>
  <c r="AN13" i="1"/>
  <c r="AV12" i="1"/>
  <c r="AN12" i="1"/>
  <c r="AN6" i="1"/>
  <c r="AF6" i="1"/>
  <c r="AN4" i="1"/>
  <c r="AF4" i="1"/>
  <c r="AJ3" i="1"/>
  <c r="AN2" i="1"/>
  <c r="AF2" i="1"/>
  <c r="AU6" i="1"/>
  <c r="AX5" i="1"/>
  <c r="AP5" i="1"/>
  <c r="AS4" i="1"/>
  <c r="AV3" i="1"/>
  <c r="AY2" i="1"/>
  <c r="AQ2" i="1"/>
  <c r="AD31" i="1"/>
  <c r="AT30" i="1"/>
  <c r="AL30" i="1"/>
  <c r="AD30" i="1"/>
  <c r="AT29" i="1"/>
  <c r="AL29" i="1"/>
  <c r="AD29" i="1"/>
  <c r="AT28" i="1"/>
  <c r="AL28" i="1"/>
  <c r="AD28" i="1"/>
  <c r="AT27" i="1"/>
  <c r="AL27" i="1"/>
  <c r="AD27" i="1"/>
  <c r="AK9" i="1"/>
  <c r="AS8" i="1"/>
  <c r="AC8" i="1"/>
  <c r="AK7" i="1"/>
  <c r="AC9" i="1"/>
  <c r="AK8" i="1"/>
  <c r="AS7" i="1"/>
  <c r="AC7" i="1"/>
  <c r="AL6" i="1"/>
  <c r="AD6" i="1"/>
  <c r="AH5" i="1"/>
  <c r="AL4" i="1"/>
  <c r="AD4" i="1"/>
  <c r="AH2" i="1"/>
  <c r="AH3" i="1"/>
  <c r="AL2" i="1"/>
  <c r="AD2" i="1"/>
  <c r="AS6" i="1"/>
  <c r="AV5" i="1"/>
  <c r="AY4" i="1"/>
  <c r="AQ4" i="1"/>
  <c r="AT3" i="1"/>
  <c r="AW2" i="1"/>
  <c r="AO2" i="1"/>
  <c r="AB31" i="1"/>
  <c r="AR30" i="1"/>
  <c r="AJ30" i="1"/>
  <c r="AB30" i="1"/>
  <c r="AR29" i="1"/>
  <c r="AJ29" i="1"/>
  <c r="AB29" i="1"/>
  <c r="AR28" i="1"/>
  <c r="AJ28" i="1"/>
  <c r="AB28" i="1"/>
  <c r="AR27" i="1"/>
  <c r="AJ27" i="1"/>
  <c r="AB27" i="1"/>
  <c r="AR26" i="1"/>
  <c r="AJ26" i="1"/>
  <c r="AB26" i="1"/>
  <c r="AR25" i="1"/>
  <c r="AJ25" i="1"/>
  <c r="AB25" i="1"/>
  <c r="AR24" i="1"/>
  <c r="AJ24" i="1"/>
  <c r="AB24" i="1"/>
  <c r="AR23" i="1"/>
  <c r="AY3" i="1"/>
  <c r="AJ23" i="1"/>
  <c r="AB23" i="1"/>
  <c r="AR22" i="1"/>
  <c r="AJ22" i="1"/>
  <c r="AB22" i="1"/>
  <c r="AR21" i="1"/>
  <c r="AJ21" i="1"/>
  <c r="AB21" i="1"/>
  <c r="AR20" i="1"/>
  <c r="AJ20" i="1"/>
  <c r="AB20" i="1"/>
  <c r="AR19" i="1"/>
  <c r="AJ19" i="1"/>
  <c r="AB19" i="1"/>
  <c r="AR18" i="1"/>
  <c r="AJ18" i="1"/>
  <c r="AB18" i="1"/>
  <c r="AR17" i="1"/>
  <c r="AJ17" i="1"/>
  <c r="AB17" i="1"/>
  <c r="AR16" i="1"/>
  <c r="AJ16" i="1"/>
  <c r="AB16" i="1"/>
  <c r="AR15" i="1"/>
  <c r="AJ15" i="1"/>
  <c r="AB15" i="1"/>
  <c r="AR14" i="1"/>
  <c r="AJ14" i="1"/>
  <c r="AB14" i="1"/>
  <c r="AR13" i="1"/>
  <c r="AJ13" i="1"/>
  <c r="AB13" i="1"/>
  <c r="AR12" i="1"/>
  <c r="AJ12" i="1"/>
  <c r="AB12" i="1"/>
  <c r="AR11" i="1"/>
  <c r="AJ11" i="1"/>
  <c r="AB11" i="1"/>
  <c r="AR10" i="1"/>
  <c r="AJ10" i="1"/>
  <c r="AB10" i="1"/>
  <c r="AR9" i="1"/>
  <c r="AJ9" i="1"/>
  <c r="AB9" i="1"/>
  <c r="AR8" i="1"/>
  <c r="AJ8" i="1"/>
  <c r="AB8" i="1"/>
  <c r="AR7" i="1"/>
  <c r="AJ7" i="1"/>
  <c r="AB7" i="1"/>
  <c r="AB6" i="1"/>
  <c r="AN5" i="1"/>
  <c r="AJ4" i="1"/>
  <c r="AF3" i="1"/>
  <c r="AT5" i="1"/>
  <c r="AU2" i="1"/>
  <c r="AH30" i="1"/>
  <c r="AP29" i="1"/>
  <c r="AX28" i="1"/>
  <c r="AH28" i="1"/>
  <c r="AP27" i="1"/>
  <c r="AX26" i="1"/>
  <c r="AH26" i="1"/>
  <c r="AP25" i="1"/>
  <c r="AX24" i="1"/>
  <c r="AH24" i="1"/>
  <c r="AP23" i="1"/>
  <c r="AX22" i="1"/>
  <c r="AH22" i="1"/>
  <c r="AP21" i="1"/>
  <c r="AX20" i="1"/>
  <c r="AH20" i="1"/>
  <c r="AP19" i="1"/>
  <c r="AX18" i="1"/>
  <c r="AH18" i="1"/>
  <c r="AP17" i="1"/>
  <c r="AX16" i="1"/>
  <c r="AH16" i="1"/>
  <c r="AX15" i="1"/>
  <c r="AP15" i="1"/>
  <c r="AX14" i="1"/>
  <c r="AP14" i="1"/>
  <c r="AH14" i="1"/>
  <c r="AX13" i="1"/>
  <c r="AP13" i="1"/>
  <c r="AH13" i="1"/>
  <c r="AX12" i="1"/>
  <c r="AP12" i="1"/>
  <c r="AH12" i="1"/>
  <c r="AX11" i="1"/>
  <c r="AP11" i="1"/>
  <c r="AH11" i="1"/>
  <c r="AX10" i="1"/>
  <c r="AP10" i="1"/>
  <c r="AH10" i="1"/>
  <c r="AX9" i="1"/>
  <c r="AP9" i="1"/>
  <c r="AH9" i="1"/>
  <c r="AX8" i="1"/>
  <c r="AP8" i="1"/>
  <c r="AH8" i="1"/>
  <c r="AX7" i="1"/>
  <c r="AP7" i="1"/>
  <c r="AH7" i="1"/>
  <c r="AJ6" i="1"/>
  <c r="AF5" i="1"/>
  <c r="AN3" i="1"/>
  <c r="AJ2" i="1"/>
  <c r="AR3" i="1"/>
  <c r="AX29" i="1"/>
  <c r="AH29" i="1"/>
  <c r="AP28" i="1"/>
  <c r="AX27" i="1"/>
  <c r="AH27" i="1"/>
  <c r="AP26" i="1"/>
  <c r="AX25" i="1"/>
  <c r="AH25" i="1"/>
  <c r="AP24" i="1"/>
  <c r="AX23" i="1"/>
  <c r="AH23" i="1"/>
  <c r="AP22" i="1"/>
  <c r="AX21" i="1"/>
  <c r="AH21" i="1"/>
  <c r="AP20" i="1"/>
  <c r="AX19" i="1"/>
  <c r="AH19" i="1"/>
  <c r="AP18" i="1"/>
  <c r="AX17" i="1"/>
  <c r="AH17" i="1"/>
  <c r="AP16" i="1"/>
  <c r="AH15" i="1"/>
  <c r="AB5" i="1"/>
  <c r="AM5" i="1"/>
  <c r="AE5" i="1"/>
  <c r="AM3" i="1"/>
  <c r="AE3" i="1"/>
  <c r="AI2" i="1"/>
  <c r="AX6" i="1"/>
  <c r="AP6" i="1"/>
  <c r="AS5" i="1"/>
  <c r="AV4" i="1"/>
  <c r="AT2" i="1"/>
  <c r="AV11" i="1"/>
  <c r="AN11" i="1"/>
  <c r="AF11" i="1"/>
  <c r="AV10" i="1"/>
  <c r="AN10" i="1"/>
  <c r="AF10" i="1"/>
  <c r="AV9" i="1"/>
  <c r="AN9" i="1"/>
  <c r="AF9" i="1"/>
  <c r="AV8" i="1"/>
  <c r="AN8" i="1"/>
  <c r="AF8" i="1"/>
  <c r="AV7" i="1"/>
  <c r="AN7" i="1"/>
  <c r="AF7" i="1"/>
  <c r="AU26" i="1"/>
  <c r="AM26" i="1"/>
  <c r="AE26" i="1"/>
  <c r="AU25" i="1"/>
  <c r="AM25" i="1"/>
  <c r="AE25" i="1"/>
  <c r="AU24" i="1"/>
  <c r="AM24" i="1"/>
  <c r="AE24" i="1"/>
  <c r="AU23" i="1"/>
  <c r="AM23" i="1"/>
  <c r="AE23" i="1"/>
  <c r="AU22" i="1"/>
  <c r="AM22" i="1"/>
  <c r="AE22" i="1"/>
  <c r="AU21" i="1"/>
  <c r="AM21" i="1"/>
  <c r="AE21" i="1"/>
  <c r="AU20" i="1"/>
  <c r="AM20" i="1"/>
  <c r="AE20" i="1"/>
  <c r="AU19" i="1"/>
  <c r="AM19" i="1"/>
  <c r="AE19" i="1"/>
  <c r="AU18" i="1"/>
  <c r="AM18" i="1"/>
  <c r="AE18" i="1"/>
  <c r="AU17" i="1"/>
  <c r="AM17" i="1"/>
  <c r="AE17" i="1"/>
  <c r="AU16" i="1"/>
  <c r="AM16" i="1"/>
  <c r="AE16" i="1"/>
  <c r="AU15" i="1"/>
  <c r="AM15" i="1"/>
  <c r="AE15" i="1"/>
  <c r="AU14" i="1"/>
  <c r="AM14" i="1"/>
  <c r="AE14" i="1"/>
  <c r="AU13" i="1"/>
  <c r="AM13" i="1"/>
  <c r="AE13" i="1"/>
  <c r="AU12" i="1"/>
  <c r="AM12" i="1"/>
  <c r="AE12" i="1"/>
  <c r="AU11" i="1"/>
  <c r="AM11" i="1"/>
  <c r="AE11" i="1"/>
  <c r="AU10" i="1"/>
  <c r="AM10" i="1"/>
  <c r="AE10" i="1"/>
  <c r="AU9" i="1"/>
  <c r="AM9" i="1"/>
  <c r="AE9" i="1"/>
  <c r="AU8" i="1"/>
  <c r="AM8" i="1"/>
  <c r="AE8" i="1"/>
  <c r="AU7" i="1"/>
  <c r="AM7" i="1"/>
  <c r="AE7" i="1"/>
  <c r="AT26" i="1"/>
  <c r="AL26" i="1"/>
  <c r="AD26" i="1"/>
  <c r="AT25" i="1"/>
  <c r="AL25" i="1"/>
  <c r="AD25" i="1"/>
  <c r="AT24" i="1"/>
  <c r="AL24" i="1"/>
  <c r="AD24" i="1"/>
  <c r="AT23" i="1"/>
  <c r="AL23" i="1"/>
  <c r="AD23" i="1"/>
  <c r="AT22" i="1"/>
  <c r="AL22" i="1"/>
  <c r="AD22" i="1"/>
  <c r="AT21" i="1"/>
  <c r="AL21" i="1"/>
  <c r="AD21" i="1"/>
  <c r="AT20" i="1"/>
  <c r="AL20" i="1"/>
  <c r="AD20" i="1"/>
  <c r="AT19" i="1"/>
  <c r="AL19" i="1"/>
  <c r="AD19" i="1"/>
  <c r="AT18" i="1"/>
  <c r="AL18" i="1"/>
  <c r="AD18" i="1"/>
  <c r="AT17" i="1"/>
  <c r="AL17" i="1"/>
  <c r="AD17" i="1"/>
  <c r="AT16" i="1"/>
  <c r="AL16" i="1"/>
  <c r="AD16" i="1"/>
  <c r="AT15" i="1"/>
  <c r="AL15" i="1"/>
  <c r="AD15" i="1"/>
  <c r="AT14" i="1"/>
  <c r="AL14" i="1"/>
  <c r="AD14" i="1"/>
  <c r="AT13" i="1"/>
  <c r="AL13" i="1"/>
  <c r="AD13" i="1"/>
  <c r="AT12" i="1"/>
  <c r="AL12" i="1"/>
  <c r="AD12" i="1"/>
  <c r="AT11" i="1"/>
  <c r="AL11" i="1"/>
  <c r="AD11" i="1"/>
  <c r="AT10" i="1"/>
  <c r="AL10" i="1"/>
  <c r="AD10" i="1"/>
  <c r="AT9" i="1"/>
  <c r="AL9" i="1"/>
  <c r="AD9" i="1"/>
  <c r="AT8" i="1"/>
  <c r="AL8" i="1"/>
  <c r="AD8" i="1"/>
  <c r="AT7" i="1"/>
  <c r="AL7" i="1"/>
  <c r="AD7" i="1"/>
  <c r="Y122" i="3" l="1"/>
  <c r="AE123" i="3"/>
  <c r="AJ122" i="3"/>
  <c r="AH123" i="3"/>
  <c r="AA123" i="3"/>
  <c r="AS122" i="3"/>
  <c r="AT122" i="3"/>
  <c r="AD123" i="3"/>
  <c r="AM122" i="3"/>
  <c r="AG122" i="3"/>
  <c r="BF131" i="3" s="1"/>
  <c r="AI122" i="3"/>
  <c r="AV123" i="3"/>
  <c r="AO122" i="3"/>
  <c r="AR123" i="3"/>
  <c r="AS123" i="3"/>
  <c r="AD122" i="3"/>
  <c r="AI123" i="3"/>
  <c r="AP123" i="3"/>
  <c r="Z122" i="3"/>
  <c r="AK122" i="3"/>
  <c r="AB122" i="3"/>
  <c r="AF123" i="3"/>
  <c r="AC122" i="3"/>
  <c r="AO123" i="3"/>
  <c r="AH122" i="3"/>
  <c r="AU122" i="3"/>
  <c r="AB123" i="3"/>
  <c r="AP122" i="3"/>
  <c r="AT123" i="3"/>
  <c r="AJ123" i="3"/>
  <c r="AM123" i="3"/>
  <c r="AV122" i="3"/>
  <c r="AK123" i="3"/>
  <c r="AG123" i="3"/>
  <c r="AA122" i="3"/>
  <c r="AQ122" i="3"/>
  <c r="Z123" i="3"/>
  <c r="AF122" i="3"/>
  <c r="BE139" i="3" s="1"/>
  <c r="AR122" i="3"/>
  <c r="AL122" i="3"/>
  <c r="Y123" i="3"/>
  <c r="AC123" i="3"/>
  <c r="AN122" i="3"/>
  <c r="AE122" i="3"/>
  <c r="Z93" i="3"/>
  <c r="AN123" i="3"/>
  <c r="AU123" i="3"/>
  <c r="Y93" i="3"/>
  <c r="AK93" i="3"/>
  <c r="AG92" i="3"/>
  <c r="AN92" i="3"/>
  <c r="AO93" i="3"/>
  <c r="AJ92" i="3"/>
  <c r="AP93" i="3"/>
  <c r="Z92" i="3"/>
  <c r="AI92" i="3"/>
  <c r="AC93" i="3"/>
  <c r="AA92" i="3"/>
  <c r="AR93" i="3"/>
  <c r="AV92" i="3"/>
  <c r="AT92" i="3"/>
  <c r="AS92" i="3"/>
  <c r="AQ92" i="3"/>
  <c r="AF93" i="3"/>
  <c r="AE92" i="3"/>
  <c r="AP92" i="3"/>
  <c r="BO101" i="3" s="1"/>
  <c r="AD92" i="3"/>
  <c r="AQ123" i="3"/>
  <c r="AN93" i="3"/>
  <c r="AM92" i="3"/>
  <c r="AL92" i="3"/>
  <c r="AQ93" i="3"/>
  <c r="AL123" i="3"/>
  <c r="AU93" i="3"/>
  <c r="AB92" i="3"/>
  <c r="AB93" i="3"/>
  <c r="BA121" i="3" s="1"/>
  <c r="AV93" i="3"/>
  <c r="AE93" i="3"/>
  <c r="AO92" i="3"/>
  <c r="AJ93" i="3"/>
  <c r="AR92" i="3"/>
  <c r="BQ109" i="3" s="1"/>
  <c r="AM93" i="3"/>
  <c r="AH92" i="3"/>
  <c r="AF92" i="3"/>
  <c r="AA93" i="3"/>
  <c r="AS93" i="3"/>
  <c r="AD93" i="3"/>
  <c r="AI93" i="3"/>
  <c r="AT93" i="3"/>
  <c r="AK92" i="3"/>
  <c r="AP62" i="3"/>
  <c r="AG93" i="3"/>
  <c r="BF110" i="3" s="1"/>
  <c r="AL93" i="3"/>
  <c r="AU92" i="3"/>
  <c r="AC92" i="3"/>
  <c r="Y63" i="3"/>
  <c r="AE62" i="3"/>
  <c r="AD62" i="3"/>
  <c r="Z63" i="3"/>
  <c r="AS63" i="3"/>
  <c r="AH63" i="3"/>
  <c r="AQ62" i="3"/>
  <c r="AA62" i="3"/>
  <c r="AL63" i="3"/>
  <c r="AG63" i="3"/>
  <c r="AC62" i="3"/>
  <c r="AV63" i="3"/>
  <c r="AO63" i="3"/>
  <c r="AJ62" i="3"/>
  <c r="AM63" i="3"/>
  <c r="AR63" i="3"/>
  <c r="AK63" i="3"/>
  <c r="AB62" i="3"/>
  <c r="AT63" i="3"/>
  <c r="AF63" i="3"/>
  <c r="AI63" i="3"/>
  <c r="AV32" i="3"/>
  <c r="Y92" i="3"/>
  <c r="AN63" i="3"/>
  <c r="AQ63" i="3"/>
  <c r="Z62" i="3"/>
  <c r="AV62" i="3"/>
  <c r="AP63" i="3"/>
  <c r="BO62" i="3" s="1"/>
  <c r="AH93" i="3"/>
  <c r="AG62" i="3"/>
  <c r="AM62" i="3"/>
  <c r="AH62" i="3"/>
  <c r="AS62" i="3"/>
  <c r="AH32" i="3"/>
  <c r="AF33" i="3"/>
  <c r="AB32" i="3"/>
  <c r="AO33" i="3"/>
  <c r="AG32" i="3"/>
  <c r="AT33" i="3"/>
  <c r="AF62" i="3"/>
  <c r="AT62" i="3"/>
  <c r="AD63" i="3"/>
  <c r="AR62" i="3"/>
  <c r="AK62" i="3"/>
  <c r="AO62" i="3"/>
  <c r="BN77" i="3" s="1"/>
  <c r="AU63" i="3"/>
  <c r="AA63" i="3"/>
  <c r="AB63" i="3"/>
  <c r="AI62" i="3"/>
  <c r="AJ63" i="3"/>
  <c r="AE63" i="3"/>
  <c r="AD2" i="3"/>
  <c r="AN62" i="3"/>
  <c r="Y33" i="3"/>
  <c r="AE33" i="3"/>
  <c r="AN33" i="3"/>
  <c r="AJ33" i="3"/>
  <c r="AM32" i="3"/>
  <c r="AG33" i="3"/>
  <c r="AB33" i="3"/>
  <c r="AD33" i="3"/>
  <c r="AH33" i="3"/>
  <c r="AI32" i="3"/>
  <c r="AC32" i="3"/>
  <c r="AV33" i="3"/>
  <c r="AQ32" i="3"/>
  <c r="AK33" i="3"/>
  <c r="AF32" i="3"/>
  <c r="AA33" i="3"/>
  <c r="AS33" i="3"/>
  <c r="AO32" i="3"/>
  <c r="AP33" i="3"/>
  <c r="AT32" i="3"/>
  <c r="AS32" i="3"/>
  <c r="Y62" i="3"/>
  <c r="AC63" i="3"/>
  <c r="AJ32" i="3"/>
  <c r="AQ33" i="3"/>
  <c r="AA32" i="3"/>
  <c r="AP32" i="3"/>
  <c r="Z32" i="3"/>
  <c r="AI33" i="3"/>
  <c r="AR32" i="3"/>
  <c r="AU62" i="3"/>
  <c r="AD32" i="3"/>
  <c r="AL33" i="3"/>
  <c r="AU33" i="3"/>
  <c r="AK32" i="3"/>
  <c r="AC33" i="3"/>
  <c r="AL62" i="3"/>
  <c r="AM33" i="3"/>
  <c r="AE32" i="3"/>
  <c r="Y32" i="3"/>
  <c r="AN32" i="3"/>
  <c r="AR33" i="3"/>
  <c r="AR2" i="3"/>
  <c r="Z33" i="3"/>
  <c r="AL32" i="3"/>
  <c r="AU32" i="3"/>
  <c r="Y2" i="3"/>
  <c r="AE3" i="3"/>
  <c r="AN3" i="3"/>
  <c r="AA2" i="3"/>
  <c r="Z3" i="3"/>
  <c r="AP2" i="3"/>
  <c r="AT2" i="3"/>
  <c r="AL2" i="3"/>
  <c r="AU2" i="3"/>
  <c r="AM2" i="3"/>
  <c r="AQ2" i="3"/>
  <c r="AI2" i="3"/>
  <c r="AO2" i="3"/>
  <c r="AH2" i="3"/>
  <c r="AC2" i="3"/>
  <c r="AS3" i="3"/>
  <c r="AV3" i="3"/>
  <c r="AF2" i="3"/>
  <c r="AG2" i="3"/>
  <c r="AJ2" i="3"/>
  <c r="AH3" i="3"/>
  <c r="AQ3" i="3"/>
  <c r="AC3" i="3"/>
  <c r="AR3" i="3"/>
  <c r="AP3" i="3"/>
  <c r="AK3" i="3"/>
  <c r="AD3" i="3"/>
  <c r="AJ3" i="3"/>
  <c r="AK2" i="3"/>
  <c r="AU3" i="3"/>
  <c r="AM3" i="3"/>
  <c r="Z2" i="3"/>
  <c r="AV2" i="3"/>
  <c r="BU28" i="3" s="1"/>
  <c r="AL3" i="3"/>
  <c r="AG3" i="3"/>
  <c r="BF15" i="3" s="1"/>
  <c r="AA3" i="3"/>
  <c r="AZ3" i="3" s="1"/>
  <c r="AB3" i="3"/>
  <c r="AB2" i="3"/>
  <c r="AI3" i="3"/>
  <c r="AT3" i="3"/>
  <c r="AF3" i="3"/>
  <c r="AO3" i="3"/>
  <c r="AS2" i="3"/>
  <c r="AN2" i="3"/>
  <c r="Y3" i="3"/>
  <c r="AE2" i="3"/>
  <c r="BH100" i="3"/>
  <c r="BH110" i="3"/>
  <c r="BH116" i="3"/>
  <c r="BH108" i="3"/>
  <c r="BA2" i="1"/>
  <c r="BT8" i="1"/>
  <c r="BL11" i="1"/>
  <c r="BV17" i="1"/>
  <c r="BF23" i="1"/>
  <c r="BN28" i="1"/>
  <c r="BF7" i="1"/>
  <c r="BP7" i="1"/>
  <c r="BH10" i="1"/>
  <c r="BW3" i="1"/>
  <c r="BM2" i="1"/>
  <c r="BA7" i="1"/>
  <c r="BQ4" i="1"/>
  <c r="BU7" i="1"/>
  <c r="BE13" i="1"/>
  <c r="BO3" i="1"/>
  <c r="BG21" i="1"/>
  <c r="BE32" i="1"/>
  <c r="BG32" i="1"/>
  <c r="BB14" i="1"/>
  <c r="BI4" i="1"/>
  <c r="BM32" i="1"/>
  <c r="BM36" i="1"/>
  <c r="BN34" i="1"/>
  <c r="BN38" i="1"/>
  <c r="BO32" i="1"/>
  <c r="BO36" i="1"/>
  <c r="BO40" i="1"/>
  <c r="BH39" i="1"/>
  <c r="BH45" i="1"/>
  <c r="BH49" i="1"/>
  <c r="BI32" i="1"/>
  <c r="BA35" i="1"/>
  <c r="BZ35" i="1" s="1"/>
  <c r="BR8" i="1"/>
  <c r="BD9" i="1"/>
  <c r="BJ11" i="1"/>
  <c r="BC10" i="1"/>
  <c r="BS12" i="1"/>
  <c r="BK7" i="1"/>
  <c r="BQ37" i="1"/>
  <c r="BB33" i="1"/>
  <c r="CA33" i="1" s="1"/>
  <c r="BR35" i="1"/>
  <c r="BJ38" i="1"/>
  <c r="BC34" i="1"/>
  <c r="CB34" i="1" s="1"/>
  <c r="BS36" i="1"/>
  <c r="BK39" i="1"/>
  <c r="BT34" i="1"/>
  <c r="BD32" i="1"/>
  <c r="CC32" i="1" s="1"/>
  <c r="BL49" i="1"/>
  <c r="BU50" i="1"/>
  <c r="BP58" i="1"/>
  <c r="BV35" i="1"/>
  <c r="BV43" i="1"/>
  <c r="BV51" i="1"/>
  <c r="BW39" i="1"/>
  <c r="BF61" i="1"/>
  <c r="BC64" i="1"/>
  <c r="CB64" i="1" s="1"/>
  <c r="BS68" i="1"/>
  <c r="BK71" i="1"/>
  <c r="BQ83" i="1"/>
  <c r="BB77" i="1"/>
  <c r="CA77" i="1" s="1"/>
  <c r="BD63" i="1"/>
  <c r="CC63" i="1" s="1"/>
  <c r="BT65" i="1"/>
  <c r="BL70" i="1"/>
  <c r="BA70" i="1"/>
  <c r="BZ70" i="1" s="1"/>
  <c r="BJ84" i="1"/>
  <c r="BE64" i="1"/>
  <c r="BU66" i="1"/>
  <c r="BM71" i="1"/>
  <c r="BI66" i="1"/>
  <c r="BV63" i="1"/>
  <c r="BN66" i="1"/>
  <c r="BF71" i="1"/>
  <c r="BR77" i="1"/>
  <c r="BW63" i="1"/>
  <c r="BO66" i="1"/>
  <c r="BG71" i="1"/>
  <c r="BG81" i="1"/>
  <c r="BH66" i="1"/>
  <c r="BP75" i="1"/>
  <c r="BP93" i="1"/>
  <c r="BH96" i="1"/>
  <c r="BQ95" i="1"/>
  <c r="BI98" i="1"/>
  <c r="BJ93" i="1"/>
  <c r="BB97" i="1"/>
  <c r="CA97" i="1" s="1"/>
  <c r="BR99" i="1"/>
  <c r="BC93" i="1"/>
  <c r="CB93" i="1" s="1"/>
  <c r="BK99" i="1"/>
  <c r="BS105" i="1"/>
  <c r="BL94" i="1"/>
  <c r="BD98" i="1"/>
  <c r="CC98" i="1" s="1"/>
  <c r="BT100" i="1"/>
  <c r="BM93" i="1"/>
  <c r="BE96" i="1"/>
  <c r="BU99" i="1"/>
  <c r="BF94" i="1"/>
  <c r="BV96" i="1"/>
  <c r="BN100" i="1"/>
  <c r="BO112" i="1"/>
  <c r="BW113" i="1"/>
  <c r="BG110" i="1"/>
  <c r="BP126" i="1"/>
  <c r="BA123" i="1"/>
  <c r="BZ123" i="1" s="1"/>
  <c r="BQ127" i="1"/>
  <c r="BI130" i="1"/>
  <c r="BR123" i="1"/>
  <c r="BJ128" i="1"/>
  <c r="BB131" i="1"/>
  <c r="CA131" i="1" s="1"/>
  <c r="BK123" i="1"/>
  <c r="BC126" i="1"/>
  <c r="CB126" i="1" s="1"/>
  <c r="BS130" i="1"/>
  <c r="BN124" i="1"/>
  <c r="BF127" i="1"/>
  <c r="BV129" i="1"/>
  <c r="BG127" i="1"/>
  <c r="BW129" i="1"/>
  <c r="BL135" i="1"/>
  <c r="BU133" i="1"/>
  <c r="BT125" i="1"/>
  <c r="BD139" i="1"/>
  <c r="CC139" i="1" s="1"/>
  <c r="BE137" i="1"/>
  <c r="BM140" i="1"/>
  <c r="BH141" i="1"/>
  <c r="BB22" i="1"/>
  <c r="BS20" i="1"/>
  <c r="BF20" i="1"/>
  <c r="BP15" i="1"/>
  <c r="BC30" i="1"/>
  <c r="BL16" i="1"/>
  <c r="BJ19" i="1"/>
  <c r="BC18" i="1"/>
  <c r="BC3" i="1"/>
  <c r="BN12" i="1"/>
  <c r="BH18" i="1"/>
  <c r="BR29" i="1"/>
  <c r="BK27" i="1"/>
  <c r="BR16" i="1"/>
  <c r="BK15" i="1"/>
  <c r="BN25" i="1"/>
  <c r="BB27" i="1"/>
  <c r="BL15" i="1"/>
  <c r="BE6" i="1"/>
  <c r="BM10" i="1"/>
  <c r="BR24" i="1"/>
  <c r="BC26" i="1"/>
  <c r="BP28" i="1"/>
  <c r="BB9" i="1"/>
  <c r="BV9" i="1"/>
  <c r="BW5" i="1"/>
  <c r="BK23" i="1"/>
  <c r="BS2" i="1"/>
  <c r="BL4" i="1"/>
  <c r="BN15" i="1"/>
  <c r="BJ2" i="1"/>
  <c r="BJ14" i="1"/>
  <c r="BS7" i="1"/>
  <c r="BN7" i="1"/>
  <c r="BR5" i="1"/>
  <c r="BH21" i="1"/>
  <c r="BJ27" i="1"/>
  <c r="BS30" i="1"/>
  <c r="BU10" i="1"/>
  <c r="BM21" i="1"/>
  <c r="BO21" i="1"/>
  <c r="BG20" i="1"/>
  <c r="BW27" i="1"/>
  <c r="BQ9" i="1"/>
  <c r="BO5" i="1"/>
  <c r="BL31" i="1"/>
  <c r="BM40" i="1"/>
  <c r="BN42" i="1"/>
  <c r="BO60" i="1"/>
  <c r="BI48" i="1"/>
  <c r="BB41" i="1"/>
  <c r="CA41" i="1" s="1"/>
  <c r="BC50" i="1"/>
  <c r="CB50" i="1" s="1"/>
  <c r="BI58" i="1"/>
  <c r="BT47" i="1"/>
  <c r="BM60" i="1"/>
  <c r="BH50" i="1"/>
  <c r="BW57" i="1"/>
  <c r="BS78" i="1"/>
  <c r="BD85" i="1"/>
  <c r="CC85" i="1" s="1"/>
  <c r="BE86" i="1"/>
  <c r="BV83" i="1"/>
  <c r="BO76" i="1"/>
  <c r="BA65" i="1"/>
  <c r="BZ65" i="1" s="1"/>
  <c r="BJ83" i="1"/>
  <c r="BW46" i="1"/>
  <c r="BQ63" i="1"/>
  <c r="BB73" i="1"/>
  <c r="CA73" i="1" s="1"/>
  <c r="BL74" i="1"/>
  <c r="BH107" i="1"/>
  <c r="BA92" i="1"/>
  <c r="BZ92" i="1" s="1"/>
  <c r="BA121" i="1"/>
  <c r="BZ121" i="1" s="1"/>
  <c r="BI110" i="1"/>
  <c r="BJ103" i="1"/>
  <c r="BJ115" i="1"/>
  <c r="BS96" i="1"/>
  <c r="BC102" i="1"/>
  <c r="CB102" i="1" s="1"/>
  <c r="BK110" i="1"/>
  <c r="BL103" i="1"/>
  <c r="BD107" i="1"/>
  <c r="CC107" i="1" s="1"/>
  <c r="BJ9" i="1"/>
  <c r="BB12" i="1"/>
  <c r="BR14" i="1"/>
  <c r="BJ17" i="1"/>
  <c r="BB20" i="1"/>
  <c r="BR22" i="1"/>
  <c r="BJ25" i="1"/>
  <c r="BC8" i="1"/>
  <c r="BS10" i="1"/>
  <c r="BK13" i="1"/>
  <c r="BC16" i="1"/>
  <c r="BS18" i="1"/>
  <c r="BK21" i="1"/>
  <c r="BC24" i="1"/>
  <c r="BS26" i="1"/>
  <c r="BL9" i="1"/>
  <c r="BR2" i="1"/>
  <c r="BC5" i="1"/>
  <c r="BF19" i="1"/>
  <c r="BN24" i="1"/>
  <c r="BV29" i="1"/>
  <c r="BV7" i="1"/>
  <c r="BN10" i="1"/>
  <c r="BF13" i="1"/>
  <c r="BF16" i="1"/>
  <c r="BN21" i="1"/>
  <c r="BV26" i="1"/>
  <c r="BD3" i="1"/>
  <c r="BH8" i="1"/>
  <c r="BP13" i="1"/>
  <c r="BH16" i="1"/>
  <c r="BP21" i="1"/>
  <c r="BP26" i="1"/>
  <c r="BH29" i="1"/>
  <c r="BR3" i="1"/>
  <c r="BF2" i="1"/>
  <c r="BI8" i="1"/>
  <c r="BR27" i="1"/>
  <c r="BJ30" i="1"/>
  <c r="BV5" i="1"/>
  <c r="BL6" i="1"/>
  <c r="BT16" i="1"/>
  <c r="BC28" i="1"/>
  <c r="BC31" i="1"/>
  <c r="BE2" i="1"/>
  <c r="BD12" i="1"/>
  <c r="BT17" i="1"/>
  <c r="BM8" i="1"/>
  <c r="BE11" i="1"/>
  <c r="BU13" i="1"/>
  <c r="BM16" i="1"/>
  <c r="BE19" i="1"/>
  <c r="BU21" i="1"/>
  <c r="BM24" i="1"/>
  <c r="BE27" i="1"/>
  <c r="BU29" i="1"/>
  <c r="BV30" i="1"/>
  <c r="BG15" i="1"/>
  <c r="BW22" i="1"/>
  <c r="BP6" i="1"/>
  <c r="BW7" i="1"/>
  <c r="BG13" i="1"/>
  <c r="BO20" i="1"/>
  <c r="BO28" i="1"/>
  <c r="BL28" i="1"/>
  <c r="BO12" i="1"/>
  <c r="BW20" i="1"/>
  <c r="BG29" i="1"/>
  <c r="BP31" i="1"/>
  <c r="BA19" i="1"/>
  <c r="BI24" i="1"/>
  <c r="BQ29" i="1"/>
  <c r="BK2" i="1"/>
  <c r="BA10" i="1"/>
  <c r="BQ12" i="1"/>
  <c r="BA16" i="1"/>
  <c r="BI21" i="1"/>
  <c r="BQ26" i="1"/>
  <c r="BN2" i="1"/>
  <c r="BD20" i="1"/>
  <c r="BT22" i="1"/>
  <c r="BL25" i="1"/>
  <c r="BT30" i="1"/>
  <c r="BU6" i="1"/>
  <c r="BV3" i="1"/>
  <c r="BF4" i="1"/>
  <c r="AZ32" i="1"/>
  <c r="BE33" i="1"/>
  <c r="BE37" i="1"/>
  <c r="BE41" i="1"/>
  <c r="BE45" i="1"/>
  <c r="BE49" i="1"/>
  <c r="BP32" i="1"/>
  <c r="BF35" i="1"/>
  <c r="BF39" i="1"/>
  <c r="BF43" i="1"/>
  <c r="BF47" i="1"/>
  <c r="BF51" i="1"/>
  <c r="BF55" i="1"/>
  <c r="BF59" i="1"/>
  <c r="BG33" i="1"/>
  <c r="BG37" i="1"/>
  <c r="BG41" i="1"/>
  <c r="BG45" i="1"/>
  <c r="BG49" i="1"/>
  <c r="BG53" i="1"/>
  <c r="BG57" i="1"/>
  <c r="BP36" i="1"/>
  <c r="BP39" i="1"/>
  <c r="BP45" i="1"/>
  <c r="BP49" i="1"/>
  <c r="BP53" i="1"/>
  <c r="BP57" i="1"/>
  <c r="BQ32" i="1"/>
  <c r="BQ61" i="1"/>
  <c r="BI35" i="1"/>
  <c r="BA38" i="1"/>
  <c r="BZ38" i="1" s="1"/>
  <c r="BQ40" i="1"/>
  <c r="BI43" i="1"/>
  <c r="BA46" i="1"/>
  <c r="BZ46" i="1" s="1"/>
  <c r="BQ48" i="1"/>
  <c r="BI51" i="1"/>
  <c r="BA54" i="1"/>
  <c r="BZ54" i="1" s="1"/>
  <c r="BJ33" i="1"/>
  <c r="BB36" i="1"/>
  <c r="CA36" i="1" s="1"/>
  <c r="BR38" i="1"/>
  <c r="BB25" i="1"/>
  <c r="BC21" i="1"/>
  <c r="BN18" i="1"/>
  <c r="BV20" i="1"/>
  <c r="BF3" i="1"/>
  <c r="BD16" i="1"/>
  <c r="BU18" i="1"/>
  <c r="BW13" i="1"/>
  <c r="BG28" i="1"/>
  <c r="BA29" i="1"/>
  <c r="BQ20" i="1"/>
  <c r="BL22" i="1"/>
  <c r="BB5" i="1"/>
  <c r="BI40" i="1"/>
  <c r="BK55" i="1"/>
  <c r="BJ55" i="1"/>
  <c r="BS59" i="1"/>
  <c r="BS88" i="1"/>
  <c r="BD73" i="1"/>
  <c r="CC73" i="1" s="1"/>
  <c r="BU88" i="1"/>
  <c r="BN88" i="1"/>
  <c r="BJ68" i="1"/>
  <c r="BI68" i="1"/>
  <c r="BN84" i="1"/>
  <c r="BH87" i="1"/>
  <c r="BR81" i="1"/>
  <c r="BA114" i="1"/>
  <c r="BZ114" i="1" s="1"/>
  <c r="BB107" i="1"/>
  <c r="CA107" i="1" s="1"/>
  <c r="BR17" i="1"/>
  <c r="BK8" i="1"/>
  <c r="BS21" i="1"/>
  <c r="BK5" i="1"/>
  <c r="BF8" i="1"/>
  <c r="BF22" i="1"/>
  <c r="BH11" i="1"/>
  <c r="BP16" i="1"/>
  <c r="BH19" i="1"/>
  <c r="BH24" i="1"/>
  <c r="BP29" i="1"/>
  <c r="BO4" i="1"/>
  <c r="BB4" i="1"/>
  <c r="BA9" i="1"/>
  <c r="BB28" i="1"/>
  <c r="BR30" i="1"/>
  <c r="BS6" i="1"/>
  <c r="BL12" i="1"/>
  <c r="BL17" i="1"/>
  <c r="BK28" i="1"/>
  <c r="BK31" i="1"/>
  <c r="BA3" i="1"/>
  <c r="BD13" i="1"/>
  <c r="BL18" i="1"/>
  <c r="BU8" i="1"/>
  <c r="BM11" i="1"/>
  <c r="BE14" i="1"/>
  <c r="BU16" i="1"/>
  <c r="BM19" i="1"/>
  <c r="BE22" i="1"/>
  <c r="BU24" i="1"/>
  <c r="BM27" i="1"/>
  <c r="BE30" i="1"/>
  <c r="BM4" i="1"/>
  <c r="BW15" i="1"/>
  <c r="BO24" i="1"/>
  <c r="BA4" i="1"/>
  <c r="BW6" i="1"/>
  <c r="BG14" i="1"/>
  <c r="BW21" i="1"/>
  <c r="BW29" i="1"/>
  <c r="BB3" i="1"/>
  <c r="BO13" i="1"/>
  <c r="BG22" i="1"/>
  <c r="BG30" i="1"/>
  <c r="BU30" i="1"/>
  <c r="BQ19" i="1"/>
  <c r="BA25" i="1"/>
  <c r="BI30" i="1"/>
  <c r="BG4" i="1"/>
  <c r="BI10" i="1"/>
  <c r="BA13" i="1"/>
  <c r="BQ16" i="1"/>
  <c r="BA22" i="1"/>
  <c r="BI27" i="1"/>
  <c r="BS3" i="1"/>
  <c r="BL20" i="1"/>
  <c r="BD23" i="1"/>
  <c r="BT25" i="1"/>
  <c r="BG24" i="1"/>
  <c r="BH31" i="1"/>
  <c r="BM6" i="1"/>
  <c r="BM33" i="1"/>
  <c r="BM37" i="1"/>
  <c r="BM41" i="1"/>
  <c r="BM45" i="1"/>
  <c r="BM49" i="1"/>
  <c r="BH42" i="1"/>
  <c r="BN35" i="1"/>
  <c r="BN39" i="1"/>
  <c r="BN43" i="1"/>
  <c r="BN47" i="1"/>
  <c r="BN51" i="1"/>
  <c r="BN55" i="1"/>
  <c r="BN59" i="1"/>
  <c r="BO33" i="1"/>
  <c r="BO37" i="1"/>
  <c r="BO41" i="1"/>
  <c r="BO45" i="1"/>
  <c r="BO49" i="1"/>
  <c r="BO53" i="1"/>
  <c r="BO57" i="1"/>
  <c r="BH33" i="1"/>
  <c r="BH41" i="1"/>
  <c r="BA33" i="1"/>
  <c r="BZ33" i="1" s="1"/>
  <c r="BQ35" i="1"/>
  <c r="BI38" i="1"/>
  <c r="BA41" i="1"/>
  <c r="BZ41" i="1" s="1"/>
  <c r="BQ43" i="1"/>
  <c r="BI46" i="1"/>
  <c r="BA49" i="1"/>
  <c r="BZ49" i="1" s="1"/>
  <c r="BQ51" i="1"/>
  <c r="BI54" i="1"/>
  <c r="BR33" i="1"/>
  <c r="BJ36" i="1"/>
  <c r="BB39" i="1"/>
  <c r="CA39" i="1" s="1"/>
  <c r="BR41" i="1"/>
  <c r="BJ44" i="1"/>
  <c r="BB47" i="1"/>
  <c r="CA47" i="1" s="1"/>
  <c r="BR49" i="1"/>
  <c r="BJ52" i="1"/>
  <c r="BC32" i="1"/>
  <c r="CB32" i="1" s="1"/>
  <c r="BS34" i="1"/>
  <c r="BK37" i="1"/>
  <c r="BC40" i="1"/>
  <c r="CB40" i="1" s="1"/>
  <c r="BS42" i="1"/>
  <c r="BK45" i="1"/>
  <c r="BC48" i="1"/>
  <c r="CB48" i="1" s="1"/>
  <c r="BS50" i="1"/>
  <c r="BK53" i="1"/>
  <c r="BR19" i="1"/>
  <c r="BS15" i="1"/>
  <c r="BT11" i="1"/>
  <c r="BV12" i="1"/>
  <c r="BP10" i="1"/>
  <c r="BH26" i="1"/>
  <c r="BB30" i="1"/>
  <c r="BT6" i="1"/>
  <c r="BM13" i="1"/>
  <c r="BU26" i="1"/>
  <c r="BU4" i="1"/>
  <c r="BT29" i="1"/>
  <c r="BA26" i="1"/>
  <c r="BN3" i="1"/>
  <c r="BN58" i="1"/>
  <c r="BO52" i="1"/>
  <c r="BH53" i="1"/>
  <c r="BQ45" i="1"/>
  <c r="BS52" i="1"/>
  <c r="BL38" i="1"/>
  <c r="BT77" i="1"/>
  <c r="BQ89" i="1"/>
  <c r="BM81" i="1"/>
  <c r="BF81" i="1"/>
  <c r="BW73" i="1"/>
  <c r="BO88" i="1"/>
  <c r="BM75" i="1"/>
  <c r="BW70" i="1"/>
  <c r="BQ72" i="1"/>
  <c r="BJ90" i="1"/>
  <c r="BR9" i="1"/>
  <c r="BJ20" i="1"/>
  <c r="BC11" i="1"/>
  <c r="BC19" i="1"/>
  <c r="BT9" i="1"/>
  <c r="BV19" i="1"/>
  <c r="BV10" i="1"/>
  <c r="BN27" i="1"/>
  <c r="BR12" i="1"/>
  <c r="BR20" i="1"/>
  <c r="BS8" i="1"/>
  <c r="BS16" i="1"/>
  <c r="BS24" i="1"/>
  <c r="BD10" i="1"/>
  <c r="BQ5" i="1"/>
  <c r="BN20" i="1"/>
  <c r="BV25" i="1"/>
  <c r="BH2" i="1"/>
  <c r="BN8" i="1"/>
  <c r="BF11" i="1"/>
  <c r="BV13" i="1"/>
  <c r="BN17" i="1"/>
  <c r="BV22" i="1"/>
  <c r="BF28" i="1"/>
  <c r="BL5" i="1"/>
  <c r="BP11" i="1"/>
  <c r="BH14" i="1"/>
  <c r="BP19" i="1"/>
  <c r="BH22" i="1"/>
  <c r="BP24" i="1"/>
  <c r="BH27" i="1"/>
  <c r="BW4" i="1"/>
  <c r="BJ4" i="1"/>
  <c r="BI7" i="1"/>
  <c r="BJ28" i="1"/>
  <c r="BB31" i="1"/>
  <c r="BD2" i="1"/>
  <c r="BT12" i="1"/>
  <c r="BD18" i="1"/>
  <c r="BS28" i="1"/>
  <c r="BS31" i="1"/>
  <c r="BI3" i="1"/>
  <c r="BT13" i="1"/>
  <c r="BD19" i="1"/>
  <c r="BE9" i="1"/>
  <c r="BU11" i="1"/>
  <c r="BM14" i="1"/>
  <c r="BE17" i="1"/>
  <c r="BU19" i="1"/>
  <c r="BM22" i="1"/>
  <c r="BE25" i="1"/>
  <c r="BU27" i="1"/>
  <c r="BM30" i="1"/>
  <c r="BG7" i="1"/>
  <c r="BG17" i="1"/>
  <c r="BO25" i="1"/>
  <c r="BT27" i="1"/>
  <c r="BG8" i="1"/>
  <c r="BO14" i="1"/>
  <c r="BG23" i="1"/>
  <c r="BG31" i="1"/>
  <c r="BR31" i="1"/>
  <c r="BW14" i="1"/>
  <c r="BO22" i="1"/>
  <c r="BW30" i="1"/>
  <c r="BA14" i="1"/>
  <c r="BI20" i="1"/>
  <c r="BQ25" i="1"/>
  <c r="BA31" i="1"/>
  <c r="BG3" i="1"/>
  <c r="BQ10" i="1"/>
  <c r="BI13" i="1"/>
  <c r="BI17" i="1"/>
  <c r="BQ22" i="1"/>
  <c r="BA28" i="1"/>
  <c r="BM5" i="1"/>
  <c r="BT20" i="1"/>
  <c r="BL23" i="1"/>
  <c r="BD26" i="1"/>
  <c r="BO29" i="1"/>
  <c r="BR6" i="1"/>
  <c r="BF6" i="1"/>
  <c r="BA6" i="1"/>
  <c r="BE34" i="1"/>
  <c r="BE38" i="1"/>
  <c r="BE42" i="1"/>
  <c r="BE46" i="1"/>
  <c r="BE50" i="1"/>
  <c r="BF32" i="1"/>
  <c r="BF36" i="1"/>
  <c r="BF40" i="1"/>
  <c r="BF44" i="1"/>
  <c r="BF48" i="1"/>
  <c r="BF52" i="1"/>
  <c r="BF56" i="1"/>
  <c r="BF60" i="1"/>
  <c r="BG34" i="1"/>
  <c r="BG38" i="1"/>
  <c r="BG42" i="1"/>
  <c r="BG46" i="1"/>
  <c r="BG50" i="1"/>
  <c r="BG54" i="1"/>
  <c r="BG58" i="1"/>
  <c r="BP33" i="1"/>
  <c r="BP41" i="1"/>
  <c r="BI33" i="1"/>
  <c r="BA36" i="1"/>
  <c r="BZ36" i="1" s="1"/>
  <c r="BQ38" i="1"/>
  <c r="BI41" i="1"/>
  <c r="BA44" i="1"/>
  <c r="BZ44" i="1" s="1"/>
  <c r="BQ46" i="1"/>
  <c r="BI49" i="1"/>
  <c r="BA52" i="1"/>
  <c r="BQ54" i="1"/>
  <c r="BB34" i="1"/>
  <c r="CA34" i="1" s="1"/>
  <c r="BR36" i="1"/>
  <c r="BJ39" i="1"/>
  <c r="BB42" i="1"/>
  <c r="CA42" i="1" s="1"/>
  <c r="BR44" i="1"/>
  <c r="BJ47" i="1"/>
  <c r="BB50" i="1"/>
  <c r="CA50" i="1" s="1"/>
  <c r="BR52" i="1"/>
  <c r="BJ22" i="1"/>
  <c r="BK18" i="1"/>
  <c r="BK3" i="1"/>
  <c r="BF10" i="1"/>
  <c r="BP23" i="1"/>
  <c r="BQ7" i="1"/>
  <c r="BS27" i="1"/>
  <c r="BD17" i="1"/>
  <c r="BE16" i="1"/>
  <c r="BG6" i="1"/>
  <c r="BG12" i="1"/>
  <c r="BO19" i="1"/>
  <c r="BC2" i="1"/>
  <c r="BI31" i="1"/>
  <c r="BP5" i="1"/>
  <c r="BM44" i="1"/>
  <c r="BN46" i="1"/>
  <c r="BO56" i="1"/>
  <c r="BH57" i="1"/>
  <c r="BA43" i="1"/>
  <c r="BZ43" i="1" s="1"/>
  <c r="BB49" i="1"/>
  <c r="CA49" i="1" s="1"/>
  <c r="BC42" i="1"/>
  <c r="CB42" i="1" s="1"/>
  <c r="BM56" i="1"/>
  <c r="BT59" i="1"/>
  <c r="BC76" i="1"/>
  <c r="CB76" i="1" s="1"/>
  <c r="BL80" i="1"/>
  <c r="BU78" i="1"/>
  <c r="BJ82" i="1"/>
  <c r="BN78" i="1"/>
  <c r="BA62" i="1"/>
  <c r="BZ62" i="1" s="1"/>
  <c r="BW83" i="1"/>
  <c r="BH82" i="1"/>
  <c r="BJ62" i="1"/>
  <c r="BF69" i="1"/>
  <c r="BO86" i="1"/>
  <c r="BQ87" i="1"/>
  <c r="BV68" i="1"/>
  <c r="BH115" i="1"/>
  <c r="BQ104" i="1"/>
  <c r="BR111" i="1"/>
  <c r="BJ12" i="1"/>
  <c r="BB23" i="1"/>
  <c r="BK16" i="1"/>
  <c r="BD7" i="1"/>
  <c r="BF25" i="1"/>
  <c r="BV16" i="1"/>
  <c r="BP8" i="1"/>
  <c r="BB10" i="1"/>
  <c r="BB18" i="1"/>
  <c r="BB26" i="1"/>
  <c r="BC14" i="1"/>
  <c r="BK19" i="1"/>
  <c r="BL7" i="1"/>
  <c r="BR7" i="1"/>
  <c r="BJ10" i="1"/>
  <c r="BB13" i="1"/>
  <c r="BR15" i="1"/>
  <c r="BJ18" i="1"/>
  <c r="BB21" i="1"/>
  <c r="BR23" i="1"/>
  <c r="BJ26" i="1"/>
  <c r="BC9" i="1"/>
  <c r="BS11" i="1"/>
  <c r="BK14" i="1"/>
  <c r="BC17" i="1"/>
  <c r="BS19" i="1"/>
  <c r="BK22" i="1"/>
  <c r="BC25" i="1"/>
  <c r="BT7" i="1"/>
  <c r="BL10" i="1"/>
  <c r="BN6" i="1"/>
  <c r="BF15" i="1"/>
  <c r="BF21" i="1"/>
  <c r="BN26" i="1"/>
  <c r="BL3" i="1"/>
  <c r="BV8" i="1"/>
  <c r="BN11" i="1"/>
  <c r="BF14" i="1"/>
  <c r="BF18" i="1"/>
  <c r="BN23" i="1"/>
  <c r="BV28" i="1"/>
  <c r="BH9" i="1"/>
  <c r="BP14" i="1"/>
  <c r="BH17" i="1"/>
  <c r="BP22" i="1"/>
  <c r="BP27" i="1"/>
  <c r="BH30" i="1"/>
  <c r="BT5" i="1"/>
  <c r="BF5" i="1"/>
  <c r="BA8" i="1"/>
  <c r="BR28" i="1"/>
  <c r="BO2" i="1"/>
  <c r="BL2" i="1"/>
  <c r="BL13" i="1"/>
  <c r="BT18" i="1"/>
  <c r="BC29" i="1"/>
  <c r="BM3" i="1"/>
  <c r="BE4" i="1"/>
  <c r="BL14" i="1"/>
  <c r="BT19" i="1"/>
  <c r="BM9" i="1"/>
  <c r="BE12" i="1"/>
  <c r="BU14" i="1"/>
  <c r="BM17" i="1"/>
  <c r="BE20" i="1"/>
  <c r="BU22" i="1"/>
  <c r="BM25" i="1"/>
  <c r="BE28" i="1"/>
  <c r="BE31" i="1"/>
  <c r="BO8" i="1"/>
  <c r="BO17" i="1"/>
  <c r="BO26" i="1"/>
  <c r="BN30" i="1"/>
  <c r="BG9" i="1"/>
  <c r="BO15" i="1"/>
  <c r="BO23" i="1"/>
  <c r="BT2" i="1"/>
  <c r="BO7" i="1"/>
  <c r="BG16" i="1"/>
  <c r="BW23" i="1"/>
  <c r="BV4" i="1"/>
  <c r="BI15" i="1"/>
  <c r="BA21" i="1"/>
  <c r="BI26" i="1"/>
  <c r="BQ31" i="1"/>
  <c r="BK4" i="1"/>
  <c r="BA11" i="1"/>
  <c r="BQ13" i="1"/>
  <c r="BA18" i="1"/>
  <c r="BI23" i="1"/>
  <c r="BQ28" i="1"/>
  <c r="BC4" i="1"/>
  <c r="BD21" i="1"/>
  <c r="BT23" i="1"/>
  <c r="BL26" i="1"/>
  <c r="BO31" i="1"/>
  <c r="BG5" i="1"/>
  <c r="BO6" i="1"/>
  <c r="BI6" i="1"/>
  <c r="BM34" i="1"/>
  <c r="BM38" i="1"/>
  <c r="BM42" i="1"/>
  <c r="BM46" i="1"/>
  <c r="BM50" i="1"/>
  <c r="BN32" i="1"/>
  <c r="BN36" i="1"/>
  <c r="BN40" i="1"/>
  <c r="BN44" i="1"/>
  <c r="BN48" i="1"/>
  <c r="BN52" i="1"/>
  <c r="BN56" i="1"/>
  <c r="BN60" i="1"/>
  <c r="BO34" i="1"/>
  <c r="BO38" i="1"/>
  <c r="BO42" i="1"/>
  <c r="BO46" i="1"/>
  <c r="BO50" i="1"/>
  <c r="BO54" i="1"/>
  <c r="BO58" i="1"/>
  <c r="BH35" i="1"/>
  <c r="BH43" i="1"/>
  <c r="BH47" i="1"/>
  <c r="BH51" i="1"/>
  <c r="BH55" i="1"/>
  <c r="BH59" i="1"/>
  <c r="BQ33" i="1"/>
  <c r="BI36" i="1"/>
  <c r="BA39" i="1"/>
  <c r="BZ39" i="1" s="1"/>
  <c r="BR11" i="1"/>
  <c r="BK10" i="1"/>
  <c r="BK26" i="1"/>
  <c r="BF29" i="1"/>
  <c r="BF26" i="1"/>
  <c r="BP18" i="1"/>
  <c r="BN5" i="1"/>
  <c r="BE8" i="1"/>
  <c r="BE24" i="1"/>
  <c r="BN4" i="1"/>
  <c r="BW11" i="1"/>
  <c r="BI18" i="1"/>
  <c r="BQ15" i="1"/>
  <c r="BD25" i="1"/>
  <c r="BM52" i="1"/>
  <c r="BN54" i="1"/>
  <c r="BO44" i="1"/>
  <c r="BA51" i="1"/>
  <c r="BZ51" i="1" s="1"/>
  <c r="BR43" i="1"/>
  <c r="BR51" i="1"/>
  <c r="BK47" i="1"/>
  <c r="BT42" i="1"/>
  <c r="BR60" i="1"/>
  <c r="BT58" i="1"/>
  <c r="BT56" i="1"/>
  <c r="BU53" i="1"/>
  <c r="BW48" i="1"/>
  <c r="BK83" i="1"/>
  <c r="BE74" i="1"/>
  <c r="BV73" i="1"/>
  <c r="BA81" i="1"/>
  <c r="BZ81" i="1" s="1"/>
  <c r="BU84" i="1"/>
  <c r="BP63" i="1"/>
  <c r="BJ64" i="1"/>
  <c r="BO78" i="1"/>
  <c r="BH99" i="1"/>
  <c r="BA102" i="1"/>
  <c r="BZ102" i="1" s="1"/>
  <c r="BC114" i="1"/>
  <c r="CB114" i="1" s="1"/>
  <c r="BB7" i="1"/>
  <c r="BB15" i="1"/>
  <c r="BR25" i="1"/>
  <c r="BS13" i="1"/>
  <c r="BK24" i="1"/>
  <c r="BT4" i="1"/>
  <c r="BP3" i="1"/>
  <c r="BN13" i="1"/>
  <c r="BH4" i="1"/>
  <c r="BJ7" i="1"/>
  <c r="BJ15" i="1"/>
  <c r="BJ23" i="1"/>
  <c r="BK11" i="1"/>
  <c r="BC22" i="1"/>
  <c r="BB8" i="1"/>
  <c r="BR10" i="1"/>
  <c r="BJ13" i="1"/>
  <c r="BB16" i="1"/>
  <c r="BR18" i="1"/>
  <c r="BJ21" i="1"/>
  <c r="BB24" i="1"/>
  <c r="BR26" i="1"/>
  <c r="BK9" i="1"/>
  <c r="BC12" i="1"/>
  <c r="BS14" i="1"/>
  <c r="BK17" i="1"/>
  <c r="BC20" i="1"/>
  <c r="BS22" i="1"/>
  <c r="BK25" i="1"/>
  <c r="BD8" i="1"/>
  <c r="BT10" i="1"/>
  <c r="BV6" i="1"/>
  <c r="BN16" i="1"/>
  <c r="BV21" i="1"/>
  <c r="BF27" i="1"/>
  <c r="BD5" i="1"/>
  <c r="BF9" i="1"/>
  <c r="BV11" i="1"/>
  <c r="BN14" i="1"/>
  <c r="BV18" i="1"/>
  <c r="BF24" i="1"/>
  <c r="BN29" i="1"/>
  <c r="BP9" i="1"/>
  <c r="BH12" i="1"/>
  <c r="BP17" i="1"/>
  <c r="BH20" i="1"/>
  <c r="BH25" i="1"/>
  <c r="BP30" i="1"/>
  <c r="BQ6" i="1"/>
  <c r="BB6" i="1"/>
  <c r="BQ8" i="1"/>
  <c r="BB29" i="1"/>
  <c r="BW2" i="1"/>
  <c r="BH3" i="1"/>
  <c r="BD14" i="1"/>
  <c r="BL19" i="1"/>
  <c r="BK29" i="1"/>
  <c r="BU3" i="1"/>
  <c r="BA5" i="1"/>
  <c r="BD15" i="1"/>
  <c r="BE7" i="1"/>
  <c r="BU9" i="1"/>
  <c r="BM12" i="1"/>
  <c r="BE15" i="1"/>
  <c r="BU17" i="1"/>
  <c r="BM20" i="1"/>
  <c r="BE23" i="1"/>
  <c r="BU25" i="1"/>
  <c r="BM28" i="1"/>
  <c r="BM31" i="1"/>
  <c r="BO9" i="1"/>
  <c r="BO18" i="1"/>
  <c r="BO27" i="1"/>
  <c r="BF31" i="1"/>
  <c r="BW9" i="1"/>
  <c r="BW16" i="1"/>
  <c r="BW24" i="1"/>
  <c r="BQ3" i="1"/>
  <c r="BW8" i="1"/>
  <c r="BO16" i="1"/>
  <c r="BG25" i="1"/>
  <c r="BI16" i="1"/>
  <c r="BQ21" i="1"/>
  <c r="BA27" i="1"/>
  <c r="BV2" i="1"/>
  <c r="BL29" i="1"/>
  <c r="BI11" i="1"/>
  <c r="BI14" i="1"/>
  <c r="BQ18" i="1"/>
  <c r="BA24" i="1"/>
  <c r="BI29" i="1"/>
  <c r="BD28" i="1"/>
  <c r="BL21" i="1"/>
  <c r="BD24" i="1"/>
  <c r="BT26" i="1"/>
  <c r="BW31" i="1"/>
  <c r="BC6" i="1"/>
  <c r="BL30" i="1"/>
  <c r="BT31" i="1"/>
  <c r="BH32" i="1"/>
  <c r="BE35" i="1"/>
  <c r="BE39" i="1"/>
  <c r="BE43" i="1"/>
  <c r="BE47" i="1"/>
  <c r="BE51" i="1"/>
  <c r="BF33" i="1"/>
  <c r="BF37" i="1"/>
  <c r="BF41" i="1"/>
  <c r="BF45" i="1"/>
  <c r="BF49" i="1"/>
  <c r="BF53" i="1"/>
  <c r="BF57" i="1"/>
  <c r="BH36" i="1"/>
  <c r="BG35" i="1"/>
  <c r="BG39" i="1"/>
  <c r="BG43" i="1"/>
  <c r="BG47" i="1"/>
  <c r="BG51" i="1"/>
  <c r="BG55" i="1"/>
  <c r="BG59" i="1"/>
  <c r="BP35" i="1"/>
  <c r="BP43" i="1"/>
  <c r="BP47" i="1"/>
  <c r="BP51" i="1"/>
  <c r="BP55" i="1"/>
  <c r="BP59" i="1"/>
  <c r="BA34" i="1"/>
  <c r="BZ34" i="1" s="1"/>
  <c r="BB17" i="1"/>
  <c r="BC13" i="1"/>
  <c r="BS23" i="1"/>
  <c r="BV23" i="1"/>
  <c r="BV15" i="1"/>
  <c r="BH13" i="1"/>
  <c r="BU2" i="1"/>
  <c r="BD6" i="1"/>
  <c r="BM29" i="1"/>
  <c r="BQ23" i="1"/>
  <c r="BI12" i="1"/>
  <c r="BD29" i="1"/>
  <c r="BM48" i="1"/>
  <c r="BN50" i="1"/>
  <c r="BO48" i="1"/>
  <c r="BQ53" i="1"/>
  <c r="BJ46" i="1"/>
  <c r="BJ54" i="1"/>
  <c r="BS44" i="1"/>
  <c r="BQ55" i="1"/>
  <c r="BB58" i="1"/>
  <c r="CA58" i="1" s="1"/>
  <c r="BT33" i="1"/>
  <c r="BD53" i="1"/>
  <c r="CC53" i="1" s="1"/>
  <c r="BU40" i="1"/>
  <c r="BV59" i="1"/>
  <c r="BC86" i="1"/>
  <c r="CB86" i="1" s="1"/>
  <c r="BT87" i="1"/>
  <c r="BB62" i="1"/>
  <c r="CA62" i="1" s="1"/>
  <c r="BI83" i="1"/>
  <c r="BJ8" i="1"/>
  <c r="BB11" i="1"/>
  <c r="BR13" i="1"/>
  <c r="BJ16" i="1"/>
  <c r="BB19" i="1"/>
  <c r="BR21" i="1"/>
  <c r="BJ24" i="1"/>
  <c r="BC7" i="1"/>
  <c r="BS9" i="1"/>
  <c r="BK12" i="1"/>
  <c r="BC15" i="1"/>
  <c r="BS17" i="1"/>
  <c r="BK20" i="1"/>
  <c r="BC23" i="1"/>
  <c r="BS25" i="1"/>
  <c r="BL8" i="1"/>
  <c r="BD11" i="1"/>
  <c r="BG2" i="1"/>
  <c r="BF17" i="1"/>
  <c r="BN22" i="1"/>
  <c r="BV27" i="1"/>
  <c r="BH6" i="1"/>
  <c r="BN9" i="1"/>
  <c r="BF12" i="1"/>
  <c r="BV14" i="1"/>
  <c r="BN19" i="1"/>
  <c r="BV24" i="1"/>
  <c r="BF30" i="1"/>
  <c r="BH7" i="1"/>
  <c r="BP12" i="1"/>
  <c r="BH15" i="1"/>
  <c r="BP20" i="1"/>
  <c r="BH23" i="1"/>
  <c r="BP25" i="1"/>
  <c r="BH28" i="1"/>
  <c r="BB2" i="1"/>
  <c r="BJ6" i="1"/>
  <c r="BI9" i="1"/>
  <c r="BJ29" i="1"/>
  <c r="BT3" i="1"/>
  <c r="BD4" i="1"/>
  <c r="BT14" i="1"/>
  <c r="BC27" i="1"/>
  <c r="BS29" i="1"/>
  <c r="BR4" i="1"/>
  <c r="BI5" i="1"/>
  <c r="BT15" i="1"/>
  <c r="BM7" i="1"/>
  <c r="BE10" i="1"/>
  <c r="BU12" i="1"/>
  <c r="BM15" i="1"/>
  <c r="BE18" i="1"/>
  <c r="BU20" i="1"/>
  <c r="BM23" i="1"/>
  <c r="BE26" i="1"/>
  <c r="BU28" i="1"/>
  <c r="BU31" i="1"/>
  <c r="BW10" i="1"/>
  <c r="BW19" i="1"/>
  <c r="BW28" i="1"/>
  <c r="BN31" i="1"/>
  <c r="BG11" i="1"/>
  <c r="BG18" i="1"/>
  <c r="BG26" i="1"/>
  <c r="BS5" i="1"/>
  <c r="BG10" i="1"/>
  <c r="BW17" i="1"/>
  <c r="BW25" i="1"/>
  <c r="BE3" i="1"/>
  <c r="BA17" i="1"/>
  <c r="BI22" i="1"/>
  <c r="BQ27" i="1"/>
  <c r="BP4" i="1"/>
  <c r="BJ31" i="1"/>
  <c r="BQ11" i="1"/>
  <c r="BQ14" i="1"/>
  <c r="BI19" i="1"/>
  <c r="BQ24" i="1"/>
  <c r="BA30" i="1"/>
  <c r="BK30" i="1"/>
  <c r="BT21" i="1"/>
  <c r="BL24" i="1"/>
  <c r="BD27" i="1"/>
  <c r="BE5" i="1"/>
  <c r="BK6" i="1"/>
  <c r="BS4" i="1"/>
  <c r="BQ2" i="1"/>
  <c r="BP38" i="1"/>
  <c r="BM35" i="1"/>
  <c r="BM39" i="1"/>
  <c r="BM43" i="1"/>
  <c r="BM47" i="1"/>
  <c r="BM51" i="1"/>
  <c r="BN33" i="1"/>
  <c r="BN37" i="1"/>
  <c r="BN41" i="1"/>
  <c r="BN45" i="1"/>
  <c r="BN49" i="1"/>
  <c r="BN53" i="1"/>
  <c r="BN57" i="1"/>
  <c r="BP42" i="1"/>
  <c r="BO35" i="1"/>
  <c r="BO39" i="1"/>
  <c r="BO43" i="1"/>
  <c r="BO47" i="1"/>
  <c r="BO51" i="1"/>
  <c r="BO55" i="1"/>
  <c r="BO59" i="1"/>
  <c r="BH37" i="1"/>
  <c r="BI34" i="1"/>
  <c r="BA37" i="1"/>
  <c r="BZ37" i="1" s="1"/>
  <c r="BQ39" i="1"/>
  <c r="BI42" i="1"/>
  <c r="BA45" i="1"/>
  <c r="BZ45" i="1" s="1"/>
  <c r="BQ47" i="1"/>
  <c r="BI50" i="1"/>
  <c r="BA53" i="1"/>
  <c r="BZ53" i="1" s="1"/>
  <c r="BJ32" i="1"/>
  <c r="BB35" i="1"/>
  <c r="CA35" i="1" s="1"/>
  <c r="BR37" i="1"/>
  <c r="BJ40" i="1"/>
  <c r="BB43" i="1"/>
  <c r="CA43" i="1" s="1"/>
  <c r="BR45" i="1"/>
  <c r="BJ48" i="1"/>
  <c r="BB51" i="1"/>
  <c r="CA51" i="1" s="1"/>
  <c r="BR53" i="1"/>
  <c r="BK33" i="1"/>
  <c r="BC36" i="1"/>
  <c r="CB36" i="1" s="1"/>
  <c r="BS38" i="1"/>
  <c r="BK41" i="1"/>
  <c r="BC44" i="1"/>
  <c r="CB44" i="1" s="1"/>
  <c r="BS46" i="1"/>
  <c r="BK49" i="1"/>
  <c r="BC52" i="1"/>
  <c r="CB52" i="1" s="1"/>
  <c r="BS54" i="1"/>
  <c r="BD35" i="1"/>
  <c r="CC35" i="1" s="1"/>
  <c r="BT55" i="1"/>
  <c r="BA55" i="1"/>
  <c r="BZ55" i="1" s="1"/>
  <c r="BQ57" i="1"/>
  <c r="BI60" i="1"/>
  <c r="BR54" i="1"/>
  <c r="BJ57" i="1"/>
  <c r="BB60" i="1"/>
  <c r="CA60" i="1" s="1"/>
  <c r="BL37" i="1"/>
  <c r="BL35" i="1"/>
  <c r="BC59" i="1"/>
  <c r="CB59" i="1" s="1"/>
  <c r="BL34" i="1"/>
  <c r="BT43" i="1"/>
  <c r="BT54" i="1"/>
  <c r="BM55" i="1"/>
  <c r="BM59" i="1"/>
  <c r="BD41" i="1"/>
  <c r="CC41" i="1" s="1"/>
  <c r="BD39" i="1"/>
  <c r="CC39" i="1" s="1"/>
  <c r="BD54" i="1"/>
  <c r="CC54" i="1" s="1"/>
  <c r="BU34" i="1"/>
  <c r="BH48" i="1"/>
  <c r="BP56" i="1"/>
  <c r="BU37" i="1"/>
  <c r="BU15" i="1"/>
  <c r="BM18" i="1"/>
  <c r="BE21" i="1"/>
  <c r="BU23" i="1"/>
  <c r="BM26" i="1"/>
  <c r="BE29" i="1"/>
  <c r="BW12" i="1"/>
  <c r="BO30" i="1"/>
  <c r="BV31" i="1"/>
  <c r="BO11" i="1"/>
  <c r="BW18" i="1"/>
  <c r="BW26" i="1"/>
  <c r="BI2" i="1"/>
  <c r="BO10" i="1"/>
  <c r="BG19" i="1"/>
  <c r="BG27" i="1"/>
  <c r="BT28" i="1"/>
  <c r="BQ17" i="1"/>
  <c r="BA23" i="1"/>
  <c r="BI28" i="1"/>
  <c r="BU5" i="1"/>
  <c r="BJ3" i="1"/>
  <c r="BA12" i="1"/>
  <c r="BA15" i="1"/>
  <c r="BA20" i="1"/>
  <c r="BI25" i="1"/>
  <c r="BQ30" i="1"/>
  <c r="BP2" i="1"/>
  <c r="BD22" i="1"/>
  <c r="BT24" i="1"/>
  <c r="BL27" i="1"/>
  <c r="BD30" i="1"/>
  <c r="BH5" i="1"/>
  <c r="BD31" i="1"/>
  <c r="BJ5" i="1"/>
  <c r="BE36" i="1"/>
  <c r="BE40" i="1"/>
  <c r="BE44" i="1"/>
  <c r="BE48" i="1"/>
  <c r="BE52" i="1"/>
  <c r="BF34" i="1"/>
  <c r="BF38" i="1"/>
  <c r="BF42" i="1"/>
  <c r="BF46" i="1"/>
  <c r="BF50" i="1"/>
  <c r="BF54" i="1"/>
  <c r="BF58" i="1"/>
  <c r="BG36" i="1"/>
  <c r="BG40" i="1"/>
  <c r="BG44" i="1"/>
  <c r="BG48" i="1"/>
  <c r="BG52" i="1"/>
  <c r="BG56" i="1"/>
  <c r="BG60" i="1"/>
  <c r="BP37" i="1"/>
  <c r="BA32" i="1"/>
  <c r="BZ32" i="1" s="1"/>
  <c r="BQ34" i="1"/>
  <c r="BI37" i="1"/>
  <c r="BA40" i="1"/>
  <c r="BZ40" i="1" s="1"/>
  <c r="BQ42" i="1"/>
  <c r="BI45" i="1"/>
  <c r="BA48" i="1"/>
  <c r="BZ48" i="1" s="1"/>
  <c r="BQ50" i="1"/>
  <c r="BI53" i="1"/>
  <c r="BR32" i="1"/>
  <c r="BJ35" i="1"/>
  <c r="BB38" i="1"/>
  <c r="CA38" i="1" s="1"/>
  <c r="BR40" i="1"/>
  <c r="BJ43" i="1"/>
  <c r="BB46" i="1"/>
  <c r="CA46" i="1" s="1"/>
  <c r="BR48" i="1"/>
  <c r="BJ51" i="1"/>
  <c r="BB54" i="1"/>
  <c r="CA54" i="1" s="1"/>
  <c r="BS33" i="1"/>
  <c r="BK36" i="1"/>
  <c r="BC39" i="1"/>
  <c r="CB39" i="1" s="1"/>
  <c r="BS41" i="1"/>
  <c r="BK44" i="1"/>
  <c r="BC47" i="1"/>
  <c r="CB47" i="1" s="1"/>
  <c r="BS49" i="1"/>
  <c r="BK52" i="1"/>
  <c r="BC55" i="1"/>
  <c r="CB55" i="1" s="1"/>
  <c r="BT32" i="1"/>
  <c r="BL58" i="1"/>
  <c r="BI55" i="1"/>
  <c r="BA58" i="1"/>
  <c r="BZ58" i="1" s="1"/>
  <c r="BQ60" i="1"/>
  <c r="BB55" i="1"/>
  <c r="CA55" i="1" s="1"/>
  <c r="BR57" i="1"/>
  <c r="BJ60" i="1"/>
  <c r="BL43" i="1"/>
  <c r="BD58" i="1"/>
  <c r="CC58" i="1" s="1"/>
  <c r="BK59" i="1"/>
  <c r="BL36" i="1"/>
  <c r="BT49" i="1"/>
  <c r="BD56" i="1"/>
  <c r="CC56" i="1" s="1"/>
  <c r="BE56" i="1"/>
  <c r="BE60" i="1"/>
  <c r="BD47" i="1"/>
  <c r="CC47" i="1" s="1"/>
  <c r="BD45" i="1"/>
  <c r="CC45" i="1" s="1"/>
  <c r="BD57" i="1"/>
  <c r="CC57" i="1" s="1"/>
  <c r="BU42" i="1"/>
  <c r="BP48" i="1"/>
  <c r="BH58" i="1"/>
  <c r="BU38" i="1"/>
  <c r="BU51" i="1"/>
  <c r="BV34" i="1"/>
  <c r="BV42" i="1"/>
  <c r="BV50" i="1"/>
  <c r="BV58" i="1"/>
  <c r="BW37" i="1"/>
  <c r="BW47" i="1"/>
  <c r="BW56" i="1"/>
  <c r="BV33" i="1"/>
  <c r="BH54" i="1"/>
  <c r="BS63" i="1"/>
  <c r="BK68" i="1"/>
  <c r="BC71" i="1"/>
  <c r="CB71" i="1" s="1"/>
  <c r="BS75" i="1"/>
  <c r="BK78" i="1"/>
  <c r="BC83" i="1"/>
  <c r="CB83" i="1" s="1"/>
  <c r="BS85" i="1"/>
  <c r="BK88" i="1"/>
  <c r="BQ81" i="1"/>
  <c r="BB75" i="1"/>
  <c r="CA75" i="1" s="1"/>
  <c r="BT62" i="1"/>
  <c r="BT91" i="1"/>
  <c r="BL65" i="1"/>
  <c r="BD70" i="1"/>
  <c r="CC70" i="1" s="1"/>
  <c r="BT72" i="1"/>
  <c r="BL77" i="1"/>
  <c r="BD80" i="1"/>
  <c r="CC80" i="1" s="1"/>
  <c r="BT84" i="1"/>
  <c r="BL87" i="1"/>
  <c r="BQ67" i="1"/>
  <c r="BA86" i="1"/>
  <c r="BZ86" i="1" s="1"/>
  <c r="BR82" i="1"/>
  <c r="BU63" i="1"/>
  <c r="BM66" i="1"/>
  <c r="BE71" i="1"/>
  <c r="BU73" i="1"/>
  <c r="BM78" i="1"/>
  <c r="BE81" i="1"/>
  <c r="BU85" i="1"/>
  <c r="BM88" i="1"/>
  <c r="BI62" i="1"/>
  <c r="BQ90" i="1"/>
  <c r="BR78" i="1"/>
  <c r="BN63" i="1"/>
  <c r="BF66" i="1"/>
  <c r="BV70" i="1"/>
  <c r="BN73" i="1"/>
  <c r="BF78" i="1"/>
  <c r="BV80" i="1"/>
  <c r="BN83" i="1"/>
  <c r="BF88" i="1"/>
  <c r="BV90" i="1"/>
  <c r="BA78" i="1"/>
  <c r="BZ78" i="1" s="1"/>
  <c r="BJ75" i="1"/>
  <c r="BO63" i="1"/>
  <c r="BG66" i="1"/>
  <c r="BW68" i="1"/>
  <c r="BO73" i="1"/>
  <c r="BG76" i="1"/>
  <c r="BW80" i="1"/>
  <c r="BO83" i="1"/>
  <c r="BG88" i="1"/>
  <c r="BW90" i="1"/>
  <c r="BI81" i="1"/>
  <c r="BJ66" i="1"/>
  <c r="BJ86" i="1"/>
  <c r="BP68" i="1"/>
  <c r="BP72" i="1"/>
  <c r="BH75" i="1"/>
  <c r="BP84" i="1"/>
  <c r="BP88" i="1"/>
  <c r="BA66" i="1"/>
  <c r="BZ66" i="1" s="1"/>
  <c r="BI84" i="1"/>
  <c r="BB78" i="1"/>
  <c r="CA78" i="1" s="1"/>
  <c r="BE75" i="1"/>
  <c r="BM84" i="1"/>
  <c r="BN68" i="1"/>
  <c r="BV77" i="1"/>
  <c r="BT83" i="1"/>
  <c r="BO70" i="1"/>
  <c r="BG86" i="1"/>
  <c r="BP62" i="1"/>
  <c r="BP86" i="1"/>
  <c r="BA63" i="1"/>
  <c r="BZ63" i="1" s="1"/>
  <c r="BI72" i="1"/>
  <c r="BI87" i="1"/>
  <c r="BB64" i="1"/>
  <c r="CA64" i="1" s="1"/>
  <c r="BR72" i="1"/>
  <c r="BJ81" i="1"/>
  <c r="BB90" i="1"/>
  <c r="CA90" i="1" s="1"/>
  <c r="BL83" i="1"/>
  <c r="BG77" i="1"/>
  <c r="BP78" i="1"/>
  <c r="BL67" i="1"/>
  <c r="BH93" i="1"/>
  <c r="BP102" i="1"/>
  <c r="BP110" i="1"/>
  <c r="BA87" i="1"/>
  <c r="BZ87" i="1" s="1"/>
  <c r="BI95" i="1"/>
  <c r="BA98" i="1"/>
  <c r="BZ98" i="1" s="1"/>
  <c r="BQ100" i="1"/>
  <c r="BI104" i="1"/>
  <c r="BT111" i="1"/>
  <c r="BL115" i="1"/>
  <c r="BM102" i="1"/>
  <c r="BE106" i="1"/>
  <c r="BU108" i="1"/>
  <c r="BM114" i="1"/>
  <c r="BF103" i="1"/>
  <c r="BV107" i="1"/>
  <c r="BN111" i="1"/>
  <c r="BR94" i="1"/>
  <c r="BD108" i="1"/>
  <c r="CC108" i="1" s="1"/>
  <c r="BT115" i="1"/>
  <c r="BL118" i="1"/>
  <c r="BE105" i="1"/>
  <c r="BE113" i="1"/>
  <c r="BU116" i="1"/>
  <c r="BM119" i="1"/>
  <c r="BN98" i="1"/>
  <c r="BN110" i="1"/>
  <c r="BN116" i="1"/>
  <c r="BV119" i="1"/>
  <c r="BQ118" i="1"/>
  <c r="BG94" i="1"/>
  <c r="BW96" i="1"/>
  <c r="BO99" i="1"/>
  <c r="BG102" i="1"/>
  <c r="BO105" i="1"/>
  <c r="BW109" i="1"/>
  <c r="BA120" i="1"/>
  <c r="BZ120" i="1" s="1"/>
  <c r="BP104" i="1"/>
  <c r="BH119" i="1"/>
  <c r="BI101" i="1"/>
  <c r="BI109" i="1"/>
  <c r="BB94" i="1"/>
  <c r="CA94" i="1" s="1"/>
  <c r="BJ108" i="1"/>
  <c r="BR115" i="1"/>
  <c r="BR118" i="1"/>
  <c r="BG117" i="1"/>
  <c r="BK103" i="1"/>
  <c r="BK111" i="1"/>
  <c r="BC117" i="1"/>
  <c r="CB117" i="1" s="1"/>
  <c r="BC120" i="1"/>
  <c r="CB120" i="1" s="1"/>
  <c r="BT110" i="1"/>
  <c r="BG120" i="1"/>
  <c r="BP112" i="1"/>
  <c r="BP130" i="1"/>
  <c r="BP136" i="1"/>
  <c r="BP142" i="1"/>
  <c r="BP146" i="1"/>
  <c r="BA135" i="1"/>
  <c r="BZ135" i="1" s="1"/>
  <c r="BQ137" i="1"/>
  <c r="BI140" i="1"/>
  <c r="BA145" i="1"/>
  <c r="BZ145" i="1" s="1"/>
  <c r="BQ147" i="1"/>
  <c r="BR133" i="1"/>
  <c r="BJ138" i="1"/>
  <c r="BB141" i="1"/>
  <c r="CA141" i="1" s="1"/>
  <c r="BS133" i="1"/>
  <c r="BK138" i="1"/>
  <c r="BC141" i="1"/>
  <c r="CB141" i="1" s="1"/>
  <c r="BS145" i="1"/>
  <c r="BN134" i="1"/>
  <c r="BF137" i="1"/>
  <c r="BV141" i="1"/>
  <c r="BN144" i="1"/>
  <c r="BO122" i="1"/>
  <c r="BO151" i="1"/>
  <c r="BK128" i="1"/>
  <c r="BJ134" i="1"/>
  <c r="BJ144" i="1"/>
  <c r="BB147" i="1"/>
  <c r="CA147" i="1" s="1"/>
  <c r="BR149" i="1"/>
  <c r="BN123" i="1"/>
  <c r="BG140" i="1"/>
  <c r="BC128" i="1"/>
  <c r="CB128" i="1" s="1"/>
  <c r="BC144" i="1"/>
  <c r="CB144" i="1" s="1"/>
  <c r="BS149" i="1"/>
  <c r="BV139" i="1"/>
  <c r="BO147" i="1"/>
  <c r="BT128" i="1"/>
  <c r="BL142" i="1"/>
  <c r="BF146" i="1"/>
  <c r="BO143" i="1"/>
  <c r="BM123" i="1"/>
  <c r="BE126" i="1"/>
  <c r="BU128" i="1"/>
  <c r="BU131" i="1"/>
  <c r="BE141" i="1"/>
  <c r="BG131" i="1"/>
  <c r="BO146" i="1"/>
  <c r="BD134" i="1"/>
  <c r="CC134" i="1" s="1"/>
  <c r="BD148" i="1"/>
  <c r="CC148" i="1" s="1"/>
  <c r="BE146" i="1"/>
  <c r="BO135" i="1"/>
  <c r="BF138" i="1"/>
  <c r="BQ133" i="1"/>
  <c r="BA149" i="1"/>
  <c r="BZ149" i="1" s="1"/>
  <c r="BT134" i="1"/>
  <c r="BT148" i="1"/>
  <c r="BU145" i="1"/>
  <c r="BG132" i="1"/>
  <c r="BD145" i="1"/>
  <c r="CC145" i="1" s="1"/>
  <c r="BM146" i="1"/>
  <c r="BV150" i="1"/>
  <c r="BW150" i="1"/>
  <c r="BR150" i="1"/>
  <c r="BU121" i="1"/>
  <c r="BU151" i="1"/>
  <c r="BF151" i="1"/>
  <c r="BE91" i="1"/>
  <c r="BT61" i="1"/>
  <c r="BD61" i="1"/>
  <c r="CC61" i="1" s="1"/>
  <c r="BB61" i="1"/>
  <c r="CA61" i="1" s="1"/>
  <c r="BC121" i="1"/>
  <c r="CB121" i="1" s="1"/>
  <c r="BH121" i="1"/>
  <c r="BR91" i="1"/>
  <c r="BJ41" i="1"/>
  <c r="BB44" i="1"/>
  <c r="CA44" i="1" s="1"/>
  <c r="BR46" i="1"/>
  <c r="BJ49" i="1"/>
  <c r="BB52" i="1"/>
  <c r="CA52" i="1" s="1"/>
  <c r="BP34" i="1"/>
  <c r="BK34" i="1"/>
  <c r="BC37" i="1"/>
  <c r="CB37" i="1" s="1"/>
  <c r="BS39" i="1"/>
  <c r="BK42" i="1"/>
  <c r="BC45" i="1"/>
  <c r="CB45" i="1" s="1"/>
  <c r="BS47" i="1"/>
  <c r="BK50" i="1"/>
  <c r="BC53" i="1"/>
  <c r="CB53" i="1" s="1"/>
  <c r="BS55" i="1"/>
  <c r="BD38" i="1"/>
  <c r="CC38" i="1" s="1"/>
  <c r="BT48" i="1"/>
  <c r="BA56" i="1"/>
  <c r="BZ56" i="1" s="1"/>
  <c r="BQ58" i="1"/>
  <c r="BT40" i="1"/>
  <c r="BR55" i="1"/>
  <c r="BJ58" i="1"/>
  <c r="BT36" i="1"/>
  <c r="BL33" i="1"/>
  <c r="BK57" i="1"/>
  <c r="BC60" i="1"/>
  <c r="CB60" i="1" s="1"/>
  <c r="BD42" i="1"/>
  <c r="CC42" i="1" s="1"/>
  <c r="BT39" i="1"/>
  <c r="BE53" i="1"/>
  <c r="BE57" i="1"/>
  <c r="BD36" i="1"/>
  <c r="CC36" i="1" s="1"/>
  <c r="BD37" i="1"/>
  <c r="CC37" i="1" s="1"/>
  <c r="BL59" i="1"/>
  <c r="BL57" i="1"/>
  <c r="BH40" i="1"/>
  <c r="BP50" i="1"/>
  <c r="BH60" i="1"/>
  <c r="BU41" i="1"/>
  <c r="BU54" i="1"/>
  <c r="BV36" i="1"/>
  <c r="BV44" i="1"/>
  <c r="BV52" i="1"/>
  <c r="BV60" i="1"/>
  <c r="BW40" i="1"/>
  <c r="BW49" i="1"/>
  <c r="BW58" i="1"/>
  <c r="BU36" i="1"/>
  <c r="AZ62" i="1"/>
  <c r="BK64" i="1"/>
  <c r="BC69" i="1"/>
  <c r="CB69" i="1" s="1"/>
  <c r="BS71" i="1"/>
  <c r="BK76" i="1"/>
  <c r="BC79" i="1"/>
  <c r="CB79" i="1" s="1"/>
  <c r="BS83" i="1"/>
  <c r="BK86" i="1"/>
  <c r="BI65" i="1"/>
  <c r="BQ85" i="1"/>
  <c r="BB79" i="1"/>
  <c r="CA79" i="1" s="1"/>
  <c r="BL63" i="1"/>
  <c r="BD68" i="1"/>
  <c r="CC68" i="1" s="1"/>
  <c r="BT70" i="1"/>
  <c r="BL73" i="1"/>
  <c r="BD78" i="1"/>
  <c r="CC78" i="1" s="1"/>
  <c r="BT80" i="1"/>
  <c r="BL85" i="1"/>
  <c r="BD88" i="1"/>
  <c r="CC88" i="1" s="1"/>
  <c r="BA74" i="1"/>
  <c r="BZ74" i="1" s="1"/>
  <c r="BJ67" i="1"/>
  <c r="BB86" i="1"/>
  <c r="CA86" i="1" s="1"/>
  <c r="BM64" i="1"/>
  <c r="BE69" i="1"/>
  <c r="BU71" i="1"/>
  <c r="BM74" i="1"/>
  <c r="BE79" i="1"/>
  <c r="BU81" i="1"/>
  <c r="BM86" i="1"/>
  <c r="BE89" i="1"/>
  <c r="BA68" i="1"/>
  <c r="BZ68" i="1" s="1"/>
  <c r="BJ63" i="1"/>
  <c r="BB85" i="1"/>
  <c r="CA85" i="1" s="1"/>
  <c r="BF64" i="1"/>
  <c r="BV66" i="1"/>
  <c r="BN71" i="1"/>
  <c r="BF74" i="1"/>
  <c r="BV78" i="1"/>
  <c r="BN81" i="1"/>
  <c r="BF86" i="1"/>
  <c r="BV88" i="1"/>
  <c r="BQ62" i="1"/>
  <c r="BA83" i="1"/>
  <c r="BZ83" i="1" s="1"/>
  <c r="BR79" i="1"/>
  <c r="BG64" i="1"/>
  <c r="BW66" i="1"/>
  <c r="BO71" i="1"/>
  <c r="BG74" i="1"/>
  <c r="BW76" i="1"/>
  <c r="BO81" i="1"/>
  <c r="BG84" i="1"/>
  <c r="BW88" i="1"/>
  <c r="BQ66" i="1"/>
  <c r="BI85" i="1"/>
  <c r="BR70" i="1"/>
  <c r="BP66" i="1"/>
  <c r="BH69" i="1"/>
  <c r="BH73" i="1"/>
  <c r="BP82" i="1"/>
  <c r="BH85" i="1"/>
  <c r="BH89" i="1"/>
  <c r="BI70" i="1"/>
  <c r="BB63" i="1"/>
  <c r="CA63" i="1" s="1"/>
  <c r="BR84" i="1"/>
  <c r="BE76" i="1"/>
  <c r="BK73" i="1"/>
  <c r="BN69" i="1"/>
  <c r="BV84" i="1"/>
  <c r="BG62" i="1"/>
  <c r="BO77" i="1"/>
  <c r="BK65" i="1"/>
  <c r="BP70" i="1"/>
  <c r="BP87" i="1"/>
  <c r="BA64" i="1"/>
  <c r="BZ64" i="1" s="1"/>
  <c r="BA79" i="1"/>
  <c r="BZ79" i="1" s="1"/>
  <c r="BA88" i="1"/>
  <c r="BZ88" i="1" s="1"/>
  <c r="BR64" i="1"/>
  <c r="BJ73" i="1"/>
  <c r="BB88" i="1"/>
  <c r="CA88" i="1" s="1"/>
  <c r="BR90" i="1"/>
  <c r="BF77" i="1"/>
  <c r="BO85" i="1"/>
  <c r="BC66" i="1"/>
  <c r="CB66" i="1" s="1"/>
  <c r="BT75" i="1"/>
  <c r="AZ94" i="1"/>
  <c r="BP96" i="1"/>
  <c r="BP99" i="1"/>
  <c r="BH103" i="1"/>
  <c r="BP107" i="1"/>
  <c r="BH111" i="1"/>
  <c r="BP115" i="1"/>
  <c r="BI92" i="1"/>
  <c r="BI121" i="1"/>
  <c r="BA96" i="1"/>
  <c r="BZ96" i="1" s="1"/>
  <c r="BQ98" i="1"/>
  <c r="BI102" i="1"/>
  <c r="BA106" i="1"/>
  <c r="BZ106" i="1" s="1"/>
  <c r="BQ110" i="1"/>
  <c r="BI114" i="1"/>
  <c r="BR93" i="1"/>
  <c r="BJ97" i="1"/>
  <c r="BB100" i="1"/>
  <c r="CA100" i="1" s="1"/>
  <c r="BR103" i="1"/>
  <c r="BJ107" i="1"/>
  <c r="BC56" i="1"/>
  <c r="CB56" i="1" s="1"/>
  <c r="BD40" i="1"/>
  <c r="CC40" i="1" s="1"/>
  <c r="BT52" i="1"/>
  <c r="BI56" i="1"/>
  <c r="BA59" i="1"/>
  <c r="BZ59" i="1" s="1"/>
  <c r="BL46" i="1"/>
  <c r="BB56" i="1"/>
  <c r="CA56" i="1" s="1"/>
  <c r="BR58" i="1"/>
  <c r="BT44" i="1"/>
  <c r="BL55" i="1"/>
  <c r="BS57" i="1"/>
  <c r="BK60" i="1"/>
  <c r="BD46" i="1"/>
  <c r="CC46" i="1" s="1"/>
  <c r="BT45" i="1"/>
  <c r="BM53" i="1"/>
  <c r="BM57" i="1"/>
  <c r="BT38" i="1"/>
  <c r="BD43" i="1"/>
  <c r="CC43" i="1" s="1"/>
  <c r="BL32" i="1"/>
  <c r="BD60" i="1"/>
  <c r="CC60" i="1" s="1"/>
  <c r="BP40" i="1"/>
  <c r="BH52" i="1"/>
  <c r="BU61" i="1"/>
  <c r="BU43" i="1"/>
  <c r="BU56" i="1"/>
  <c r="BV37" i="1"/>
  <c r="BV45" i="1"/>
  <c r="BV53" i="1"/>
  <c r="BW32" i="1"/>
  <c r="BW41" i="1"/>
  <c r="BW50" i="1"/>
  <c r="BW59" i="1"/>
  <c r="BU44" i="1"/>
  <c r="BC62" i="1"/>
  <c r="CB62" i="1" s="1"/>
  <c r="BC91" i="1"/>
  <c r="CB91" i="1" s="1"/>
  <c r="BS64" i="1"/>
  <c r="BK69" i="1"/>
  <c r="BC72" i="1"/>
  <c r="CB72" i="1" s="1"/>
  <c r="BS76" i="1"/>
  <c r="BK79" i="1"/>
  <c r="BC84" i="1"/>
  <c r="CB84" i="1" s="1"/>
  <c r="BS86" i="1"/>
  <c r="BA67" i="1"/>
  <c r="BZ67" i="1" s="1"/>
  <c r="BA89" i="1"/>
  <c r="BZ89" i="1" s="1"/>
  <c r="BR83" i="1"/>
  <c r="BT63" i="1"/>
  <c r="BL68" i="1"/>
  <c r="BD71" i="1"/>
  <c r="CC71" i="1" s="1"/>
  <c r="BT73" i="1"/>
  <c r="BL78" i="1"/>
  <c r="BD81" i="1"/>
  <c r="CC81" i="1" s="1"/>
  <c r="BT85" i="1"/>
  <c r="BL88" i="1"/>
  <c r="BI75" i="1"/>
  <c r="BB69" i="1"/>
  <c r="CA69" i="1" s="1"/>
  <c r="BE62" i="1"/>
  <c r="BU64" i="1"/>
  <c r="BM69" i="1"/>
  <c r="BE72" i="1"/>
  <c r="BU74" i="1"/>
  <c r="BM79" i="1"/>
  <c r="BE82" i="1"/>
  <c r="BU86" i="1"/>
  <c r="BM89" i="1"/>
  <c r="BQ69" i="1"/>
  <c r="BB66" i="1"/>
  <c r="CA66" i="1" s="1"/>
  <c r="BR86" i="1"/>
  <c r="BN64" i="1"/>
  <c r="BF67" i="1"/>
  <c r="BV71" i="1"/>
  <c r="BN74" i="1"/>
  <c r="BF79" i="1"/>
  <c r="BV81" i="1"/>
  <c r="BN86" i="1"/>
  <c r="BF89" i="1"/>
  <c r="BQ65" i="1"/>
  <c r="BA85" i="1"/>
  <c r="BZ85" i="1" s="1"/>
  <c r="BB83" i="1"/>
  <c r="CA83" i="1" s="1"/>
  <c r="BO64" i="1"/>
  <c r="BG67" i="1"/>
  <c r="BW71" i="1"/>
  <c r="BO74" i="1"/>
  <c r="BG79" i="1"/>
  <c r="BW81" i="1"/>
  <c r="BO84" i="1"/>
  <c r="BG89" i="1"/>
  <c r="BQ68" i="1"/>
  <c r="BQ86" i="1"/>
  <c r="BR75" i="1"/>
  <c r="BH64" i="1"/>
  <c r="BP69" i="1"/>
  <c r="BP73" i="1"/>
  <c r="BH76" i="1"/>
  <c r="BH80" i="1"/>
  <c r="BP85" i="1"/>
  <c r="BP89" i="1"/>
  <c r="BI73" i="1"/>
  <c r="BR66" i="1"/>
  <c r="BB87" i="1"/>
  <c r="CA87" i="1" s="1"/>
  <c r="BM76" i="1"/>
  <c r="BS90" i="1"/>
  <c r="BV69" i="1"/>
  <c r="BF85" i="1"/>
  <c r="BO62" i="1"/>
  <c r="BW77" i="1"/>
  <c r="BS81" i="1"/>
  <c r="BH71" i="1"/>
  <c r="BS65" i="1"/>
  <c r="BI64" i="1"/>
  <c r="BI79" i="1"/>
  <c r="BI88" i="1"/>
  <c r="BB65" i="1"/>
  <c r="CA65" i="1" s="1"/>
  <c r="BR73" i="1"/>
  <c r="BJ88" i="1"/>
  <c r="BS66" i="1"/>
  <c r="BF84" i="1"/>
  <c r="BW86" i="1"/>
  <c r="BI63" i="1"/>
  <c r="BT82" i="1"/>
  <c r="BH94" i="1"/>
  <c r="BP103" i="1"/>
  <c r="BP111" i="1"/>
  <c r="BQ92" i="1"/>
  <c r="BI96" i="1"/>
  <c r="BA99" i="1"/>
  <c r="BZ99" i="1" s="1"/>
  <c r="BQ102" i="1"/>
  <c r="BI106" i="1"/>
  <c r="BA111" i="1"/>
  <c r="BZ111" i="1" s="1"/>
  <c r="BQ114" i="1"/>
  <c r="BB95" i="1"/>
  <c r="CA95" i="1" s="1"/>
  <c r="BR97" i="1"/>
  <c r="BJ100" i="1"/>
  <c r="BB104" i="1"/>
  <c r="CA104" i="1" s="1"/>
  <c r="BR107" i="1"/>
  <c r="BJ112" i="1"/>
  <c r="BS89" i="1"/>
  <c r="BS93" i="1"/>
  <c r="BK97" i="1"/>
  <c r="BC100" i="1"/>
  <c r="CB100" i="1" s="1"/>
  <c r="BS102" i="1"/>
  <c r="BK106" i="1"/>
  <c r="BC112" i="1"/>
  <c r="CB112" i="1" s="1"/>
  <c r="BL92" i="1"/>
  <c r="BD95" i="1"/>
  <c r="CC95" i="1" s="1"/>
  <c r="BT98" i="1"/>
  <c r="BL101" i="1"/>
  <c r="BD105" i="1"/>
  <c r="CC105" i="1" s="1"/>
  <c r="BT107" i="1"/>
  <c r="BL113" i="1"/>
  <c r="BU68" i="1"/>
  <c r="BE94" i="1"/>
  <c r="BU96" i="1"/>
  <c r="BM100" i="1"/>
  <c r="BK32" i="1"/>
  <c r="BC35" i="1"/>
  <c r="CB35" i="1" s="1"/>
  <c r="BS37" i="1"/>
  <c r="BK40" i="1"/>
  <c r="BC43" i="1"/>
  <c r="CB43" i="1" s="1"/>
  <c r="BS45" i="1"/>
  <c r="BK48" i="1"/>
  <c r="BC51" i="1"/>
  <c r="CB51" i="1" s="1"/>
  <c r="BS53" i="1"/>
  <c r="BK56" i="1"/>
  <c r="BL44" i="1"/>
  <c r="BL56" i="1"/>
  <c r="BQ56" i="1"/>
  <c r="BI59" i="1"/>
  <c r="BT50" i="1"/>
  <c r="BJ56" i="1"/>
  <c r="BB59" i="1"/>
  <c r="CA59" i="1" s="1"/>
  <c r="BD52" i="1"/>
  <c r="CC52" i="1" s="1"/>
  <c r="BL39" i="1"/>
  <c r="BC58" i="1"/>
  <c r="CB58" i="1" s="1"/>
  <c r="BS60" i="1"/>
  <c r="BD50" i="1"/>
  <c r="CC50" i="1" s="1"/>
  <c r="BT51" i="1"/>
  <c r="BE54" i="1"/>
  <c r="BE58" i="1"/>
  <c r="BL42" i="1"/>
  <c r="BD49" i="1"/>
  <c r="CC49" i="1" s="1"/>
  <c r="BL40" i="1"/>
  <c r="BL60" i="1"/>
  <c r="BH44" i="1"/>
  <c r="BP52" i="1"/>
  <c r="BU32" i="1"/>
  <c r="BU45" i="1"/>
  <c r="BU57" i="1"/>
  <c r="BV38" i="1"/>
  <c r="BV46" i="1"/>
  <c r="BV54" i="1"/>
  <c r="BW33" i="1"/>
  <c r="BW42" i="1"/>
  <c r="BW51" i="1"/>
  <c r="BW60" i="1"/>
  <c r="BU52" i="1"/>
  <c r="BK62" i="1"/>
  <c r="BC67" i="1"/>
  <c r="CB67" i="1" s="1"/>
  <c r="BS69" i="1"/>
  <c r="BK72" i="1"/>
  <c r="BC77" i="1"/>
  <c r="CB77" i="1" s="1"/>
  <c r="BS79" i="1"/>
  <c r="BK84" i="1"/>
  <c r="BC87" i="1"/>
  <c r="CB87" i="1" s="1"/>
  <c r="BA69" i="1"/>
  <c r="BZ69" i="1" s="1"/>
  <c r="BI90" i="1"/>
  <c r="BJ85" i="1"/>
  <c r="BD64" i="1"/>
  <c r="CC64" i="1" s="1"/>
  <c r="BT68" i="1"/>
  <c r="BL71" i="1"/>
  <c r="BD76" i="1"/>
  <c r="CC76" i="1" s="1"/>
  <c r="BT78" i="1"/>
  <c r="BL81" i="1"/>
  <c r="BD86" i="1"/>
  <c r="CC86" i="1" s="1"/>
  <c r="BT88" i="1"/>
  <c r="BQ76" i="1"/>
  <c r="BJ70" i="1"/>
  <c r="BM62" i="1"/>
  <c r="BE65" i="1"/>
  <c r="BU69" i="1"/>
  <c r="BM72" i="1"/>
  <c r="BE77" i="1"/>
  <c r="BU79" i="1"/>
  <c r="BM82" i="1"/>
  <c r="BE87" i="1"/>
  <c r="BU89" i="1"/>
  <c r="BA73" i="1"/>
  <c r="BZ73" i="1" s="1"/>
  <c r="BB68" i="1"/>
  <c r="CA68" i="1" s="1"/>
  <c r="BF62" i="1"/>
  <c r="BV64" i="1"/>
  <c r="BN67" i="1"/>
  <c r="BF72" i="1"/>
  <c r="BV74" i="1"/>
  <c r="BN79" i="1"/>
  <c r="BF82" i="1"/>
  <c r="BV86" i="1"/>
  <c r="BN89" i="1"/>
  <c r="BI67" i="1"/>
  <c r="BI89" i="1"/>
  <c r="BR85" i="1"/>
  <c r="BW64" i="1"/>
  <c r="BO67" i="1"/>
  <c r="BG72" i="1"/>
  <c r="BW74" i="1"/>
  <c r="BO79" i="1"/>
  <c r="BG82" i="1"/>
  <c r="BW84" i="1"/>
  <c r="BO89" i="1"/>
  <c r="BQ70" i="1"/>
  <c r="BA90" i="1"/>
  <c r="BZ90" i="1" s="1"/>
  <c r="BJ77" i="1"/>
  <c r="BP64" i="1"/>
  <c r="BH67" i="1"/>
  <c r="BP76" i="1"/>
  <c r="BP80" i="1"/>
  <c r="BH83" i="1"/>
  <c r="BA75" i="1"/>
  <c r="BZ75" i="1" s="1"/>
  <c r="BR68" i="1"/>
  <c r="BE67" i="1"/>
  <c r="BU76" i="1"/>
  <c r="BL66" i="1"/>
  <c r="BF76" i="1"/>
  <c r="BV85" i="1"/>
  <c r="BW62" i="1"/>
  <c r="BG78" i="1"/>
  <c r="BT67" i="1"/>
  <c r="BH78" i="1"/>
  <c r="BS74" i="1"/>
  <c r="BQ64" i="1"/>
  <c r="BQ79" i="1"/>
  <c r="BQ88" i="1"/>
  <c r="BJ65" i="1"/>
  <c r="BB80" i="1"/>
  <c r="CA80" i="1" s="1"/>
  <c r="BR88" i="1"/>
  <c r="BK82" i="1"/>
  <c r="BN85" i="1"/>
  <c r="BU75" i="1"/>
  <c r="BQ71" i="1"/>
  <c r="BD90" i="1"/>
  <c r="CC90" i="1" s="1"/>
  <c r="BP94" i="1"/>
  <c r="BH97" i="1"/>
  <c r="BH101" i="1"/>
  <c r="BH109" i="1"/>
  <c r="BH117" i="1"/>
  <c r="BA94" i="1"/>
  <c r="BZ94" i="1" s="1"/>
  <c r="BQ96" i="1"/>
  <c r="BI99" i="1"/>
  <c r="BA103" i="1"/>
  <c r="BZ103" i="1" s="1"/>
  <c r="BQ106" i="1"/>
  <c r="BI111" i="1"/>
  <c r="BA116" i="1"/>
  <c r="BZ116" i="1" s="1"/>
  <c r="BJ95" i="1"/>
  <c r="BB98" i="1"/>
  <c r="CA98" i="1" s="1"/>
  <c r="BR100" i="1"/>
  <c r="BJ104" i="1"/>
  <c r="BB109" i="1"/>
  <c r="CA109" i="1" s="1"/>
  <c r="BR112" i="1"/>
  <c r="BC90" i="1"/>
  <c r="CB90" i="1" s="1"/>
  <c r="BC94" i="1"/>
  <c r="CB94" i="1" s="1"/>
  <c r="BS97" i="1"/>
  <c r="BK100" i="1"/>
  <c r="BC104" i="1"/>
  <c r="CB104" i="1" s="1"/>
  <c r="BS106" i="1"/>
  <c r="BK112" i="1"/>
  <c r="BT92" i="1"/>
  <c r="BL95" i="1"/>
  <c r="BD99" i="1"/>
  <c r="CC99" i="1" s="1"/>
  <c r="BT101" i="1"/>
  <c r="BL105" i="1"/>
  <c r="BH151" i="1"/>
  <c r="BQ41" i="1"/>
  <c r="BI44" i="1"/>
  <c r="BA47" i="1"/>
  <c r="BZ47" i="1" s="1"/>
  <c r="BQ49" i="1"/>
  <c r="BI52" i="1"/>
  <c r="BH34" i="1"/>
  <c r="BJ34" i="1"/>
  <c r="BB37" i="1"/>
  <c r="CA37" i="1" s="1"/>
  <c r="BR39" i="1"/>
  <c r="BJ42" i="1"/>
  <c r="BB45" i="1"/>
  <c r="CA45" i="1" s="1"/>
  <c r="BR47" i="1"/>
  <c r="BJ50" i="1"/>
  <c r="BB53" i="1"/>
  <c r="CA53" i="1" s="1"/>
  <c r="BS32" i="1"/>
  <c r="BK35" i="1"/>
  <c r="BC38" i="1"/>
  <c r="CB38" i="1" s="1"/>
  <c r="BS40" i="1"/>
  <c r="BK43" i="1"/>
  <c r="BC46" i="1"/>
  <c r="CB46" i="1" s="1"/>
  <c r="BS48" i="1"/>
  <c r="BK51" i="1"/>
  <c r="BC54" i="1"/>
  <c r="CB54" i="1" s="1"/>
  <c r="BS56" i="1"/>
  <c r="BD48" i="1"/>
  <c r="CC48" i="1" s="1"/>
  <c r="BD59" i="1"/>
  <c r="CC59" i="1" s="1"/>
  <c r="BA57" i="1"/>
  <c r="BZ57" i="1" s="1"/>
  <c r="BQ59" i="1"/>
  <c r="BL54" i="1"/>
  <c r="BR56" i="1"/>
  <c r="BJ59" i="1"/>
  <c r="BL47" i="1"/>
  <c r="BL45" i="1"/>
  <c r="BK58" i="1"/>
  <c r="BD51" i="1"/>
  <c r="CC51" i="1" s="1"/>
  <c r="BT53" i="1"/>
  <c r="BT35" i="1"/>
  <c r="BM54" i="1"/>
  <c r="BM58" i="1"/>
  <c r="BT46" i="1"/>
  <c r="BD33" i="1"/>
  <c r="CC33" i="1" s="1"/>
  <c r="BD44" i="1"/>
  <c r="CC44" i="1" s="1"/>
  <c r="BT60" i="1"/>
  <c r="BH46" i="1"/>
  <c r="BP54" i="1"/>
  <c r="BU33" i="1"/>
  <c r="BU46" i="1"/>
  <c r="BU59" i="1"/>
  <c r="BV39" i="1"/>
  <c r="BV47" i="1"/>
  <c r="BV55" i="1"/>
  <c r="BW34" i="1"/>
  <c r="BW43" i="1"/>
  <c r="BW52" i="1"/>
  <c r="BH38" i="1"/>
  <c r="BU58" i="1"/>
  <c r="BS62" i="1"/>
  <c r="BS91" i="1"/>
  <c r="BK67" i="1"/>
  <c r="BC70" i="1"/>
  <c r="CB70" i="1" s="1"/>
  <c r="BS72" i="1"/>
  <c r="BK77" i="1"/>
  <c r="BC80" i="1"/>
  <c r="CB80" i="1" s="1"/>
  <c r="BS84" i="1"/>
  <c r="BK87" i="1"/>
  <c r="BI74" i="1"/>
  <c r="BR67" i="1"/>
  <c r="BR87" i="1"/>
  <c r="BL64" i="1"/>
  <c r="BD69" i="1"/>
  <c r="CC69" i="1" s="1"/>
  <c r="BT71" i="1"/>
  <c r="BL76" i="1"/>
  <c r="BD79" i="1"/>
  <c r="CC79" i="1" s="1"/>
  <c r="BT81" i="1"/>
  <c r="BL86" i="1"/>
  <c r="BD89" i="1"/>
  <c r="CC89" i="1" s="1"/>
  <c r="BI78" i="1"/>
  <c r="BB74" i="1"/>
  <c r="CA74" i="1" s="1"/>
  <c r="BU62" i="1"/>
  <c r="BM65" i="1"/>
  <c r="BE70" i="1"/>
  <c r="BU72" i="1"/>
  <c r="BM77" i="1"/>
  <c r="BE80" i="1"/>
  <c r="BU82" i="1"/>
  <c r="BM87" i="1"/>
  <c r="BE90" i="1"/>
  <c r="BA82" i="1"/>
  <c r="BZ82" i="1" s="1"/>
  <c r="BB70" i="1"/>
  <c r="CA70" i="1" s="1"/>
  <c r="BN62" i="1"/>
  <c r="BF65" i="1"/>
  <c r="BV67" i="1"/>
  <c r="BN72" i="1"/>
  <c r="BF75" i="1"/>
  <c r="BV79" i="1"/>
  <c r="BN82" i="1"/>
  <c r="BF87" i="1"/>
  <c r="BV89" i="1"/>
  <c r="BI69" i="1"/>
  <c r="BB67" i="1"/>
  <c r="CA67" i="1" s="1"/>
  <c r="BJ87" i="1"/>
  <c r="BG65" i="1"/>
  <c r="BW67" i="1"/>
  <c r="BO72" i="1"/>
  <c r="BG75" i="1"/>
  <c r="BW79" i="1"/>
  <c r="BO82" i="1"/>
  <c r="BG87" i="1"/>
  <c r="BW89" i="1"/>
  <c r="BQ73" i="1"/>
  <c r="BI91" i="1"/>
  <c r="BJ79" i="1"/>
  <c r="BP67" i="1"/>
  <c r="BH74" i="1"/>
  <c r="BP83" i="1"/>
  <c r="BH90" i="1"/>
  <c r="BA77" i="1"/>
  <c r="BZ77" i="1" s="1"/>
  <c r="BB71" i="1"/>
  <c r="CA71" i="1" s="1"/>
  <c r="BU67" i="1"/>
  <c r="BE83" i="1"/>
  <c r="BT74" i="1"/>
  <c r="BN76" i="1"/>
  <c r="BK66" i="1"/>
  <c r="BG69" i="1"/>
  <c r="BW78" i="1"/>
  <c r="BD75" i="1"/>
  <c r="CC75" i="1" s="1"/>
  <c r="BH79" i="1"/>
  <c r="BC82" i="1"/>
  <c r="CB82" i="1" s="1"/>
  <c r="BA71" i="1"/>
  <c r="BZ71" i="1" s="1"/>
  <c r="BA80" i="1"/>
  <c r="BZ80" i="1" s="1"/>
  <c r="BC65" i="1"/>
  <c r="CB65" i="1" s="1"/>
  <c r="BR65" i="1"/>
  <c r="BJ80" i="1"/>
  <c r="BB89" i="1"/>
  <c r="CA89" i="1" s="1"/>
  <c r="BK89" i="1"/>
  <c r="BC73" i="1"/>
  <c r="CB73" i="1" s="1"/>
  <c r="BH63" i="1"/>
  <c r="BK61" i="1"/>
  <c r="BL90" i="1"/>
  <c r="BP97" i="1"/>
  <c r="BP101" i="1"/>
  <c r="BP109" i="1"/>
  <c r="BP117" i="1"/>
  <c r="BI94" i="1"/>
  <c r="BA97" i="1"/>
  <c r="BZ97" i="1" s="1"/>
  <c r="BQ99" i="1"/>
  <c r="BI103" i="1"/>
  <c r="BA108" i="1"/>
  <c r="BZ108" i="1" s="1"/>
  <c r="BQ111" i="1"/>
  <c r="BB92" i="1"/>
  <c r="CA92" i="1" s="1"/>
  <c r="BR95" i="1"/>
  <c r="BJ98" i="1"/>
  <c r="BB101" i="1"/>
  <c r="CA101" i="1" s="1"/>
  <c r="BR104" i="1"/>
  <c r="BJ109" i="1"/>
  <c r="BP151" i="1"/>
  <c r="BC151" i="1"/>
  <c r="CB151" i="1" s="1"/>
  <c r="BQ36" i="1"/>
  <c r="BI39" i="1"/>
  <c r="BA42" i="1"/>
  <c r="BZ42" i="1" s="1"/>
  <c r="BQ44" i="1"/>
  <c r="BI47" i="1"/>
  <c r="BA50" i="1"/>
  <c r="BZ50" i="1" s="1"/>
  <c r="BQ52" i="1"/>
  <c r="BB32" i="1"/>
  <c r="CA32" i="1" s="1"/>
  <c r="BR34" i="1"/>
  <c r="BJ37" i="1"/>
  <c r="BB40" i="1"/>
  <c r="CA40" i="1" s="1"/>
  <c r="BR42" i="1"/>
  <c r="BJ45" i="1"/>
  <c r="BB48" i="1"/>
  <c r="CA48" i="1" s="1"/>
  <c r="BR50" i="1"/>
  <c r="BJ53" i="1"/>
  <c r="BC33" i="1"/>
  <c r="CB33" i="1" s="1"/>
  <c r="BS35" i="1"/>
  <c r="BK38" i="1"/>
  <c r="BC41" i="1"/>
  <c r="CB41" i="1" s="1"/>
  <c r="BS43" i="1"/>
  <c r="BK46" i="1"/>
  <c r="BC49" i="1"/>
  <c r="CB49" i="1" s="1"/>
  <c r="BS51" i="1"/>
  <c r="BK54" i="1"/>
  <c r="BC57" i="1"/>
  <c r="CB57" i="1" s="1"/>
  <c r="BL52" i="1"/>
  <c r="BL41" i="1"/>
  <c r="BI57" i="1"/>
  <c r="BA60" i="1"/>
  <c r="BZ60" i="1" s="1"/>
  <c r="BT57" i="1"/>
  <c r="BB57" i="1"/>
  <c r="CA57" i="1" s="1"/>
  <c r="BR59" i="1"/>
  <c r="BL53" i="1"/>
  <c r="BL51" i="1"/>
  <c r="BS58" i="1"/>
  <c r="BD34" i="1"/>
  <c r="CC34" i="1" s="1"/>
  <c r="BT37" i="1"/>
  <c r="BT41" i="1"/>
  <c r="BE55" i="1"/>
  <c r="BE59" i="1"/>
  <c r="BL50" i="1"/>
  <c r="BD55" i="1"/>
  <c r="CC55" i="1" s="1"/>
  <c r="BL48" i="1"/>
  <c r="BU55" i="1"/>
  <c r="BP46" i="1"/>
  <c r="BH56" i="1"/>
  <c r="BU35" i="1"/>
  <c r="BU48" i="1"/>
  <c r="BU39" i="1"/>
  <c r="BV40" i="1"/>
  <c r="BV48" i="1"/>
  <c r="BV56" i="1"/>
  <c r="BW35" i="1"/>
  <c r="BW44" i="1"/>
  <c r="BW53" i="1"/>
  <c r="BP44" i="1"/>
  <c r="BU60" i="1"/>
  <c r="BC63" i="1"/>
  <c r="CB63" i="1" s="1"/>
  <c r="BS67" i="1"/>
  <c r="BK70" i="1"/>
  <c r="BC75" i="1"/>
  <c r="CB75" i="1" s="1"/>
  <c r="BS77" i="1"/>
  <c r="BK80" i="1"/>
  <c r="BC85" i="1"/>
  <c r="CB85" i="1" s="1"/>
  <c r="BS87" i="1"/>
  <c r="BI76" i="1"/>
  <c r="BJ69" i="1"/>
  <c r="BD62" i="1"/>
  <c r="CC62" i="1" s="1"/>
  <c r="BT64" i="1"/>
  <c r="BL69" i="1"/>
  <c r="BD72" i="1"/>
  <c r="CC72" i="1" s="1"/>
  <c r="BT76" i="1"/>
  <c r="BL79" i="1"/>
  <c r="BD84" i="1"/>
  <c r="CC84" i="1" s="1"/>
  <c r="BT86" i="1"/>
  <c r="BL89" i="1"/>
  <c r="BI82" i="1"/>
  <c r="BJ76" i="1"/>
  <c r="BE63" i="1"/>
  <c r="BU65" i="1"/>
  <c r="BM70" i="1"/>
  <c r="BE73" i="1"/>
  <c r="BU77" i="1"/>
  <c r="BM80" i="1"/>
  <c r="BE85" i="1"/>
  <c r="BU87" i="1"/>
  <c r="BM90" i="1"/>
  <c r="BQ84" i="1"/>
  <c r="BR74" i="1"/>
  <c r="BV62" i="1"/>
  <c r="BN65" i="1"/>
  <c r="BF70" i="1"/>
  <c r="BV72" i="1"/>
  <c r="BN75" i="1"/>
  <c r="BF80" i="1"/>
  <c r="BV82" i="1"/>
  <c r="BN87" i="1"/>
  <c r="BF90" i="1"/>
  <c r="BQ74" i="1"/>
  <c r="BR69" i="1"/>
  <c r="BW54" i="1"/>
  <c r="BO65" i="1"/>
  <c r="BG68" i="1"/>
  <c r="BW72" i="1"/>
  <c r="BO75" i="1"/>
  <c r="BG80" i="1"/>
  <c r="BW82" i="1"/>
  <c r="BO87" i="1"/>
  <c r="BG90" i="1"/>
  <c r="BQ75" i="1"/>
  <c r="BR62" i="1"/>
  <c r="BB82" i="1"/>
  <c r="CA82" i="1" s="1"/>
  <c r="BH65" i="1"/>
  <c r="BP74" i="1"/>
  <c r="BH77" i="1"/>
  <c r="BH81" i="1"/>
  <c r="BP90" i="1"/>
  <c r="BQ78" i="1"/>
  <c r="BJ74" i="1"/>
  <c r="BE68" i="1"/>
  <c r="BM83" i="1"/>
  <c r="BL82" i="1"/>
  <c r="BV76" i="1"/>
  <c r="BS73" i="1"/>
  <c r="BO69" i="1"/>
  <c r="BG85" i="1"/>
  <c r="BD83" i="1"/>
  <c r="CC83" i="1" s="1"/>
  <c r="BP79" i="1"/>
  <c r="BD74" i="1"/>
  <c r="CC74" i="1" s="1"/>
  <c r="BI71" i="1"/>
  <c r="BI80" i="1"/>
  <c r="BC74" i="1"/>
  <c r="CB74" i="1" s="1"/>
  <c r="BB72" i="1"/>
  <c r="CA72" i="1" s="1"/>
  <c r="BR80" i="1"/>
  <c r="BJ89" i="1"/>
  <c r="BD67" i="1"/>
  <c r="CC67" i="1" s="1"/>
  <c r="BK81" i="1"/>
  <c r="BH70" i="1"/>
  <c r="BK74" i="1"/>
  <c r="BT90" i="1"/>
  <c r="BH95" i="1"/>
  <c r="BH98" i="1"/>
  <c r="BH105" i="1"/>
  <c r="BH113" i="1"/>
  <c r="BQ94" i="1"/>
  <c r="BI97" i="1"/>
  <c r="BA100" i="1"/>
  <c r="BZ100" i="1" s="1"/>
  <c r="BQ103" i="1"/>
  <c r="BI108" i="1"/>
  <c r="BA112" i="1"/>
  <c r="BZ112" i="1" s="1"/>
  <c r="BJ92" i="1"/>
  <c r="BB96" i="1"/>
  <c r="CA96" i="1" s="1"/>
  <c r="BR98" i="1"/>
  <c r="BJ101" i="1"/>
  <c r="BB105" i="1"/>
  <c r="CA105" i="1" s="1"/>
  <c r="BR109" i="1"/>
  <c r="BJ113" i="1"/>
  <c r="BC92" i="1"/>
  <c r="CB92" i="1" s="1"/>
  <c r="BS94" i="1"/>
  <c r="BK98" i="1"/>
  <c r="BC101" i="1"/>
  <c r="CB101" i="1" s="1"/>
  <c r="BS104" i="1"/>
  <c r="BK108" i="1"/>
  <c r="BC113" i="1"/>
  <c r="CB113" i="1" s="1"/>
  <c r="BL93" i="1"/>
  <c r="BD97" i="1"/>
  <c r="CC97" i="1" s="1"/>
  <c r="BT99" i="1"/>
  <c r="BK151" i="1"/>
  <c r="BW151" i="1"/>
  <c r="BU49" i="1"/>
  <c r="BV32" i="1"/>
  <c r="BV41" i="1"/>
  <c r="BV49" i="1"/>
  <c r="BV57" i="1"/>
  <c r="BW36" i="1"/>
  <c r="BW45" i="1"/>
  <c r="BW55" i="1"/>
  <c r="BP60" i="1"/>
  <c r="BW38" i="1"/>
  <c r="BK63" i="1"/>
  <c r="BC68" i="1"/>
  <c r="CB68" i="1" s="1"/>
  <c r="BS70" i="1"/>
  <c r="BK75" i="1"/>
  <c r="BC78" i="1"/>
  <c r="CB78" i="1" s="1"/>
  <c r="BS80" i="1"/>
  <c r="BK85" i="1"/>
  <c r="BC88" i="1"/>
  <c r="CB88" i="1" s="1"/>
  <c r="BQ77" i="1"/>
  <c r="BJ71" i="1"/>
  <c r="BL62" i="1"/>
  <c r="BD65" i="1"/>
  <c r="CC65" i="1" s="1"/>
  <c r="BT69" i="1"/>
  <c r="BL72" i="1"/>
  <c r="BD77" i="1"/>
  <c r="CC77" i="1" s="1"/>
  <c r="BT79" i="1"/>
  <c r="BL84" i="1"/>
  <c r="BD87" i="1"/>
  <c r="CC87" i="1" s="1"/>
  <c r="BT89" i="1"/>
  <c r="BA84" i="1"/>
  <c r="BZ84" i="1" s="1"/>
  <c r="BJ78" i="1"/>
  <c r="BM63" i="1"/>
  <c r="BE66" i="1"/>
  <c r="BU70" i="1"/>
  <c r="BM73" i="1"/>
  <c r="BE78" i="1"/>
  <c r="BU80" i="1"/>
  <c r="BM85" i="1"/>
  <c r="BE88" i="1"/>
  <c r="BU90" i="1"/>
  <c r="BI86" i="1"/>
  <c r="BR76" i="1"/>
  <c r="BF63" i="1"/>
  <c r="BV65" i="1"/>
  <c r="BN70" i="1"/>
  <c r="BF73" i="1"/>
  <c r="BV75" i="1"/>
  <c r="BN80" i="1"/>
  <c r="BF83" i="1"/>
  <c r="BV87" i="1"/>
  <c r="BN90" i="1"/>
  <c r="BA76" i="1"/>
  <c r="BZ76" i="1" s="1"/>
  <c r="BR71" i="1"/>
  <c r="BG63" i="1"/>
  <c r="BW65" i="1"/>
  <c r="BO68" i="1"/>
  <c r="BG73" i="1"/>
  <c r="BW75" i="1"/>
  <c r="BO80" i="1"/>
  <c r="BG83" i="1"/>
  <c r="BW87" i="1"/>
  <c r="BO90" i="1"/>
  <c r="BI77" i="1"/>
  <c r="BR63" i="1"/>
  <c r="BB84" i="1"/>
  <c r="CA84" i="1" s="1"/>
  <c r="BP65" i="1"/>
  <c r="BH68" i="1"/>
  <c r="BH72" i="1"/>
  <c r="BP77" i="1"/>
  <c r="BP81" i="1"/>
  <c r="BH84" i="1"/>
  <c r="BH88" i="1"/>
  <c r="BA61" i="1"/>
  <c r="BZ61" i="1" s="1"/>
  <c r="BQ82" i="1"/>
  <c r="BB76" i="1"/>
  <c r="CA76" i="1" s="1"/>
  <c r="BM68" i="1"/>
  <c r="BU83" i="1"/>
  <c r="BF68" i="1"/>
  <c r="BN77" i="1"/>
  <c r="BT66" i="1"/>
  <c r="BW69" i="1"/>
  <c r="BW85" i="1"/>
  <c r="BH62" i="1"/>
  <c r="BH86" i="1"/>
  <c r="BD82" i="1"/>
  <c r="CC82" i="1" s="1"/>
  <c r="BA72" i="1"/>
  <c r="BZ72" i="1" s="1"/>
  <c r="BQ80" i="1"/>
  <c r="BC81" i="1"/>
  <c r="CB81" i="1" s="1"/>
  <c r="BJ72" i="1"/>
  <c r="BB81" i="1"/>
  <c r="CA81" i="1" s="1"/>
  <c r="BR89" i="1"/>
  <c r="BL75" i="1"/>
  <c r="BG70" i="1"/>
  <c r="BP71" i="1"/>
  <c r="BD66" i="1"/>
  <c r="CC66" i="1" s="1"/>
  <c r="BP95" i="1"/>
  <c r="BP98" i="1"/>
  <c r="BH102" i="1"/>
  <c r="BP105" i="1"/>
  <c r="BH110" i="1"/>
  <c r="BP113" i="1"/>
  <c r="BH118" i="1"/>
  <c r="BA95" i="1"/>
  <c r="BZ95" i="1" s="1"/>
  <c r="BQ97" i="1"/>
  <c r="BI100" i="1"/>
  <c r="BA104" i="1"/>
  <c r="BZ104" i="1" s="1"/>
  <c r="BQ108" i="1"/>
  <c r="BI112" i="1"/>
  <c r="BR92" i="1"/>
  <c r="BJ96" i="1"/>
  <c r="BB99" i="1"/>
  <c r="CA99" i="1" s="1"/>
  <c r="BR101" i="1"/>
  <c r="BJ105" i="1"/>
  <c r="BB111" i="1"/>
  <c r="CA111" i="1" s="1"/>
  <c r="BR113" i="1"/>
  <c r="BK92" i="1"/>
  <c r="BC96" i="1"/>
  <c r="CB96" i="1" s="1"/>
  <c r="BS98" i="1"/>
  <c r="BK101" i="1"/>
  <c r="BC105" i="1"/>
  <c r="CB105" i="1" s="1"/>
  <c r="BS108" i="1"/>
  <c r="BK113" i="1"/>
  <c r="BT93" i="1"/>
  <c r="BL97" i="1"/>
  <c r="BD100" i="1"/>
  <c r="CC100" i="1" s="1"/>
  <c r="BT102" i="1"/>
  <c r="BL106" i="1"/>
  <c r="BD111" i="1"/>
  <c r="CC111" i="1" s="1"/>
  <c r="BT114" i="1"/>
  <c r="BU92" i="1"/>
  <c r="BM95" i="1"/>
  <c r="BE99" i="1"/>
  <c r="BU101" i="1"/>
  <c r="BM104" i="1"/>
  <c r="BE108" i="1"/>
  <c r="BU112" i="1"/>
  <c r="BN93" i="1"/>
  <c r="BF96" i="1"/>
  <c r="BV99" i="1"/>
  <c r="BN102" i="1"/>
  <c r="BF107" i="1"/>
  <c r="BV109" i="1"/>
  <c r="BN115" i="1"/>
  <c r="BL104" i="1"/>
  <c r="BL112" i="1"/>
  <c r="BT117" i="1"/>
  <c r="BL120" i="1"/>
  <c r="BE97" i="1"/>
  <c r="BM111" i="1"/>
  <c r="BE116" i="1"/>
  <c r="BU118" i="1"/>
  <c r="BO110" i="1"/>
  <c r="BH100" i="1"/>
  <c r="BV106" i="1"/>
  <c r="BV114" i="1"/>
  <c r="BV118" i="1"/>
  <c r="BO108" i="1"/>
  <c r="BG118" i="1"/>
  <c r="BO93" i="1"/>
  <c r="BG96" i="1"/>
  <c r="BS151" i="1"/>
  <c r="BS121" i="1"/>
  <c r="BB112" i="1"/>
  <c r="CA112" i="1" s="1"/>
  <c r="BC89" i="1"/>
  <c r="CB89" i="1" s="1"/>
  <c r="BK93" i="1"/>
  <c r="BC97" i="1"/>
  <c r="CB97" i="1" s="1"/>
  <c r="BS99" i="1"/>
  <c r="BK102" i="1"/>
  <c r="BC106" i="1"/>
  <c r="CB106" i="1" s="1"/>
  <c r="BS110" i="1"/>
  <c r="BD92" i="1"/>
  <c r="CC92" i="1" s="1"/>
  <c r="BT94" i="1"/>
  <c r="BL98" i="1"/>
  <c r="BD101" i="1"/>
  <c r="CC101" i="1" s="1"/>
  <c r="BT103" i="1"/>
  <c r="BL107" i="1"/>
  <c r="BD113" i="1"/>
  <c r="CC113" i="1" s="1"/>
  <c r="BM67" i="1"/>
  <c r="BU93" i="1"/>
  <c r="BM96" i="1"/>
  <c r="BE100" i="1"/>
  <c r="BU102" i="1"/>
  <c r="BM106" i="1"/>
  <c r="BE110" i="1"/>
  <c r="BU114" i="1"/>
  <c r="BN94" i="1"/>
  <c r="BF97" i="1"/>
  <c r="BV100" i="1"/>
  <c r="BN103" i="1"/>
  <c r="BF108" i="1"/>
  <c r="BV111" i="1"/>
  <c r="BB108" i="1"/>
  <c r="CA108" i="1" s="1"/>
  <c r="BL108" i="1"/>
  <c r="BD116" i="1"/>
  <c r="CC116" i="1" s="1"/>
  <c r="BT118" i="1"/>
  <c r="BW117" i="1"/>
  <c r="BM105" i="1"/>
  <c r="BM113" i="1"/>
  <c r="BE117" i="1"/>
  <c r="BU119" i="1"/>
  <c r="BW114" i="1"/>
  <c r="BV98" i="1"/>
  <c r="BV110" i="1"/>
  <c r="BV116" i="1"/>
  <c r="BF120" i="1"/>
  <c r="BG111" i="1"/>
  <c r="BC103" i="1"/>
  <c r="CB103" i="1" s="1"/>
  <c r="BO94" i="1"/>
  <c r="BG97" i="1"/>
  <c r="BW99" i="1"/>
  <c r="BO102" i="1"/>
  <c r="BW105" i="1"/>
  <c r="BW110" i="1"/>
  <c r="BH104" i="1"/>
  <c r="BH114" i="1"/>
  <c r="BP119" i="1"/>
  <c r="BQ101" i="1"/>
  <c r="BQ109" i="1"/>
  <c r="BJ94" i="1"/>
  <c r="BR108" i="1"/>
  <c r="BB116" i="1"/>
  <c r="CA116" i="1" s="1"/>
  <c r="BB119" i="1"/>
  <c r="CA119" i="1" s="1"/>
  <c r="BG119" i="1"/>
  <c r="BS103" i="1"/>
  <c r="BK114" i="1"/>
  <c r="BK117" i="1"/>
  <c r="BK120" i="1"/>
  <c r="BU109" i="1"/>
  <c r="BO120" i="1"/>
  <c r="BN119" i="1"/>
  <c r="AZ125" i="1"/>
  <c r="AZ133" i="1"/>
  <c r="AZ141" i="1"/>
  <c r="BH127" i="1"/>
  <c r="BH131" i="1"/>
  <c r="BH137" i="1"/>
  <c r="BH143" i="1"/>
  <c r="BH147" i="1"/>
  <c r="BI123" i="1"/>
  <c r="BA128" i="1"/>
  <c r="BQ130" i="1"/>
  <c r="BI135" i="1"/>
  <c r="BA138" i="1"/>
  <c r="BZ138" i="1" s="1"/>
  <c r="BQ140" i="1"/>
  <c r="BI145" i="1"/>
  <c r="BA148" i="1"/>
  <c r="BZ148" i="1" s="1"/>
  <c r="BB124" i="1"/>
  <c r="CA124" i="1" s="1"/>
  <c r="BR128" i="1"/>
  <c r="BJ131" i="1"/>
  <c r="BB136" i="1"/>
  <c r="CA136" i="1" s="1"/>
  <c r="BR138" i="1"/>
  <c r="BJ141" i="1"/>
  <c r="BS123" i="1"/>
  <c r="BK126" i="1"/>
  <c r="BK131" i="1"/>
  <c r="BC134" i="1"/>
  <c r="CB134" i="1" s="1"/>
  <c r="BS138" i="1"/>
  <c r="BK141" i="1"/>
  <c r="BC146" i="1"/>
  <c r="CB146" i="1" s="1"/>
  <c r="BV124" i="1"/>
  <c r="BN127" i="1"/>
  <c r="BF132" i="1"/>
  <c r="BV134" i="1"/>
  <c r="BN137" i="1"/>
  <c r="BF142" i="1"/>
  <c r="BV144" i="1"/>
  <c r="BW122" i="1"/>
  <c r="BO127" i="1"/>
  <c r="BG130" i="1"/>
  <c r="BA134" i="1"/>
  <c r="BZ134" i="1" s="1"/>
  <c r="BR134" i="1"/>
  <c r="BR144" i="1"/>
  <c r="BJ147" i="1"/>
  <c r="BB150" i="1"/>
  <c r="CA150" i="1" s="1"/>
  <c r="BD137" i="1"/>
  <c r="CC137" i="1" s="1"/>
  <c r="BM136" i="1"/>
  <c r="BV131" i="1"/>
  <c r="BO142" i="1"/>
  <c r="BS128" i="1"/>
  <c r="BK144" i="1"/>
  <c r="BC150" i="1"/>
  <c r="CB150" i="1" s="1"/>
  <c r="BD126" i="1"/>
  <c r="CC126" i="1" s="1"/>
  <c r="BL140" i="1"/>
  <c r="BE140" i="1"/>
  <c r="BN149" i="1"/>
  <c r="BW149" i="1"/>
  <c r="BT130" i="1"/>
  <c r="BT143" i="1"/>
  <c r="BE142" i="1"/>
  <c r="BF149" i="1"/>
  <c r="BG145" i="1"/>
  <c r="BU123" i="1"/>
  <c r="BM126" i="1"/>
  <c r="BE129" i="1"/>
  <c r="BE132" i="1"/>
  <c r="BM143" i="1"/>
  <c r="BG123" i="1"/>
  <c r="BW148" i="1"/>
  <c r="BT135" i="1"/>
  <c r="BL149" i="1"/>
  <c r="BM148" i="1"/>
  <c r="BO136" i="1"/>
  <c r="BA125" i="1"/>
  <c r="BZ125" i="1" s="1"/>
  <c r="BI134" i="1"/>
  <c r="BQ149" i="1"/>
  <c r="BL136" i="1"/>
  <c r="BL150" i="1"/>
  <c r="BU147" i="1"/>
  <c r="BO140" i="1"/>
  <c r="BD150" i="1"/>
  <c r="CC150" i="1" s="1"/>
  <c r="BE150" i="1"/>
  <c r="BO132" i="1"/>
  <c r="BP124" i="1"/>
  <c r="BP141" i="1"/>
  <c r="BC127" i="1"/>
  <c r="CB127" i="1" s="1"/>
  <c r="BQ125" i="1"/>
  <c r="BT136" i="1"/>
  <c r="BT151" i="1"/>
  <c r="BP121" i="1"/>
  <c r="BV61" i="1"/>
  <c r="BC61" i="1"/>
  <c r="CB61" i="1" s="1"/>
  <c r="BR61" i="1"/>
  <c r="BD91" i="1"/>
  <c r="CC91" i="1" s="1"/>
  <c r="BG91" i="1"/>
  <c r="BG121" i="1"/>
  <c r="BE103" i="1"/>
  <c r="BU106" i="1"/>
  <c r="BM110" i="1"/>
  <c r="BF92" i="1"/>
  <c r="BV94" i="1"/>
  <c r="BN97" i="1"/>
  <c r="BF101" i="1"/>
  <c r="BV103" i="1"/>
  <c r="BN108" i="1"/>
  <c r="BF113" i="1"/>
  <c r="BD96" i="1"/>
  <c r="CC96" i="1" s="1"/>
  <c r="BT108" i="1"/>
  <c r="BL116" i="1"/>
  <c r="BD119" i="1"/>
  <c r="CC119" i="1" s="1"/>
  <c r="BW119" i="1"/>
  <c r="BU105" i="1"/>
  <c r="BU113" i="1"/>
  <c r="BM117" i="1"/>
  <c r="BM120" i="1"/>
  <c r="BW115" i="1"/>
  <c r="BF104" i="1"/>
  <c r="BF112" i="1"/>
  <c r="BF117" i="1"/>
  <c r="BN120" i="1"/>
  <c r="BG113" i="1"/>
  <c r="BG92" i="1"/>
  <c r="BW94" i="1"/>
  <c r="BO97" i="1"/>
  <c r="BG100" i="1"/>
  <c r="BW102" i="1"/>
  <c r="BO106" i="1"/>
  <c r="BW112" i="1"/>
  <c r="BS111" i="1"/>
  <c r="BH106" i="1"/>
  <c r="BP114" i="1"/>
  <c r="BA105" i="1"/>
  <c r="BZ105" i="1" s="1"/>
  <c r="BA113" i="1"/>
  <c r="BZ113" i="1" s="1"/>
  <c r="BB102" i="1"/>
  <c r="CA102" i="1" s="1"/>
  <c r="BB110" i="1"/>
  <c r="CA110" i="1" s="1"/>
  <c r="BR116" i="1"/>
  <c r="BJ119" i="1"/>
  <c r="BI113" i="1"/>
  <c r="BK107" i="1"/>
  <c r="BS114" i="1"/>
  <c r="BS117" i="1"/>
  <c r="BS120" i="1"/>
  <c r="BE120" i="1"/>
  <c r="BW120" i="1"/>
  <c r="BA109" i="1"/>
  <c r="BZ109" i="1" s="1"/>
  <c r="BP127" i="1"/>
  <c r="BP131" i="1"/>
  <c r="BP137" i="1"/>
  <c r="BP143" i="1"/>
  <c r="BP147" i="1"/>
  <c r="BQ123" i="1"/>
  <c r="BI128" i="1"/>
  <c r="BA131" i="1"/>
  <c r="BZ131" i="1" s="1"/>
  <c r="BQ135" i="1"/>
  <c r="BI138" i="1"/>
  <c r="BA143" i="1"/>
  <c r="BZ143" i="1" s="1"/>
  <c r="BQ145" i="1"/>
  <c r="BI148" i="1"/>
  <c r="BJ124" i="1"/>
  <c r="BB129" i="1"/>
  <c r="CA129" i="1" s="1"/>
  <c r="BR131" i="1"/>
  <c r="BJ136" i="1"/>
  <c r="BB139" i="1"/>
  <c r="CA139" i="1" s="1"/>
  <c r="BR141" i="1"/>
  <c r="BC124" i="1"/>
  <c r="CB124" i="1" s="1"/>
  <c r="BS126" i="1"/>
  <c r="BS131" i="1"/>
  <c r="BK134" i="1"/>
  <c r="BC139" i="1"/>
  <c r="CB139" i="1" s="1"/>
  <c r="BS141" i="1"/>
  <c r="BK146" i="1"/>
  <c r="BF125" i="1"/>
  <c r="BV127" i="1"/>
  <c r="BN132" i="1"/>
  <c r="BF135" i="1"/>
  <c r="BV137" i="1"/>
  <c r="BN142" i="1"/>
  <c r="BF145" i="1"/>
  <c r="BG125" i="1"/>
  <c r="BW127" i="1"/>
  <c r="BO130" i="1"/>
  <c r="BN139" i="1"/>
  <c r="BB135" i="1"/>
  <c r="CA135" i="1" s="1"/>
  <c r="BB145" i="1"/>
  <c r="CA145" i="1" s="1"/>
  <c r="BR147" i="1"/>
  <c r="BJ150" i="1"/>
  <c r="BT138" i="1"/>
  <c r="BM138" i="1"/>
  <c r="BV146" i="1"/>
  <c r="BG144" i="1"/>
  <c r="BC135" i="1"/>
  <c r="CB135" i="1" s="1"/>
  <c r="BS144" i="1"/>
  <c r="BK150" i="1"/>
  <c r="BT126" i="1"/>
  <c r="BD142" i="1"/>
  <c r="CC142" i="1" s="1"/>
  <c r="BU142" i="1"/>
  <c r="BO124" i="1"/>
  <c r="BL122" i="1"/>
  <c r="BL132" i="1"/>
  <c r="BT145" i="1"/>
  <c r="BE144" i="1"/>
  <c r="BO123" i="1"/>
  <c r="BG147" i="1"/>
  <c r="BE124" i="1"/>
  <c r="BU126" i="1"/>
  <c r="BM129" i="1"/>
  <c r="BE134" i="1"/>
  <c r="BM145" i="1"/>
  <c r="BW131" i="1"/>
  <c r="BB127" i="1"/>
  <c r="CA127" i="1" s="1"/>
  <c r="BL137" i="1"/>
  <c r="BE133" i="1"/>
  <c r="BV123" i="1"/>
  <c r="BG138" i="1"/>
  <c r="BI125" i="1"/>
  <c r="BQ134" i="1"/>
  <c r="BA150" i="1"/>
  <c r="BZ150" i="1" s="1"/>
  <c r="BL138" i="1"/>
  <c r="BM133" i="1"/>
  <c r="BU149" i="1"/>
  <c r="BW142" i="1"/>
  <c r="BT150" i="1"/>
  <c r="BM150" i="1"/>
  <c r="BG124" i="1"/>
  <c r="BH125" i="1"/>
  <c r="BH148" i="1"/>
  <c r="BK135" i="1"/>
  <c r="BI142" i="1"/>
  <c r="BS136" i="1"/>
  <c r="BT121" i="1"/>
  <c r="BB151" i="1"/>
  <c r="CA151" i="1" s="1"/>
  <c r="BW121" i="1"/>
  <c r="BN121" i="1"/>
  <c r="BO91" i="1"/>
  <c r="BL121" i="1"/>
  <c r="BO61" i="1"/>
  <c r="BO121" i="1"/>
  <c r="BD109" i="1"/>
  <c r="CC109" i="1" s="1"/>
  <c r="BT113" i="1"/>
  <c r="BE84" i="1"/>
  <c r="BM94" i="1"/>
  <c r="BE98" i="1"/>
  <c r="BU100" i="1"/>
  <c r="BM103" i="1"/>
  <c r="BE107" i="1"/>
  <c r="BU110" i="1"/>
  <c r="BN92" i="1"/>
  <c r="BF95" i="1"/>
  <c r="BV97" i="1"/>
  <c r="BN101" i="1"/>
  <c r="BF105" i="1"/>
  <c r="BV108" i="1"/>
  <c r="BN113" i="1"/>
  <c r="BL96" i="1"/>
  <c r="BD110" i="1"/>
  <c r="CC110" i="1" s="1"/>
  <c r="BT116" i="1"/>
  <c r="BL119" i="1"/>
  <c r="BA117" i="1"/>
  <c r="BZ117" i="1" s="1"/>
  <c r="BE109" i="1"/>
  <c r="BE115" i="1"/>
  <c r="BU117" i="1"/>
  <c r="BU120" i="1"/>
  <c r="BW116" i="1"/>
  <c r="BN104" i="1"/>
  <c r="BN112" i="1"/>
  <c r="BN117" i="1"/>
  <c r="BV120" i="1"/>
  <c r="BO114" i="1"/>
  <c r="BO92" i="1"/>
  <c r="BG95" i="1"/>
  <c r="BW97" i="1"/>
  <c r="BO100" i="1"/>
  <c r="BG103" i="1"/>
  <c r="BW106" i="1"/>
  <c r="BG114" i="1"/>
  <c r="BH92" i="1"/>
  <c r="BP106" i="1"/>
  <c r="BH120" i="1"/>
  <c r="BI105" i="1"/>
  <c r="BI115" i="1"/>
  <c r="BJ102" i="1"/>
  <c r="BJ110" i="1"/>
  <c r="BB117" i="1"/>
  <c r="CA117" i="1" s="1"/>
  <c r="BR119" i="1"/>
  <c r="BA119" i="1"/>
  <c r="BZ119" i="1" s="1"/>
  <c r="BS107" i="1"/>
  <c r="BC115" i="1"/>
  <c r="CB115" i="1" s="1"/>
  <c r="BC118" i="1"/>
  <c r="CB118" i="1" s="1"/>
  <c r="BG112" i="1"/>
  <c r="BF106" i="1"/>
  <c r="BP120" i="1"/>
  <c r="BI117" i="1"/>
  <c r="BH122" i="1"/>
  <c r="BH128" i="1"/>
  <c r="BH134" i="1"/>
  <c r="BH138" i="1"/>
  <c r="BH144" i="1"/>
  <c r="BH150" i="1"/>
  <c r="BA124" i="1"/>
  <c r="BZ124" i="1" s="1"/>
  <c r="BQ128" i="1"/>
  <c r="BI131" i="1"/>
  <c r="BA136" i="1"/>
  <c r="BZ136" i="1" s="1"/>
  <c r="BQ138" i="1"/>
  <c r="BI143" i="1"/>
  <c r="BA146" i="1"/>
  <c r="BZ146" i="1" s="1"/>
  <c r="BB122" i="1"/>
  <c r="CA122" i="1" s="1"/>
  <c r="BR124" i="1"/>
  <c r="BJ129" i="1"/>
  <c r="BB132" i="1"/>
  <c r="CA132" i="1" s="1"/>
  <c r="BR136" i="1"/>
  <c r="BJ139" i="1"/>
  <c r="BB144" i="1"/>
  <c r="CA144" i="1" s="1"/>
  <c r="BK124" i="1"/>
  <c r="BC129" i="1"/>
  <c r="CB129" i="1" s="1"/>
  <c r="BC132" i="1"/>
  <c r="CB132" i="1" s="1"/>
  <c r="BS134" i="1"/>
  <c r="BK139" i="1"/>
  <c r="BC142" i="1"/>
  <c r="CB142" i="1" s="1"/>
  <c r="BS146" i="1"/>
  <c r="BN125" i="1"/>
  <c r="BF128" i="1"/>
  <c r="BV132" i="1"/>
  <c r="BN135" i="1"/>
  <c r="BF140" i="1"/>
  <c r="BV142" i="1"/>
  <c r="BN145" i="1"/>
  <c r="BO125" i="1"/>
  <c r="BG128" i="1"/>
  <c r="BW130" i="1"/>
  <c r="BB126" i="1"/>
  <c r="CA126" i="1" s="1"/>
  <c r="BR135" i="1"/>
  <c r="BJ145" i="1"/>
  <c r="BB148" i="1"/>
  <c r="CA148" i="1" s="1"/>
  <c r="BL123" i="1"/>
  <c r="BT140" i="1"/>
  <c r="BU140" i="1"/>
  <c r="BF150" i="1"/>
  <c r="BG146" i="1"/>
  <c r="BS135" i="1"/>
  <c r="BC148" i="1"/>
  <c r="CB148" i="1" s="1"/>
  <c r="BS150" i="1"/>
  <c r="BD130" i="1"/>
  <c r="CC130" i="1" s="1"/>
  <c r="BD144" i="1"/>
  <c r="CC144" i="1" s="1"/>
  <c r="BU144" i="1"/>
  <c r="BW134" i="1"/>
  <c r="BD124" i="1"/>
  <c r="CC124" i="1" s="1"/>
  <c r="BL134" i="1"/>
  <c r="BL147" i="1"/>
  <c r="BU146" i="1"/>
  <c r="BO134" i="1"/>
  <c r="BO149" i="1"/>
  <c r="BM124" i="1"/>
  <c r="BE127" i="1"/>
  <c r="BE130" i="1"/>
  <c r="BM134" i="1"/>
  <c r="BE148" i="1"/>
  <c r="BW135" i="1"/>
  <c r="BD123" i="1"/>
  <c r="CC123" i="1" s="1"/>
  <c r="BL139" i="1"/>
  <c r="BU135" i="1"/>
  <c r="BN138" i="1"/>
  <c r="BW139" i="1"/>
  <c r="BA126" i="1"/>
  <c r="BZ126" i="1" s="1"/>
  <c r="BI141" i="1"/>
  <c r="BT122" i="1"/>
  <c r="BD140" i="1"/>
  <c r="CC140" i="1" s="1"/>
  <c r="BM135" i="1"/>
  <c r="BN122" i="1"/>
  <c r="BW144" i="1"/>
  <c r="BQ150" i="1"/>
  <c r="BA91" i="1"/>
  <c r="BZ91" i="1" s="1"/>
  <c r="BO139" i="1"/>
  <c r="BH132" i="1"/>
  <c r="BP148" i="1"/>
  <c r="BS143" i="1"/>
  <c r="BI149" i="1"/>
  <c r="BH61" i="1"/>
  <c r="BF121" i="1"/>
  <c r="BE61" i="1"/>
  <c r="BN61" i="1"/>
  <c r="BG61" i="1"/>
  <c r="BM121" i="1"/>
  <c r="BJ61" i="1"/>
  <c r="BW61" i="1"/>
  <c r="BB113" i="1"/>
  <c r="CA113" i="1" s="1"/>
  <c r="BK90" i="1"/>
  <c r="BK94" i="1"/>
  <c r="BC98" i="1"/>
  <c r="CB98" i="1" s="1"/>
  <c r="BS100" i="1"/>
  <c r="BK104" i="1"/>
  <c r="BC108" i="1"/>
  <c r="CB108" i="1" s="1"/>
  <c r="BS112" i="1"/>
  <c r="BD93" i="1"/>
  <c r="CC93" i="1" s="1"/>
  <c r="BT95" i="1"/>
  <c r="BL99" i="1"/>
  <c r="BD102" i="1"/>
  <c r="CC102" i="1" s="1"/>
  <c r="BT105" i="1"/>
  <c r="BL109" i="1"/>
  <c r="BD114" i="1"/>
  <c r="CC114" i="1" s="1"/>
  <c r="BE92" i="1"/>
  <c r="BU94" i="1"/>
  <c r="BM98" i="1"/>
  <c r="BE101" i="1"/>
  <c r="BU103" i="1"/>
  <c r="BM107" i="1"/>
  <c r="BE112" i="1"/>
  <c r="BV92" i="1"/>
  <c r="BN95" i="1"/>
  <c r="BF99" i="1"/>
  <c r="BV101" i="1"/>
  <c r="BN105" i="1"/>
  <c r="BF109" i="1"/>
  <c r="BV113" i="1"/>
  <c r="BT96" i="1"/>
  <c r="BL110" i="1"/>
  <c r="BD117" i="1"/>
  <c r="CC117" i="1" s="1"/>
  <c r="BT119" i="1"/>
  <c r="BI119" i="1"/>
  <c r="BM109" i="1"/>
  <c r="BM115" i="1"/>
  <c r="BE118" i="1"/>
  <c r="BG106" i="1"/>
  <c r="BW118" i="1"/>
  <c r="BV104" i="1"/>
  <c r="BV112" i="1"/>
  <c r="BV117" i="1"/>
  <c r="BW104" i="1"/>
  <c r="BO115" i="1"/>
  <c r="BW92" i="1"/>
  <c r="BO95" i="1"/>
  <c r="BG98" i="1"/>
  <c r="BW100" i="1"/>
  <c r="BO103" i="1"/>
  <c r="BG107" i="1"/>
  <c r="BG115" i="1"/>
  <c r="BP92" i="1"/>
  <c r="BH116" i="1"/>
  <c r="BA93" i="1"/>
  <c r="BZ93" i="1" s="1"/>
  <c r="BQ105" i="1"/>
  <c r="BQ115" i="1"/>
  <c r="BR102" i="1"/>
  <c r="BR110" i="1"/>
  <c r="BJ117" i="1"/>
  <c r="BB120" i="1"/>
  <c r="CA120" i="1" s="1"/>
  <c r="BC107" i="1"/>
  <c r="CB107" i="1" s="1"/>
  <c r="BC109" i="1"/>
  <c r="CB109" i="1" s="1"/>
  <c r="BS115" i="1"/>
  <c r="BK118" i="1"/>
  <c r="BO117" i="1"/>
  <c r="BN114" i="1"/>
  <c r="BJ116" i="1"/>
  <c r="BQ119" i="1"/>
  <c r="BP122" i="1"/>
  <c r="BP128" i="1"/>
  <c r="BP134" i="1"/>
  <c r="BP138" i="1"/>
  <c r="BP144" i="1"/>
  <c r="BP150" i="1"/>
  <c r="BI124" i="1"/>
  <c r="BA129" i="1"/>
  <c r="BZ129" i="1" s="1"/>
  <c r="BQ131" i="1"/>
  <c r="BI136" i="1"/>
  <c r="BA139" i="1"/>
  <c r="BZ139" i="1" s="1"/>
  <c r="BQ143" i="1"/>
  <c r="BI146" i="1"/>
  <c r="BJ122" i="1"/>
  <c r="BB125" i="1"/>
  <c r="CA125" i="1" s="1"/>
  <c r="BR129" i="1"/>
  <c r="BJ132" i="1"/>
  <c r="BB137" i="1"/>
  <c r="CA137" i="1" s="1"/>
  <c r="BR139" i="1"/>
  <c r="BC122" i="1"/>
  <c r="CB122" i="1" s="1"/>
  <c r="BS124" i="1"/>
  <c r="BK129" i="1"/>
  <c r="BK132" i="1"/>
  <c r="BC137" i="1"/>
  <c r="CB137" i="1" s="1"/>
  <c r="BS139" i="1"/>
  <c r="BK142" i="1"/>
  <c r="BC147" i="1"/>
  <c r="CB147" i="1" s="1"/>
  <c r="BV125" i="1"/>
  <c r="BN128" i="1"/>
  <c r="BF133" i="1"/>
  <c r="BV135" i="1"/>
  <c r="BN140" i="1"/>
  <c r="BF143" i="1"/>
  <c r="BV145" i="1"/>
  <c r="BW125" i="1"/>
  <c r="BO128" i="1"/>
  <c r="BG133" i="1"/>
  <c r="BJ126" i="1"/>
  <c r="BB142" i="1"/>
  <c r="CA142" i="1" s="1"/>
  <c r="BR145" i="1"/>
  <c r="BJ148" i="1"/>
  <c r="BD128" i="1"/>
  <c r="CC128" i="1" s="1"/>
  <c r="BT142" i="1"/>
  <c r="BM142" i="1"/>
  <c r="BO131" i="1"/>
  <c r="BO148" i="1"/>
  <c r="BC136" i="1"/>
  <c r="CB136" i="1" s="1"/>
  <c r="BK148" i="1"/>
  <c r="BD122" i="1"/>
  <c r="CC122" i="1" s="1"/>
  <c r="BT131" i="1"/>
  <c r="BD146" i="1"/>
  <c r="CC146" i="1" s="1"/>
  <c r="BM147" i="1"/>
  <c r="BG137" i="1"/>
  <c r="BT124" i="1"/>
  <c r="BD136" i="1"/>
  <c r="CC136" i="1" s="1"/>
  <c r="BD149" i="1"/>
  <c r="CC149" i="1" s="1"/>
  <c r="BU148" i="1"/>
  <c r="BG136" i="1"/>
  <c r="BA141" i="1"/>
  <c r="BZ141" i="1" s="1"/>
  <c r="BU124" i="1"/>
  <c r="BM127" i="1"/>
  <c r="BM130" i="1"/>
  <c r="BU134" i="1"/>
  <c r="BF123" i="1"/>
  <c r="BW137" i="1"/>
  <c r="BL127" i="1"/>
  <c r="BD141" i="1"/>
  <c r="CC141" i="1" s="1"/>
  <c r="BU137" i="1"/>
  <c r="BF147" i="1"/>
  <c r="BW141" i="1"/>
  <c r="BI126" i="1"/>
  <c r="BQ141" i="1"/>
  <c r="BD127" i="1"/>
  <c r="CC127" i="1" s="1"/>
  <c r="BT141" i="1"/>
  <c r="BM137" i="1"/>
  <c r="BV130" i="1"/>
  <c r="BW146" i="1"/>
  <c r="BU122" i="1"/>
  <c r="BQ151" i="1"/>
  <c r="BW140" i="1"/>
  <c r="BH133" i="1"/>
  <c r="BP149" i="1"/>
  <c r="BH124" i="1"/>
  <c r="BI150" i="1"/>
  <c r="BP61" i="1"/>
  <c r="BV121" i="1"/>
  <c r="BR151" i="1"/>
  <c r="BP91" i="1"/>
  <c r="BH91" i="1"/>
  <c r="BN91" i="1"/>
  <c r="BV91" i="1"/>
  <c r="BS61" i="1"/>
  <c r="BG151" i="1"/>
  <c r="BE121" i="1"/>
  <c r="BL102" i="1"/>
  <c r="BD106" i="1"/>
  <c r="CC106" i="1" s="1"/>
  <c r="BT109" i="1"/>
  <c r="BL114" i="1"/>
  <c r="BM92" i="1"/>
  <c r="BE95" i="1"/>
  <c r="BU98" i="1"/>
  <c r="BM101" i="1"/>
  <c r="BE104" i="1"/>
  <c r="BU107" i="1"/>
  <c r="BM112" i="1"/>
  <c r="BF93" i="1"/>
  <c r="BV95" i="1"/>
  <c r="BN99" i="1"/>
  <c r="BF102" i="1"/>
  <c r="BV105" i="1"/>
  <c r="BN109" i="1"/>
  <c r="BF115" i="1"/>
  <c r="BD104" i="1"/>
  <c r="CC104" i="1" s="1"/>
  <c r="BD112" i="1"/>
  <c r="CC112" i="1" s="1"/>
  <c r="BL117" i="1"/>
  <c r="BD120" i="1"/>
  <c r="CC120" i="1" s="1"/>
  <c r="BM97" i="1"/>
  <c r="BE111" i="1"/>
  <c r="BU115" i="1"/>
  <c r="BM118" i="1"/>
  <c r="BO109" i="1"/>
  <c r="BA115" i="1"/>
  <c r="BZ115" i="1" s="1"/>
  <c r="BN106" i="1"/>
  <c r="BF114" i="1"/>
  <c r="BN118" i="1"/>
  <c r="BW107" i="1"/>
  <c r="BO116" i="1"/>
  <c r="BG93" i="1"/>
  <c r="BW95" i="1"/>
  <c r="BO98" i="1"/>
  <c r="BG101" i="1"/>
  <c r="BW103" i="1"/>
  <c r="BO107" i="1"/>
  <c r="BG116" i="1"/>
  <c r="BH108" i="1"/>
  <c r="BP116" i="1"/>
  <c r="BI93" i="1"/>
  <c r="BA107" i="1"/>
  <c r="BZ107" i="1" s="1"/>
  <c r="BI116" i="1"/>
  <c r="BB106" i="1"/>
  <c r="CA106" i="1" s="1"/>
  <c r="BB114" i="1"/>
  <c r="CA114" i="1" s="1"/>
  <c r="BR117" i="1"/>
  <c r="BJ120" i="1"/>
  <c r="BC95" i="1"/>
  <c r="CB95" i="1" s="1"/>
  <c r="BK109" i="1"/>
  <c r="BC116" i="1"/>
  <c r="CB116" i="1" s="1"/>
  <c r="BS118" i="1"/>
  <c r="BO119" i="1"/>
  <c r="BF118" i="1"/>
  <c r="BK115" i="1"/>
  <c r="BI120" i="1"/>
  <c r="BH123" i="1"/>
  <c r="BH129" i="1"/>
  <c r="BH135" i="1"/>
  <c r="BH139" i="1"/>
  <c r="BH145" i="1"/>
  <c r="BA122" i="1"/>
  <c r="BZ122" i="1" s="1"/>
  <c r="BQ124" i="1"/>
  <c r="BI129" i="1"/>
  <c r="BA132" i="1"/>
  <c r="BZ132" i="1" s="1"/>
  <c r="BQ136" i="1"/>
  <c r="BI139" i="1"/>
  <c r="BA144" i="1"/>
  <c r="BZ144" i="1" s="1"/>
  <c r="BQ146" i="1"/>
  <c r="BR122" i="1"/>
  <c r="BJ125" i="1"/>
  <c r="BB130" i="1"/>
  <c r="CA130" i="1" s="1"/>
  <c r="BR132" i="1"/>
  <c r="BJ137" i="1"/>
  <c r="BB140" i="1"/>
  <c r="CA140" i="1" s="1"/>
  <c r="BK122" i="1"/>
  <c r="BC125" i="1"/>
  <c r="CB125" i="1" s="1"/>
  <c r="BS129" i="1"/>
  <c r="BS132" i="1"/>
  <c r="BK137" i="1"/>
  <c r="BC140" i="1"/>
  <c r="CB140" i="1" s="1"/>
  <c r="BS142" i="1"/>
  <c r="BK147" i="1"/>
  <c r="BF126" i="1"/>
  <c r="BV128" i="1"/>
  <c r="BN133" i="1"/>
  <c r="BF136" i="1"/>
  <c r="BV140" i="1"/>
  <c r="BN143" i="1"/>
  <c r="BF148" i="1"/>
  <c r="BG126" i="1"/>
  <c r="BW128" i="1"/>
  <c r="BO133" i="1"/>
  <c r="BR126" i="1"/>
  <c r="BR142" i="1"/>
  <c r="BB146" i="1"/>
  <c r="CA146" i="1" s="1"/>
  <c r="BR148" i="1"/>
  <c r="BL130" i="1"/>
  <c r="BT144" i="1"/>
  <c r="BM144" i="1"/>
  <c r="BG135" i="1"/>
  <c r="BV122" i="1"/>
  <c r="BK136" i="1"/>
  <c r="BS148" i="1"/>
  <c r="BT123" i="1"/>
  <c r="BL133" i="1"/>
  <c r="BT147" i="1"/>
  <c r="BM149" i="1"/>
  <c r="BG141" i="1"/>
  <c r="BL125" i="1"/>
  <c r="BT137" i="1"/>
  <c r="BM132" i="1"/>
  <c r="BU150" i="1"/>
  <c r="BO137" i="1"/>
  <c r="BE122" i="1"/>
  <c r="BE125" i="1"/>
  <c r="BU127" i="1"/>
  <c r="BU130" i="1"/>
  <c r="BE135" i="1"/>
  <c r="BN130" i="1"/>
  <c r="BG139" i="1"/>
  <c r="BD129" i="1"/>
  <c r="CC129" i="1" s="1"/>
  <c r="BD143" i="1"/>
  <c r="CC143" i="1" s="1"/>
  <c r="BU139" i="1"/>
  <c r="BV149" i="1"/>
  <c r="BW143" i="1"/>
  <c r="BQ126" i="1"/>
  <c r="BA142" i="1"/>
  <c r="BZ142" i="1" s="1"/>
  <c r="BL129" i="1"/>
  <c r="BL143" i="1"/>
  <c r="BM139" i="1"/>
  <c r="BV138" i="1"/>
  <c r="BG149" i="1"/>
  <c r="BU129" i="1"/>
  <c r="BF131" i="1"/>
  <c r="BW147" i="1"/>
  <c r="BP133" i="1"/>
  <c r="BJ135" i="1"/>
  <c r="BP125" i="1"/>
  <c r="BJ142" i="1"/>
  <c r="BJ91" i="1"/>
  <c r="BQ121" i="1"/>
  <c r="BU47" i="1"/>
  <c r="BA151" i="1"/>
  <c r="BZ151" i="1" s="1"/>
  <c r="BF91" i="1"/>
  <c r="BL61" i="1"/>
  <c r="BL91" i="1"/>
  <c r="BJ151" i="1"/>
  <c r="BN151" i="1"/>
  <c r="BW98" i="1"/>
  <c r="BO101" i="1"/>
  <c r="BG104" i="1"/>
  <c r="BG108" i="1"/>
  <c r="BO118" i="1"/>
  <c r="BP108" i="1"/>
  <c r="BP118" i="1"/>
  <c r="BQ93" i="1"/>
  <c r="BI107" i="1"/>
  <c r="BQ116" i="1"/>
  <c r="BJ106" i="1"/>
  <c r="BJ114" i="1"/>
  <c r="BB118" i="1"/>
  <c r="CA118" i="1" s="1"/>
  <c r="BR120" i="1"/>
  <c r="BK95" i="1"/>
  <c r="BS109" i="1"/>
  <c r="BK116" i="1"/>
  <c r="BK119" i="1"/>
  <c r="BI118" i="1"/>
  <c r="BG105" i="1"/>
  <c r="BC119" i="1"/>
  <c r="CB119" i="1" s="1"/>
  <c r="BP123" i="1"/>
  <c r="BP129" i="1"/>
  <c r="BP135" i="1"/>
  <c r="BP139" i="1"/>
  <c r="BP145" i="1"/>
  <c r="BI122" i="1"/>
  <c r="BA127" i="1"/>
  <c r="BZ127" i="1" s="1"/>
  <c r="BQ129" i="1"/>
  <c r="BI132" i="1"/>
  <c r="BA137" i="1"/>
  <c r="BZ137" i="1" s="1"/>
  <c r="BQ139" i="1"/>
  <c r="BI144" i="1"/>
  <c r="BA147" i="1"/>
  <c r="BZ147" i="1" s="1"/>
  <c r="BB123" i="1"/>
  <c r="CA123" i="1" s="1"/>
  <c r="BR125" i="1"/>
  <c r="BJ130" i="1"/>
  <c r="BB133" i="1"/>
  <c r="CA133" i="1" s="1"/>
  <c r="BR137" i="1"/>
  <c r="BJ140" i="1"/>
  <c r="BS122" i="1"/>
  <c r="BK125" i="1"/>
  <c r="BC130" i="1"/>
  <c r="CB130" i="1" s="1"/>
  <c r="BC133" i="1"/>
  <c r="CB133" i="1" s="1"/>
  <c r="BS137" i="1"/>
  <c r="BK140" i="1"/>
  <c r="BC145" i="1"/>
  <c r="CB145" i="1" s="1"/>
  <c r="BS147" i="1"/>
  <c r="BN126" i="1"/>
  <c r="BF129" i="1"/>
  <c r="BV133" i="1"/>
  <c r="BN136" i="1"/>
  <c r="BF141" i="1"/>
  <c r="BV143" i="1"/>
  <c r="BN148" i="1"/>
  <c r="BO126" i="1"/>
  <c r="BG129" i="1"/>
  <c r="BW133" i="1"/>
  <c r="BJ127" i="1"/>
  <c r="BB143" i="1"/>
  <c r="CA143" i="1" s="1"/>
  <c r="BJ146" i="1"/>
  <c r="BB149" i="1"/>
  <c r="CA149" i="1" s="1"/>
  <c r="BD132" i="1"/>
  <c r="CC132" i="1" s="1"/>
  <c r="BT146" i="1"/>
  <c r="BE147" i="1"/>
  <c r="BW136" i="1"/>
  <c r="BK127" i="1"/>
  <c r="BC143" i="1"/>
  <c r="CB143" i="1" s="1"/>
  <c r="BC149" i="1"/>
  <c r="CB149" i="1" s="1"/>
  <c r="BL124" i="1"/>
  <c r="BD135" i="1"/>
  <c r="CC135" i="1" s="1"/>
  <c r="BT149" i="1"/>
  <c r="BV147" i="1"/>
  <c r="BG143" i="1"/>
  <c r="BL126" i="1"/>
  <c r="BT139" i="1"/>
  <c r="BE136" i="1"/>
  <c r="BF122" i="1"/>
  <c r="BW138" i="1"/>
  <c r="BM122" i="1"/>
  <c r="BM125" i="1"/>
  <c r="BE128" i="1"/>
  <c r="BE131" i="1"/>
  <c r="BU136" i="1"/>
  <c r="BF139" i="1"/>
  <c r="BG142" i="1"/>
  <c r="BD131" i="1"/>
  <c r="CC131" i="1" s="1"/>
  <c r="BL144" i="1"/>
  <c r="BU141" i="1"/>
  <c r="BW123" i="1"/>
  <c r="BW145" i="1"/>
  <c r="BA133" i="1"/>
  <c r="BZ133" i="1" s="1"/>
  <c r="BQ142" i="1"/>
  <c r="BL131" i="1"/>
  <c r="BL145" i="1"/>
  <c r="BM141" i="1"/>
  <c r="BN147" i="1"/>
  <c r="BL128" i="1"/>
  <c r="BE138" i="1"/>
  <c r="BN146" i="1"/>
  <c r="BG150" i="1"/>
  <c r="BH140" i="1"/>
  <c r="BR143" i="1"/>
  <c r="BP132" i="1"/>
  <c r="BM151" i="1"/>
  <c r="BD151" i="1"/>
  <c r="CC151" i="1" s="1"/>
  <c r="BI61" i="1"/>
  <c r="BR121" i="1"/>
  <c r="BJ121" i="1"/>
  <c r="BQ91" i="1"/>
  <c r="BC131" i="1"/>
  <c r="CB131" i="1" s="1"/>
  <c r="BV151" i="1"/>
  <c r="BK91" i="1"/>
  <c r="BD121" i="1"/>
  <c r="CC121" i="1" s="1"/>
  <c r="BA110" i="1"/>
  <c r="BZ110" i="1" s="1"/>
  <c r="BQ112" i="1"/>
  <c r="BB93" i="1"/>
  <c r="CA93" i="1" s="1"/>
  <c r="BR96" i="1"/>
  <c r="BJ99" i="1"/>
  <c r="BB103" i="1"/>
  <c r="CA103" i="1" s="1"/>
  <c r="BR105" i="1"/>
  <c r="BJ111" i="1"/>
  <c r="BB115" i="1"/>
  <c r="CA115" i="1" s="1"/>
  <c r="BS92" i="1"/>
  <c r="BK96" i="1"/>
  <c r="BC99" i="1"/>
  <c r="CB99" i="1" s="1"/>
  <c r="BS101" i="1"/>
  <c r="BK105" i="1"/>
  <c r="BC110" i="1"/>
  <c r="CB110" i="1" s="1"/>
  <c r="BS113" i="1"/>
  <c r="BD94" i="1"/>
  <c r="CC94" i="1" s="1"/>
  <c r="BT97" i="1"/>
  <c r="BL100" i="1"/>
  <c r="BD103" i="1"/>
  <c r="CC103" i="1" s="1"/>
  <c r="BT106" i="1"/>
  <c r="BL111" i="1"/>
  <c r="BD115" i="1"/>
  <c r="CC115" i="1" s="1"/>
  <c r="BE93" i="1"/>
  <c r="BU95" i="1"/>
  <c r="BM99" i="1"/>
  <c r="BE102" i="1"/>
  <c r="BU104" i="1"/>
  <c r="BM108" i="1"/>
  <c r="BE114" i="1"/>
  <c r="BV93" i="1"/>
  <c r="BN96" i="1"/>
  <c r="BF100" i="1"/>
  <c r="BV102" i="1"/>
  <c r="BN107" i="1"/>
  <c r="BF111" i="1"/>
  <c r="BV115" i="1"/>
  <c r="BT104" i="1"/>
  <c r="BT112" i="1"/>
  <c r="BD118" i="1"/>
  <c r="CC118" i="1" s="1"/>
  <c r="BT120" i="1"/>
  <c r="BU97" i="1"/>
  <c r="BU111" i="1"/>
  <c r="BM116" i="1"/>
  <c r="BE119" i="1"/>
  <c r="BO111" i="1"/>
  <c r="BF98" i="1"/>
  <c r="BF110" i="1"/>
  <c r="BF116" i="1"/>
  <c r="BF119" i="1"/>
  <c r="BG109" i="1"/>
  <c r="BQ113" i="1"/>
  <c r="BW93" i="1"/>
  <c r="BO96" i="1"/>
  <c r="BG99" i="1"/>
  <c r="BW101" i="1"/>
  <c r="BO104" i="1"/>
  <c r="BW108" i="1"/>
  <c r="BQ117" i="1"/>
  <c r="BP100" i="1"/>
  <c r="BH112" i="1"/>
  <c r="BA101" i="1"/>
  <c r="BZ101" i="1" s="1"/>
  <c r="BQ107" i="1"/>
  <c r="BA118" i="1"/>
  <c r="BZ118" i="1" s="1"/>
  <c r="BR106" i="1"/>
  <c r="BR114" i="1"/>
  <c r="BJ118" i="1"/>
  <c r="BW111" i="1"/>
  <c r="BS95" i="1"/>
  <c r="BC111" i="1"/>
  <c r="CB111" i="1" s="1"/>
  <c r="BS116" i="1"/>
  <c r="BS119" i="1"/>
  <c r="BQ120" i="1"/>
  <c r="BO113" i="1"/>
  <c r="BS82" i="1"/>
  <c r="BH126" i="1"/>
  <c r="BH130" i="1"/>
  <c r="BH136" i="1"/>
  <c r="BH142" i="1"/>
  <c r="BH146" i="1"/>
  <c r="BQ122" i="1"/>
  <c r="BI127" i="1"/>
  <c r="BA130" i="1"/>
  <c r="BZ130" i="1" s="1"/>
  <c r="BQ132" i="1"/>
  <c r="BI137" i="1"/>
  <c r="BA140" i="1"/>
  <c r="BZ140" i="1" s="1"/>
  <c r="BQ144" i="1"/>
  <c r="BI147" i="1"/>
  <c r="BJ123" i="1"/>
  <c r="BB128" i="1"/>
  <c r="CA128" i="1" s="1"/>
  <c r="BR130" i="1"/>
  <c r="BJ133" i="1"/>
  <c r="BB138" i="1"/>
  <c r="CA138" i="1" s="1"/>
  <c r="BR140" i="1"/>
  <c r="BC123" i="1"/>
  <c r="CB123" i="1" s="1"/>
  <c r="BS125" i="1"/>
  <c r="BK130" i="1"/>
  <c r="BK133" i="1"/>
  <c r="BC138" i="1"/>
  <c r="CB138" i="1" s="1"/>
  <c r="BS140" i="1"/>
  <c r="BK145" i="1"/>
  <c r="BF124" i="1"/>
  <c r="BV126" i="1"/>
  <c r="BN129" i="1"/>
  <c r="BF134" i="1"/>
  <c r="BV136" i="1"/>
  <c r="BN141" i="1"/>
  <c r="BF144" i="1"/>
  <c r="BG122" i="1"/>
  <c r="BW126" i="1"/>
  <c r="BO129" i="1"/>
  <c r="BG134" i="1"/>
  <c r="BR127" i="1"/>
  <c r="BJ143" i="1"/>
  <c r="BR146" i="1"/>
  <c r="BJ149" i="1"/>
  <c r="BT133" i="1"/>
  <c r="BL148" i="1"/>
  <c r="BE149" i="1"/>
  <c r="BO138" i="1"/>
  <c r="BS127" i="1"/>
  <c r="BK143" i="1"/>
  <c r="BK149" i="1"/>
  <c r="BD125" i="1"/>
  <c r="CC125" i="1" s="1"/>
  <c r="BD138" i="1"/>
  <c r="CC138" i="1" s="1"/>
  <c r="BU132" i="1"/>
  <c r="BF130" i="1"/>
  <c r="BO145" i="1"/>
  <c r="BT127" i="1"/>
  <c r="BL141" i="1"/>
  <c r="BU138" i="1"/>
  <c r="BN131" i="1"/>
  <c r="BO141" i="1"/>
  <c r="BE123" i="1"/>
  <c r="BU125" i="1"/>
  <c r="BM128" i="1"/>
  <c r="BM131" i="1"/>
  <c r="BE139" i="1"/>
  <c r="BV148" i="1"/>
  <c r="BO144" i="1"/>
  <c r="BT132" i="1"/>
  <c r="BL146" i="1"/>
  <c r="BU143" i="1"/>
  <c r="BW132" i="1"/>
  <c r="BG148" i="1"/>
  <c r="BI133" i="1"/>
  <c r="BQ148" i="1"/>
  <c r="BD133" i="1"/>
  <c r="CC133" i="1" s="1"/>
  <c r="BD147" i="1"/>
  <c r="CC147" i="1" s="1"/>
  <c r="BE143" i="1"/>
  <c r="BW124" i="1"/>
  <c r="BT129" i="1"/>
  <c r="BE145" i="1"/>
  <c r="BN150" i="1"/>
  <c r="BO150" i="1"/>
  <c r="BP140" i="1"/>
  <c r="BB134" i="1"/>
  <c r="CA134" i="1" s="1"/>
  <c r="BH149" i="1"/>
  <c r="BE151" i="1"/>
  <c r="BU91" i="1"/>
  <c r="BM91" i="1"/>
  <c r="BM61" i="1"/>
  <c r="BB121" i="1"/>
  <c r="CA121" i="1" s="1"/>
  <c r="BI151" i="1"/>
  <c r="BK121" i="1"/>
  <c r="BW91" i="1"/>
  <c r="BB91" i="1"/>
  <c r="CA91" i="1" s="1"/>
  <c r="BL151" i="1"/>
  <c r="AZ149" i="1"/>
  <c r="AZ151" i="1"/>
  <c r="AZ55" i="1"/>
  <c r="AZ41" i="1"/>
  <c r="AZ46" i="1"/>
  <c r="AZ50" i="1"/>
  <c r="AZ54" i="1"/>
  <c r="AZ58" i="1"/>
  <c r="AZ67" i="1"/>
  <c r="AZ83" i="1"/>
  <c r="AZ97" i="1"/>
  <c r="AZ101" i="1"/>
  <c r="AZ109" i="1"/>
  <c r="AZ117" i="1"/>
  <c r="AZ120" i="1"/>
  <c r="AZ126" i="1"/>
  <c r="AZ134" i="1"/>
  <c r="AZ142" i="1"/>
  <c r="AZ150" i="1"/>
  <c r="AZ40" i="1"/>
  <c r="AZ76" i="1"/>
  <c r="AZ106" i="1"/>
  <c r="AZ33" i="1"/>
  <c r="AZ42" i="1"/>
  <c r="AZ47" i="1"/>
  <c r="AZ51" i="1"/>
  <c r="AZ38" i="1"/>
  <c r="AZ59" i="1"/>
  <c r="AZ70" i="1"/>
  <c r="AZ74" i="1"/>
  <c r="AZ86" i="1"/>
  <c r="AZ90" i="1"/>
  <c r="AZ104" i="1"/>
  <c r="AZ112" i="1"/>
  <c r="AZ116" i="1"/>
  <c r="AZ127" i="1"/>
  <c r="AZ135" i="1"/>
  <c r="AZ143" i="1"/>
  <c r="AZ80" i="1"/>
  <c r="AZ34" i="1"/>
  <c r="AZ43" i="1"/>
  <c r="AZ65" i="1"/>
  <c r="AZ71" i="1"/>
  <c r="AZ77" i="1"/>
  <c r="AZ81" i="1"/>
  <c r="AZ87" i="1"/>
  <c r="AZ95" i="1"/>
  <c r="AZ105" i="1"/>
  <c r="AZ113" i="1"/>
  <c r="AZ108" i="1"/>
  <c r="AZ128" i="1"/>
  <c r="AZ136" i="1"/>
  <c r="AZ144" i="1"/>
  <c r="AZ35" i="1"/>
  <c r="AZ68" i="1"/>
  <c r="AZ72" i="1"/>
  <c r="AZ84" i="1"/>
  <c r="AZ88" i="1"/>
  <c r="AZ102" i="1"/>
  <c r="AZ110" i="1"/>
  <c r="AZ118" i="1"/>
  <c r="AZ98" i="1"/>
  <c r="AZ129" i="1"/>
  <c r="AZ137" i="1"/>
  <c r="AZ145" i="1"/>
  <c r="AZ91" i="1"/>
  <c r="AZ36" i="1"/>
  <c r="AZ44" i="1"/>
  <c r="AZ48" i="1"/>
  <c r="AZ52" i="1"/>
  <c r="AZ56" i="1"/>
  <c r="AZ60" i="1"/>
  <c r="AZ75" i="1"/>
  <c r="AZ93" i="1"/>
  <c r="AZ100" i="1"/>
  <c r="AZ122" i="1"/>
  <c r="AZ130" i="1"/>
  <c r="AZ138" i="1"/>
  <c r="AZ146" i="1"/>
  <c r="AZ37" i="1"/>
  <c r="AZ45" i="1"/>
  <c r="AZ49" i="1"/>
  <c r="AZ53" i="1"/>
  <c r="AZ57" i="1"/>
  <c r="AZ66" i="1"/>
  <c r="AZ78" i="1"/>
  <c r="AZ82" i="1"/>
  <c r="AZ96" i="1"/>
  <c r="AZ99" i="1"/>
  <c r="AZ107" i="1"/>
  <c r="AZ115" i="1"/>
  <c r="AZ119" i="1"/>
  <c r="AZ123" i="1"/>
  <c r="AZ131" i="1"/>
  <c r="AZ139" i="1"/>
  <c r="AZ147" i="1"/>
  <c r="AZ64" i="1"/>
  <c r="AZ39" i="1"/>
  <c r="AZ61" i="1"/>
  <c r="AZ63" i="1"/>
  <c r="AZ69" i="1"/>
  <c r="AZ73" i="1"/>
  <c r="AZ79" i="1"/>
  <c r="AZ85" i="1"/>
  <c r="AZ89" i="1"/>
  <c r="AZ92" i="1"/>
  <c r="AZ103" i="1"/>
  <c r="AZ111" i="1"/>
  <c r="AZ114" i="1"/>
  <c r="AZ124" i="1"/>
  <c r="AZ132" i="1"/>
  <c r="AZ140" i="1"/>
  <c r="AZ148" i="1"/>
  <c r="AZ121" i="1"/>
  <c r="AZ10" i="1"/>
  <c r="AZ18" i="1"/>
  <c r="AZ13" i="1"/>
  <c r="AZ16" i="1"/>
  <c r="AZ21" i="1"/>
  <c r="AZ8" i="1"/>
  <c r="AZ29" i="1"/>
  <c r="AZ14" i="1"/>
  <c r="AZ22" i="1"/>
  <c r="AZ27" i="1"/>
  <c r="AZ26" i="1"/>
  <c r="AZ31" i="1"/>
  <c r="AZ5" i="1"/>
  <c r="AZ9" i="1"/>
  <c r="AZ3" i="1"/>
  <c r="AZ11" i="1"/>
  <c r="AZ19" i="1"/>
  <c r="AZ24" i="1"/>
  <c r="AZ4" i="1"/>
  <c r="AZ17" i="1"/>
  <c r="AZ30" i="1"/>
  <c r="AZ6" i="1"/>
  <c r="AZ12" i="1"/>
  <c r="AZ20" i="1"/>
  <c r="AZ25" i="1"/>
  <c r="AZ7" i="1"/>
  <c r="AZ15" i="1"/>
  <c r="AZ23" i="1"/>
  <c r="AZ28" i="1"/>
  <c r="AZ2" i="1"/>
  <c r="BZ128" i="1"/>
  <c r="BZ52" i="1"/>
  <c r="BF139" i="3" l="1"/>
  <c r="BG76" i="3"/>
  <c r="AZ150" i="3"/>
  <c r="BF136" i="3"/>
  <c r="AX87" i="3"/>
  <c r="BE89" i="3"/>
  <c r="BQ75" i="3"/>
  <c r="BB104" i="3"/>
  <c r="BT129" i="3"/>
  <c r="BL123" i="3"/>
  <c r="BS94" i="3"/>
  <c r="BD142" i="3"/>
  <c r="BH128" i="3"/>
  <c r="BF140" i="3"/>
  <c r="AY5" i="3"/>
  <c r="BJ43" i="3"/>
  <c r="BF127" i="3"/>
  <c r="BF125" i="3"/>
  <c r="AY58" i="3"/>
  <c r="BF128" i="3"/>
  <c r="BJ122" i="3"/>
  <c r="BF149" i="3"/>
  <c r="BH124" i="3"/>
  <c r="BC100" i="3"/>
  <c r="BU143" i="3"/>
  <c r="BU81" i="3"/>
  <c r="BH114" i="3"/>
  <c r="BK139" i="3"/>
  <c r="BB123" i="3"/>
  <c r="BH95" i="3"/>
  <c r="BU132" i="3"/>
  <c r="BE127" i="3"/>
  <c r="BN151" i="3"/>
  <c r="BK148" i="3"/>
  <c r="BH113" i="3"/>
  <c r="BH111" i="3"/>
  <c r="BG148" i="3"/>
  <c r="BK146" i="3"/>
  <c r="BN149" i="3"/>
  <c r="BN117" i="3"/>
  <c r="BO73" i="3"/>
  <c r="BA97" i="3"/>
  <c r="BH112" i="3"/>
  <c r="BN146" i="3"/>
  <c r="BC137" i="3"/>
  <c r="BM48" i="3"/>
  <c r="BK120" i="3"/>
  <c r="AY101" i="3"/>
  <c r="BB137" i="3"/>
  <c r="BS126" i="3"/>
  <c r="BT82" i="3"/>
  <c r="AY141" i="3"/>
  <c r="BF124" i="3"/>
  <c r="BH109" i="3"/>
  <c r="BH120" i="3"/>
  <c r="BJ82" i="3"/>
  <c r="BC143" i="3"/>
  <c r="BH118" i="3"/>
  <c r="BH92" i="3"/>
  <c r="BN132" i="3"/>
  <c r="BO61" i="3"/>
  <c r="BB55" i="3"/>
  <c r="BP114" i="3"/>
  <c r="BH121" i="3"/>
  <c r="BN135" i="3"/>
  <c r="BM142" i="3"/>
  <c r="BI129" i="3"/>
  <c r="BH99" i="3"/>
  <c r="BA102" i="3"/>
  <c r="BN130" i="3"/>
  <c r="BN144" i="3"/>
  <c r="BM51" i="3"/>
  <c r="BH107" i="3"/>
  <c r="BA118" i="3"/>
  <c r="BN138" i="3"/>
  <c r="BH94" i="3"/>
  <c r="BH106" i="3"/>
  <c r="BN125" i="3"/>
  <c r="AX88" i="3"/>
  <c r="BU87" i="3"/>
  <c r="BB65" i="3"/>
  <c r="BH102" i="3"/>
  <c r="BH137" i="3"/>
  <c r="BH98" i="3"/>
  <c r="BH119" i="3"/>
  <c r="BH115" i="3"/>
  <c r="BH103" i="3"/>
  <c r="BH97" i="3"/>
  <c r="BH96" i="3"/>
  <c r="BK128" i="3"/>
  <c r="BA114" i="3"/>
  <c r="AX44" i="3"/>
  <c r="BF58" i="3"/>
  <c r="AZ92" i="3"/>
  <c r="BM104" i="3"/>
  <c r="BA146" i="3"/>
  <c r="AZ143" i="3"/>
  <c r="BH105" i="3"/>
  <c r="BK151" i="3"/>
  <c r="BB151" i="3"/>
  <c r="BG127" i="3"/>
  <c r="BH93" i="3"/>
  <c r="BH117" i="3"/>
  <c r="BS87" i="3"/>
  <c r="BC86" i="3"/>
  <c r="BF108" i="3"/>
  <c r="BO126" i="3"/>
  <c r="BH101" i="3"/>
  <c r="BD85" i="3"/>
  <c r="BQ120" i="3"/>
  <c r="BH143" i="3"/>
  <c r="BJ44" i="3"/>
  <c r="BF101" i="3"/>
  <c r="BF144" i="3"/>
  <c r="AX69" i="3"/>
  <c r="BF147" i="3"/>
  <c r="BF129" i="3"/>
  <c r="BH135" i="3"/>
  <c r="BF106" i="3"/>
  <c r="BF142" i="3"/>
  <c r="BF137" i="3"/>
  <c r="BH148" i="3"/>
  <c r="BF132" i="3"/>
  <c r="BA126" i="3"/>
  <c r="BF150" i="3"/>
  <c r="AZ145" i="3"/>
  <c r="BU130" i="3"/>
  <c r="BF135" i="3"/>
  <c r="AZ141" i="3"/>
  <c r="AZ138" i="3"/>
  <c r="BM147" i="3"/>
  <c r="BF138" i="3"/>
  <c r="BL71" i="3"/>
  <c r="BM134" i="3"/>
  <c r="BQ130" i="3"/>
  <c r="BB131" i="3"/>
  <c r="BF145" i="3"/>
  <c r="BF146" i="3"/>
  <c r="BN35" i="3"/>
  <c r="BL111" i="3"/>
  <c r="BR151" i="3"/>
  <c r="BP140" i="3"/>
  <c r="BP106" i="3"/>
  <c r="BF123" i="3"/>
  <c r="BF126" i="3"/>
  <c r="BE36" i="3"/>
  <c r="BA45" i="3"/>
  <c r="BI136" i="3"/>
  <c r="BM46" i="3"/>
  <c r="BQ63" i="3"/>
  <c r="AY105" i="3"/>
  <c r="BE143" i="3"/>
  <c r="BL141" i="3"/>
  <c r="BE120" i="3"/>
  <c r="BL136" i="3"/>
  <c r="BM33" i="3"/>
  <c r="BG80" i="3"/>
  <c r="BP94" i="3"/>
  <c r="BE149" i="3"/>
  <c r="BL147" i="3"/>
  <c r="BR116" i="3"/>
  <c r="BF40" i="3"/>
  <c r="BG69" i="3"/>
  <c r="BP110" i="3"/>
  <c r="BP121" i="3"/>
  <c r="BE122" i="3"/>
  <c r="BP139" i="3"/>
  <c r="BL131" i="3"/>
  <c r="BF38" i="3"/>
  <c r="BG70" i="3"/>
  <c r="BP119" i="3"/>
  <c r="BL150" i="3"/>
  <c r="BF44" i="3"/>
  <c r="BE72" i="3"/>
  <c r="BP108" i="3"/>
  <c r="BL137" i="3"/>
  <c r="BF34" i="3"/>
  <c r="BN110" i="3"/>
  <c r="BC93" i="3"/>
  <c r="BL122" i="3"/>
  <c r="BB140" i="3"/>
  <c r="BB81" i="3"/>
  <c r="BF61" i="3"/>
  <c r="BC94" i="3"/>
  <c r="BT140" i="3"/>
  <c r="BT127" i="3"/>
  <c r="BB150" i="3"/>
  <c r="BQ86" i="3"/>
  <c r="BT149" i="3"/>
  <c r="BB138" i="3"/>
  <c r="BP97" i="3"/>
  <c r="BP118" i="3"/>
  <c r="BO51" i="3"/>
  <c r="BP95" i="3"/>
  <c r="BF24" i="3"/>
  <c r="BF9" i="3"/>
  <c r="BQ91" i="3"/>
  <c r="BB106" i="3"/>
  <c r="BB143" i="3"/>
  <c r="AX3" i="3"/>
  <c r="BC118" i="3"/>
  <c r="BM111" i="3"/>
  <c r="AZ123" i="3"/>
  <c r="AY127" i="3"/>
  <c r="BU30" i="3"/>
  <c r="BQ89" i="3"/>
  <c r="BP105" i="3"/>
  <c r="BL135" i="3"/>
  <c r="BI147" i="3"/>
  <c r="BF13" i="3"/>
  <c r="BQ66" i="3"/>
  <c r="AY112" i="3"/>
  <c r="BB99" i="3"/>
  <c r="BA145" i="3"/>
  <c r="BL132" i="3"/>
  <c r="BT124" i="3"/>
  <c r="BQ113" i="3"/>
  <c r="BJ119" i="3"/>
  <c r="BH125" i="3"/>
  <c r="AX131" i="3"/>
  <c r="BU25" i="3"/>
  <c r="BM44" i="3"/>
  <c r="BJ34" i="3"/>
  <c r="BF32" i="3"/>
  <c r="BJ33" i="3"/>
  <c r="BQ81" i="3"/>
  <c r="BG66" i="3"/>
  <c r="BP98" i="3"/>
  <c r="BP117" i="3"/>
  <c r="AY97" i="3"/>
  <c r="BC97" i="3"/>
  <c r="BL146" i="3"/>
  <c r="AZ136" i="3"/>
  <c r="AZ131" i="3"/>
  <c r="BH133" i="3"/>
  <c r="BT146" i="3"/>
  <c r="BL124" i="3"/>
  <c r="BL139" i="3"/>
  <c r="BB144" i="3"/>
  <c r="AY34" i="3"/>
  <c r="BU45" i="3"/>
  <c r="BI102" i="3"/>
  <c r="BO33" i="3"/>
  <c r="BO50" i="3"/>
  <c r="BJ52" i="3"/>
  <c r="AX27" i="3"/>
  <c r="BO43" i="3"/>
  <c r="BO59" i="3"/>
  <c r="BF56" i="3"/>
  <c r="BJ60" i="3"/>
  <c r="BQ69" i="3"/>
  <c r="BG71" i="3"/>
  <c r="BC98" i="3"/>
  <c r="BP115" i="3"/>
  <c r="BJ105" i="3"/>
  <c r="AY103" i="3"/>
  <c r="BC120" i="3"/>
  <c r="BP100" i="3"/>
  <c r="AZ147" i="3"/>
  <c r="BI138" i="3"/>
  <c r="BL129" i="3"/>
  <c r="BH151" i="3"/>
  <c r="BT125" i="3"/>
  <c r="BL140" i="3"/>
  <c r="BL126" i="3"/>
  <c r="BB139" i="3"/>
  <c r="BF27" i="3"/>
  <c r="BA42" i="3"/>
  <c r="BO60" i="3"/>
  <c r="BJ41" i="3"/>
  <c r="BJ32" i="3"/>
  <c r="BQ72" i="3"/>
  <c r="BG87" i="3"/>
  <c r="BP96" i="3"/>
  <c r="BJ121" i="3"/>
  <c r="AY111" i="3"/>
  <c r="BC103" i="3"/>
  <c r="BH134" i="3"/>
  <c r="BM125" i="3"/>
  <c r="AX125" i="3"/>
  <c r="BT151" i="3"/>
  <c r="BT141" i="3"/>
  <c r="BL151" i="3"/>
  <c r="BL134" i="3"/>
  <c r="BB147" i="3"/>
  <c r="BC10" i="3"/>
  <c r="BM32" i="3"/>
  <c r="BK97" i="3"/>
  <c r="BS144" i="3"/>
  <c r="BF8" i="3"/>
  <c r="BO36" i="3"/>
  <c r="BO47" i="3"/>
  <c r="BO34" i="3"/>
  <c r="BA58" i="3"/>
  <c r="BQ87" i="3"/>
  <c r="BG81" i="3"/>
  <c r="BP109" i="3"/>
  <c r="BP104" i="3"/>
  <c r="BC96" i="3"/>
  <c r="BC106" i="3"/>
  <c r="BK118" i="3"/>
  <c r="BB129" i="3"/>
  <c r="AY148" i="3"/>
  <c r="BH136" i="3"/>
  <c r="BT144" i="3"/>
  <c r="BL130" i="3"/>
  <c r="BL142" i="3"/>
  <c r="BB126" i="3"/>
  <c r="BN14" i="3"/>
  <c r="BJ24" i="3"/>
  <c r="AX59" i="3"/>
  <c r="BB40" i="3"/>
  <c r="BO39" i="3"/>
  <c r="BO44" i="3"/>
  <c r="BB34" i="3"/>
  <c r="BQ85" i="3"/>
  <c r="BG84" i="3"/>
  <c r="BP103" i="3"/>
  <c r="BP113" i="3"/>
  <c r="BP101" i="3"/>
  <c r="BC109" i="3"/>
  <c r="BQ93" i="3"/>
  <c r="BL143" i="3"/>
  <c r="BH146" i="3"/>
  <c r="BH144" i="3"/>
  <c r="BH131" i="3"/>
  <c r="BT128" i="3"/>
  <c r="BL138" i="3"/>
  <c r="BL145" i="3"/>
  <c r="BB134" i="3"/>
  <c r="BF20" i="3"/>
  <c r="BO32" i="3"/>
  <c r="BE45" i="3"/>
  <c r="BF59" i="3"/>
  <c r="BQ80" i="3"/>
  <c r="BG77" i="3"/>
  <c r="BP99" i="3"/>
  <c r="BC113" i="3"/>
  <c r="AZ100" i="3"/>
  <c r="BC95" i="3"/>
  <c r="AZ126" i="3"/>
  <c r="BA137" i="3"/>
  <c r="AY131" i="3"/>
  <c r="BH139" i="3"/>
  <c r="BL127" i="3"/>
  <c r="BT136" i="3"/>
  <c r="BL149" i="3"/>
  <c r="BB142" i="3"/>
  <c r="BQ30" i="3"/>
  <c r="AX77" i="3"/>
  <c r="BF50" i="3"/>
  <c r="BQ71" i="3"/>
  <c r="BJ102" i="3"/>
  <c r="AZ94" i="3"/>
  <c r="BT133" i="3"/>
  <c r="BF53" i="3"/>
  <c r="BF35" i="3"/>
  <c r="BE52" i="3"/>
  <c r="BO52" i="3"/>
  <c r="BQ78" i="3"/>
  <c r="BG89" i="3"/>
  <c r="AY96" i="3"/>
  <c r="BP107" i="3"/>
  <c r="BC114" i="3"/>
  <c r="BP93" i="3"/>
  <c r="AZ124" i="3"/>
  <c r="BU125" i="3"/>
  <c r="BH149" i="3"/>
  <c r="BT147" i="3"/>
  <c r="BL125" i="3"/>
  <c r="BT134" i="3"/>
  <c r="BA135" i="3"/>
  <c r="BF51" i="3"/>
  <c r="BJ36" i="3"/>
  <c r="BQ76" i="3"/>
  <c r="BG62" i="3"/>
  <c r="BB100" i="3"/>
  <c r="BP116" i="3"/>
  <c r="AZ103" i="3"/>
  <c r="BM106" i="3"/>
  <c r="AZ142" i="3"/>
  <c r="BN142" i="3"/>
  <c r="BT142" i="3"/>
  <c r="BN129" i="3"/>
  <c r="BH129" i="3"/>
  <c r="BB145" i="3"/>
  <c r="BT139" i="3"/>
  <c r="BL133" i="3"/>
  <c r="BB124" i="3"/>
  <c r="BB50" i="3"/>
  <c r="BP92" i="3"/>
  <c r="BM52" i="3"/>
  <c r="BO42" i="3"/>
  <c r="BF49" i="3"/>
  <c r="BJ53" i="3"/>
  <c r="BG72" i="3"/>
  <c r="BQ62" i="3"/>
  <c r="BP102" i="3"/>
  <c r="AZ135" i="3"/>
  <c r="BN127" i="3"/>
  <c r="BS141" i="3"/>
  <c r="BH147" i="3"/>
  <c r="AX137" i="3"/>
  <c r="BL128" i="3"/>
  <c r="BB148" i="3"/>
  <c r="BL148" i="3"/>
  <c r="BR135" i="3"/>
  <c r="BJ39" i="3"/>
  <c r="BJ61" i="3"/>
  <c r="BJ42" i="3"/>
  <c r="BM43" i="3"/>
  <c r="BF55" i="3"/>
  <c r="BJ51" i="3"/>
  <c r="BQ70" i="3"/>
  <c r="BG88" i="3"/>
  <c r="BP120" i="3"/>
  <c r="BP111" i="3"/>
  <c r="BT122" i="3"/>
  <c r="AZ130" i="3"/>
  <c r="BH142" i="3"/>
  <c r="BT126" i="3"/>
  <c r="BL144" i="3"/>
  <c r="BB130" i="3"/>
  <c r="BC40" i="3"/>
  <c r="BM80" i="3"/>
  <c r="BE102" i="3"/>
  <c r="BN108" i="3"/>
  <c r="BP148" i="3"/>
  <c r="BG147" i="3"/>
  <c r="BO41" i="3"/>
  <c r="BJ45" i="3"/>
  <c r="AX23" i="3"/>
  <c r="BC117" i="3"/>
  <c r="BJ57" i="3"/>
  <c r="BQ65" i="3"/>
  <c r="BP112" i="3"/>
  <c r="BC102" i="3"/>
  <c r="BQ121" i="3"/>
  <c r="AZ148" i="3"/>
  <c r="BN143" i="3"/>
  <c r="BH122" i="3"/>
  <c r="BQ128" i="3"/>
  <c r="BH138" i="3"/>
  <c r="BH126" i="3"/>
  <c r="BB133" i="3"/>
  <c r="BS72" i="3"/>
  <c r="BF103" i="3"/>
  <c r="BO135" i="3"/>
  <c r="BD144" i="3"/>
  <c r="BJ47" i="3"/>
  <c r="BJ35" i="3"/>
  <c r="BU9" i="3"/>
  <c r="BM39" i="3"/>
  <c r="BO55" i="3"/>
  <c r="BO38" i="3"/>
  <c r="BF46" i="3"/>
  <c r="BO45" i="3"/>
  <c r="BJ48" i="3"/>
  <c r="BJ38" i="3"/>
  <c r="AX84" i="3"/>
  <c r="BQ77" i="3"/>
  <c r="BQ83" i="3"/>
  <c r="AX68" i="3"/>
  <c r="BC104" i="3"/>
  <c r="BI121" i="3"/>
  <c r="BC107" i="3"/>
  <c r="BC112" i="3"/>
  <c r="BC121" i="3"/>
  <c r="AZ125" i="3"/>
  <c r="BN126" i="3"/>
  <c r="BN133" i="3"/>
  <c r="BR142" i="3"/>
  <c r="BU133" i="3"/>
  <c r="BU150" i="3"/>
  <c r="BG130" i="3"/>
  <c r="BC144" i="3"/>
  <c r="BF148" i="3"/>
  <c r="BF122" i="3"/>
  <c r="BH132" i="3"/>
  <c r="BR145" i="3"/>
  <c r="BT137" i="3"/>
  <c r="BT123" i="3"/>
  <c r="BB146" i="3"/>
  <c r="BB122" i="3"/>
  <c r="BM36" i="3"/>
  <c r="BO49" i="3"/>
  <c r="BO35" i="3"/>
  <c r="BF54" i="3"/>
  <c r="BF33" i="3"/>
  <c r="BJ56" i="3"/>
  <c r="BO58" i="3"/>
  <c r="AX72" i="3"/>
  <c r="BQ84" i="3"/>
  <c r="AX79" i="3"/>
  <c r="AX83" i="3"/>
  <c r="BF92" i="3"/>
  <c r="BE100" i="3"/>
  <c r="BI93" i="3"/>
  <c r="BC110" i="3"/>
  <c r="BC115" i="3"/>
  <c r="AZ101" i="3"/>
  <c r="BT132" i="3"/>
  <c r="AZ133" i="3"/>
  <c r="BN134" i="3"/>
  <c r="BN141" i="3"/>
  <c r="BU140" i="3"/>
  <c r="BU134" i="3"/>
  <c r="BN139" i="3"/>
  <c r="BC127" i="3"/>
  <c r="BF130" i="3"/>
  <c r="AX124" i="3"/>
  <c r="BH140" i="3"/>
  <c r="BB135" i="3"/>
  <c r="BT148" i="3"/>
  <c r="BT131" i="3"/>
  <c r="BB125" i="3"/>
  <c r="AZ86" i="3"/>
  <c r="AX70" i="3"/>
  <c r="AX91" i="3"/>
  <c r="BI111" i="3"/>
  <c r="BU147" i="3"/>
  <c r="BU122" i="3"/>
  <c r="BC134" i="3"/>
  <c r="BM56" i="3"/>
  <c r="BU47" i="3"/>
  <c r="BO53" i="3"/>
  <c r="BF57" i="3"/>
  <c r="BA43" i="3"/>
  <c r="BJ59" i="3"/>
  <c r="BJ58" i="3"/>
  <c r="BQ64" i="3"/>
  <c r="BQ73" i="3"/>
  <c r="BU71" i="3"/>
  <c r="AX63" i="3"/>
  <c r="BC116" i="3"/>
  <c r="BK112" i="3"/>
  <c r="BC105" i="3"/>
  <c r="BC92" i="3"/>
  <c r="BC99" i="3"/>
  <c r="AZ134" i="3"/>
  <c r="AZ151" i="3"/>
  <c r="BN147" i="3"/>
  <c r="BN128" i="3"/>
  <c r="BS138" i="3"/>
  <c r="BU137" i="3"/>
  <c r="BD135" i="3"/>
  <c r="BC139" i="3"/>
  <c r="BC141" i="3"/>
  <c r="BF143" i="3"/>
  <c r="BH150" i="3"/>
  <c r="AZ129" i="3"/>
  <c r="BT135" i="3"/>
  <c r="BT150" i="3"/>
  <c r="BB141" i="3"/>
  <c r="AZ149" i="3"/>
  <c r="BI114" i="3"/>
  <c r="BM53" i="3"/>
  <c r="BO56" i="3"/>
  <c r="BF36" i="3"/>
  <c r="BO37" i="3"/>
  <c r="BJ37" i="3"/>
  <c r="BO40" i="3"/>
  <c r="BQ67" i="3"/>
  <c r="BQ82" i="3"/>
  <c r="AX71" i="3"/>
  <c r="BQ101" i="3"/>
  <c r="BC101" i="3"/>
  <c r="BC119" i="3"/>
  <c r="BM101" i="3"/>
  <c r="AZ116" i="3"/>
  <c r="AZ144" i="3"/>
  <c r="AZ128" i="3"/>
  <c r="BN124" i="3"/>
  <c r="BN136" i="3"/>
  <c r="BS142" i="3"/>
  <c r="BU144" i="3"/>
  <c r="BC146" i="3"/>
  <c r="BC124" i="3"/>
  <c r="BF151" i="3"/>
  <c r="BU139" i="3"/>
  <c r="BH127" i="3"/>
  <c r="BN137" i="3"/>
  <c r="BT143" i="3"/>
  <c r="BO144" i="3"/>
  <c r="BP126" i="3"/>
  <c r="BB149" i="3"/>
  <c r="AZ137" i="3"/>
  <c r="AX81" i="3"/>
  <c r="AX78" i="3"/>
  <c r="BU151" i="3"/>
  <c r="BC128" i="3"/>
  <c r="BC131" i="3"/>
  <c r="BM57" i="3"/>
  <c r="BJ50" i="3"/>
  <c r="BO54" i="3"/>
  <c r="BF52" i="3"/>
  <c r="BF45" i="3"/>
  <c r="BJ54" i="3"/>
  <c r="BJ46" i="3"/>
  <c r="BQ79" i="3"/>
  <c r="BQ90" i="3"/>
  <c r="AX89" i="3"/>
  <c r="AX86" i="3"/>
  <c r="BN98" i="3"/>
  <c r="BC108" i="3"/>
  <c r="BK94" i="3"/>
  <c r="AZ132" i="3"/>
  <c r="AZ146" i="3"/>
  <c r="BN140" i="3"/>
  <c r="BN122" i="3"/>
  <c r="BU123" i="3"/>
  <c r="BG150" i="3"/>
  <c r="BQ147" i="3"/>
  <c r="BC129" i="3"/>
  <c r="BC138" i="3"/>
  <c r="BF133" i="3"/>
  <c r="BF134" i="3"/>
  <c r="BH145" i="3"/>
  <c r="BT130" i="3"/>
  <c r="BO124" i="3"/>
  <c r="BB128" i="3"/>
  <c r="AX122" i="3"/>
  <c r="BG146" i="3"/>
  <c r="BM40" i="3"/>
  <c r="BO48" i="3"/>
  <c r="BO57" i="3"/>
  <c r="BF39" i="3"/>
  <c r="BJ55" i="3"/>
  <c r="BJ49" i="3"/>
  <c r="BO46" i="3"/>
  <c r="BQ88" i="3"/>
  <c r="BQ74" i="3"/>
  <c r="AX75" i="3"/>
  <c r="AX62" i="3"/>
  <c r="BF100" i="3"/>
  <c r="BC111" i="3"/>
  <c r="BN115" i="3"/>
  <c r="AZ140" i="3"/>
  <c r="AZ122" i="3"/>
  <c r="BN145" i="3"/>
  <c r="BU149" i="3"/>
  <c r="BU141" i="3"/>
  <c r="BC140" i="3"/>
  <c r="BC147" i="3"/>
  <c r="BC145" i="3"/>
  <c r="BF141" i="3"/>
  <c r="BH123" i="3"/>
  <c r="BH130" i="3"/>
  <c r="BT138" i="3"/>
  <c r="BU124" i="3"/>
  <c r="BB136" i="3"/>
  <c r="BA19" i="3"/>
  <c r="BN131" i="3"/>
  <c r="AX82" i="3"/>
  <c r="BE111" i="3"/>
  <c r="BC148" i="3"/>
  <c r="BU148" i="3"/>
  <c r="BC122" i="3"/>
  <c r="BC136" i="3"/>
  <c r="AX64" i="3"/>
  <c r="AX90" i="3"/>
  <c r="BU127" i="3"/>
  <c r="BC150" i="3"/>
  <c r="BU131" i="3"/>
  <c r="BC126" i="3"/>
  <c r="BM61" i="3"/>
  <c r="BJ40" i="3"/>
  <c r="BQ68" i="3"/>
  <c r="BF117" i="3"/>
  <c r="AZ127" i="3"/>
  <c r="BN148" i="3"/>
  <c r="BT145" i="3"/>
  <c r="BN150" i="3"/>
  <c r="BU145" i="3"/>
  <c r="BB127" i="3"/>
  <c r="BC133" i="3"/>
  <c r="BH141" i="3"/>
  <c r="AZ139" i="3"/>
  <c r="BB132" i="3"/>
  <c r="AX85" i="3"/>
  <c r="BU128" i="3"/>
  <c r="BU142" i="3"/>
  <c r="BC149" i="3"/>
  <c r="BC151" i="3"/>
  <c r="AX65" i="3"/>
  <c r="AX76" i="3"/>
  <c r="BC125" i="3"/>
  <c r="BU135" i="3"/>
  <c r="BU138" i="3"/>
  <c r="BC135" i="3"/>
  <c r="BC132" i="3"/>
  <c r="BC142" i="3"/>
  <c r="BJ72" i="3"/>
  <c r="AX73" i="3"/>
  <c r="AX74" i="3"/>
  <c r="BU129" i="3"/>
  <c r="BU126" i="3"/>
  <c r="BC123" i="3"/>
  <c r="AY10" i="3"/>
  <c r="AX67" i="3"/>
  <c r="AX80" i="3"/>
  <c r="BU136" i="3"/>
  <c r="BU146" i="3"/>
  <c r="BC130" i="3"/>
  <c r="BR131" i="3"/>
  <c r="AX100" i="3"/>
  <c r="BT116" i="3"/>
  <c r="BL97" i="3"/>
  <c r="BR101" i="3"/>
  <c r="BO92" i="3"/>
  <c r="BM133" i="3"/>
  <c r="BI144" i="3"/>
  <c r="BQ133" i="3"/>
  <c r="BR2" i="3"/>
  <c r="AZ99" i="3"/>
  <c r="BM103" i="3"/>
  <c r="AY147" i="3"/>
  <c r="BF109" i="3"/>
  <c r="BD124" i="3"/>
  <c r="BO151" i="3"/>
  <c r="BB89" i="3"/>
  <c r="BC90" i="3"/>
  <c r="BL90" i="3"/>
  <c r="BT112" i="3"/>
  <c r="AX116" i="3"/>
  <c r="BL99" i="3"/>
  <c r="BM150" i="3"/>
  <c r="BI148" i="3"/>
  <c r="BI146" i="3"/>
  <c r="BI122" i="3"/>
  <c r="BE130" i="3"/>
  <c r="BE135" i="3"/>
  <c r="BE140" i="3"/>
  <c r="BR126" i="3"/>
  <c r="BR150" i="3"/>
  <c r="BR133" i="3"/>
  <c r="BM146" i="3"/>
  <c r="BM148" i="3"/>
  <c r="BM149" i="3"/>
  <c r="BQ126" i="3"/>
  <c r="BQ135" i="3"/>
  <c r="BQ141" i="3"/>
  <c r="BQ131" i="3"/>
  <c r="BO106" i="3"/>
  <c r="AX109" i="3"/>
  <c r="BR110" i="3"/>
  <c r="BL114" i="3"/>
  <c r="BM136" i="3"/>
  <c r="BI130" i="3"/>
  <c r="BI128" i="3"/>
  <c r="BE125" i="3"/>
  <c r="BE137" i="3"/>
  <c r="BE142" i="3"/>
  <c r="BE124" i="3"/>
  <c r="BR139" i="3"/>
  <c r="BR134" i="3"/>
  <c r="BR127" i="3"/>
  <c r="BR141" i="3"/>
  <c r="BM140" i="3"/>
  <c r="BM127" i="3"/>
  <c r="BM141" i="3"/>
  <c r="BQ134" i="3"/>
  <c r="BQ148" i="3"/>
  <c r="BQ146" i="3"/>
  <c r="BQ139" i="3"/>
  <c r="BO110" i="3"/>
  <c r="BI137" i="3"/>
  <c r="BI143" i="3"/>
  <c r="BI149" i="3"/>
  <c r="BE150" i="3"/>
  <c r="BE134" i="3"/>
  <c r="BE144" i="3"/>
  <c r="BR149" i="3"/>
  <c r="BR122" i="3"/>
  <c r="BR143" i="3"/>
  <c r="BR128" i="3"/>
  <c r="BM126" i="3"/>
  <c r="BM124" i="3"/>
  <c r="BM145" i="3"/>
  <c r="BI145" i="3"/>
  <c r="BQ124" i="3"/>
  <c r="BQ138" i="3"/>
  <c r="BQ136" i="3"/>
  <c r="BR147" i="3"/>
  <c r="BM128" i="3"/>
  <c r="BQ150" i="3"/>
  <c r="BR137" i="3"/>
  <c r="BM143" i="3"/>
  <c r="BE147" i="3"/>
  <c r="BR93" i="3"/>
  <c r="BI142" i="3"/>
  <c r="BI151" i="3"/>
  <c r="BI123" i="3"/>
  <c r="BE126" i="3"/>
  <c r="BE141" i="3"/>
  <c r="BE132" i="3"/>
  <c r="BR124" i="3"/>
  <c r="BR130" i="3"/>
  <c r="BR136" i="3"/>
  <c r="BM144" i="3"/>
  <c r="BM131" i="3"/>
  <c r="BM129" i="3"/>
  <c r="BQ132" i="3"/>
  <c r="BQ143" i="3"/>
  <c r="BQ149" i="3"/>
  <c r="BQ142" i="3"/>
  <c r="BQ129" i="3"/>
  <c r="BI140" i="3"/>
  <c r="BA116" i="3"/>
  <c r="BL63" i="3"/>
  <c r="BR129" i="3"/>
  <c r="BI150" i="3"/>
  <c r="BI125" i="3"/>
  <c r="BI131" i="3"/>
  <c r="BE133" i="3"/>
  <c r="BE131" i="3"/>
  <c r="BE128" i="3"/>
  <c r="BM135" i="3"/>
  <c r="BI126" i="3"/>
  <c r="BR132" i="3"/>
  <c r="BR138" i="3"/>
  <c r="BR144" i="3"/>
  <c r="BM151" i="3"/>
  <c r="BM138" i="3"/>
  <c r="BM122" i="3"/>
  <c r="BI124" i="3"/>
  <c r="BQ140" i="3"/>
  <c r="BQ151" i="3"/>
  <c r="BQ122" i="3"/>
  <c r="BI134" i="3"/>
  <c r="BI132" i="3"/>
  <c r="BL64" i="3"/>
  <c r="BI127" i="3"/>
  <c r="BI133" i="3"/>
  <c r="BI139" i="3"/>
  <c r="BE151" i="3"/>
  <c r="BE138" i="3"/>
  <c r="BE148" i="3"/>
  <c r="BR140" i="3"/>
  <c r="BR146" i="3"/>
  <c r="BM132" i="3"/>
  <c r="BM123" i="3"/>
  <c r="BM137" i="3"/>
  <c r="BQ145" i="3"/>
  <c r="BQ125" i="3"/>
  <c r="BE146" i="3"/>
  <c r="BQ123" i="3"/>
  <c r="BR123" i="3"/>
  <c r="BQ144" i="3"/>
  <c r="BL83" i="3"/>
  <c r="BQ137" i="3"/>
  <c r="BI135" i="3"/>
  <c r="BI141" i="3"/>
  <c r="BE123" i="3"/>
  <c r="BE145" i="3"/>
  <c r="BE136" i="3"/>
  <c r="BR148" i="3"/>
  <c r="BR125" i="3"/>
  <c r="BM139" i="3"/>
  <c r="BM130" i="3"/>
  <c r="BQ127" i="3"/>
  <c r="BE129" i="3"/>
  <c r="BH104" i="3"/>
  <c r="BF48" i="3"/>
  <c r="BG74" i="3"/>
  <c r="AY92" i="3"/>
  <c r="BE9" i="3"/>
  <c r="BN107" i="3"/>
  <c r="AX114" i="3"/>
  <c r="BT86" i="3"/>
  <c r="BE118" i="3"/>
  <c r="BU108" i="3"/>
  <c r="BP138" i="3"/>
  <c r="BJ142" i="3"/>
  <c r="BJ74" i="3"/>
  <c r="BN123" i="3"/>
  <c r="AX66" i="3"/>
  <c r="BK62" i="3"/>
  <c r="BK130" i="3"/>
  <c r="BN20" i="3"/>
  <c r="BJ9" i="3"/>
  <c r="AX58" i="3"/>
  <c r="BC49" i="3"/>
  <c r="BM82" i="3"/>
  <c r="BN118" i="3"/>
  <c r="BN116" i="3"/>
  <c r="BF115" i="3"/>
  <c r="BF116" i="3"/>
  <c r="BF93" i="3"/>
  <c r="BA117" i="3"/>
  <c r="BA98" i="3"/>
  <c r="BA96" i="3"/>
  <c r="BU107" i="3"/>
  <c r="BN97" i="3"/>
  <c r="BE105" i="3"/>
  <c r="BE99" i="3"/>
  <c r="BE106" i="3"/>
  <c r="BA105" i="3"/>
  <c r="BN106" i="3"/>
  <c r="BD143" i="3"/>
  <c r="BD147" i="3"/>
  <c r="BD145" i="3"/>
  <c r="BO128" i="3"/>
  <c r="BO134" i="3"/>
  <c r="BO132" i="3"/>
  <c r="BP134" i="3"/>
  <c r="BP142" i="3"/>
  <c r="BP122" i="3"/>
  <c r="BE23" i="3"/>
  <c r="BN3" i="3"/>
  <c r="BN2" i="3"/>
  <c r="BJ18" i="3"/>
  <c r="AX40" i="3"/>
  <c r="BC43" i="3"/>
  <c r="BM81" i="3"/>
  <c r="BN95" i="3"/>
  <c r="BN96" i="3"/>
  <c r="BN111" i="3"/>
  <c r="BF96" i="3"/>
  <c r="BF94" i="3"/>
  <c r="BA100" i="3"/>
  <c r="BA106" i="3"/>
  <c r="BA104" i="3"/>
  <c r="BU105" i="3"/>
  <c r="BE121" i="3"/>
  <c r="BE112" i="3"/>
  <c r="BE117" i="3"/>
  <c r="BE110" i="3"/>
  <c r="BF97" i="3"/>
  <c r="BD146" i="3"/>
  <c r="BD123" i="3"/>
  <c r="BD129" i="3"/>
  <c r="BD151" i="3"/>
  <c r="BO127" i="3"/>
  <c r="BO136" i="3"/>
  <c r="BO142" i="3"/>
  <c r="BO140" i="3"/>
  <c r="BP144" i="3"/>
  <c r="BP150" i="3"/>
  <c r="BP125" i="3"/>
  <c r="BJ30" i="3"/>
  <c r="BM90" i="3"/>
  <c r="BN91" i="3"/>
  <c r="BE115" i="3"/>
  <c r="BN103" i="3"/>
  <c r="BN104" i="3"/>
  <c r="BN119" i="3"/>
  <c r="BA120" i="3"/>
  <c r="BF104" i="3"/>
  <c r="BF102" i="3"/>
  <c r="BA108" i="3"/>
  <c r="BA113" i="3"/>
  <c r="BA111" i="3"/>
  <c r="BF118" i="3"/>
  <c r="BE107" i="3"/>
  <c r="BE119" i="3"/>
  <c r="BE96" i="3"/>
  <c r="BE94" i="3"/>
  <c r="BP133" i="3"/>
  <c r="BD130" i="3"/>
  <c r="BD125" i="3"/>
  <c r="BD131" i="3"/>
  <c r="BD137" i="3"/>
  <c r="BO149" i="3"/>
  <c r="BP143" i="3"/>
  <c r="BD138" i="3"/>
  <c r="BO150" i="3"/>
  <c r="BO148" i="3"/>
  <c r="BO146" i="3"/>
  <c r="BP149" i="3"/>
  <c r="BP129" i="3"/>
  <c r="BP127" i="3"/>
  <c r="BA74" i="3"/>
  <c r="BN16" i="3"/>
  <c r="BN85" i="3"/>
  <c r="BE101" i="3"/>
  <c r="BN112" i="3"/>
  <c r="BN113" i="3"/>
  <c r="BN114" i="3"/>
  <c r="BF113" i="3"/>
  <c r="BF111" i="3"/>
  <c r="BA115" i="3"/>
  <c r="BA93" i="3"/>
  <c r="BA119" i="3"/>
  <c r="BE108" i="3"/>
  <c r="BE93" i="3"/>
  <c r="BE109" i="3"/>
  <c r="BE103" i="3"/>
  <c r="BE92" i="3"/>
  <c r="BN109" i="3"/>
  <c r="BN102" i="3"/>
  <c r="BP123" i="3"/>
  <c r="BD133" i="3"/>
  <c r="BD139" i="3"/>
  <c r="BD148" i="3"/>
  <c r="BJ134" i="3"/>
  <c r="BO123" i="3"/>
  <c r="BO129" i="3"/>
  <c r="BO122" i="3"/>
  <c r="BP137" i="3"/>
  <c r="BP135" i="3"/>
  <c r="BN94" i="3"/>
  <c r="BC46" i="3"/>
  <c r="BA112" i="3"/>
  <c r="BN100" i="3"/>
  <c r="BN120" i="3"/>
  <c r="BN121" i="3"/>
  <c r="BF121" i="3"/>
  <c r="BF119" i="3"/>
  <c r="BA95" i="3"/>
  <c r="BA101" i="3"/>
  <c r="BA92" i="3"/>
  <c r="BE116" i="3"/>
  <c r="BE114" i="3"/>
  <c r="BO133" i="3"/>
  <c r="BP131" i="3"/>
  <c r="BD141" i="3"/>
  <c r="BD150" i="3"/>
  <c r="BO131" i="3"/>
  <c r="BO137" i="3"/>
  <c r="BP128" i="3"/>
  <c r="BP147" i="3"/>
  <c r="BP145" i="3"/>
  <c r="BD140" i="3"/>
  <c r="BN9" i="3"/>
  <c r="BC60" i="3"/>
  <c r="BN92" i="3"/>
  <c r="BF95" i="3"/>
  <c r="BF112" i="3"/>
  <c r="BN93" i="3"/>
  <c r="BN99" i="3"/>
  <c r="BF99" i="3"/>
  <c r="BF114" i="3"/>
  <c r="BA99" i="3"/>
  <c r="BA103" i="3"/>
  <c r="BA109" i="3"/>
  <c r="BA107" i="3"/>
  <c r="BE97" i="3"/>
  <c r="BE95" i="3"/>
  <c r="BE98" i="3"/>
  <c r="BF120" i="3"/>
  <c r="BD132" i="3"/>
  <c r="BO141" i="3"/>
  <c r="BD128" i="3"/>
  <c r="BD126" i="3"/>
  <c r="BP141" i="3"/>
  <c r="BD149" i="3"/>
  <c r="BP151" i="3"/>
  <c r="BJ143" i="3"/>
  <c r="BO130" i="3"/>
  <c r="BO139" i="3"/>
  <c r="BO143" i="3"/>
  <c r="BP136" i="3"/>
  <c r="BP124" i="3"/>
  <c r="BP130" i="3"/>
  <c r="BO125" i="3"/>
  <c r="BN42" i="3"/>
  <c r="BC54" i="3"/>
  <c r="BN105" i="3"/>
  <c r="BN101" i="3"/>
  <c r="BF105" i="3"/>
  <c r="BF98" i="3"/>
  <c r="BF107" i="3"/>
  <c r="BA94" i="3"/>
  <c r="BA110" i="3"/>
  <c r="BE104" i="3"/>
  <c r="BE113" i="3"/>
  <c r="BD122" i="3"/>
  <c r="BD127" i="3"/>
  <c r="BD136" i="3"/>
  <c r="BD134" i="3"/>
  <c r="BO147" i="3"/>
  <c r="BJ128" i="3"/>
  <c r="BO138" i="3"/>
  <c r="BO145" i="3"/>
  <c r="BP146" i="3"/>
  <c r="BP132" i="3"/>
  <c r="BF5" i="3"/>
  <c r="AX38" i="3"/>
  <c r="BU104" i="3"/>
  <c r="BS106" i="3"/>
  <c r="BI98" i="3"/>
  <c r="BA131" i="3"/>
  <c r="BF19" i="3"/>
  <c r="BF25" i="3"/>
  <c r="BF30" i="3"/>
  <c r="BF21" i="3"/>
  <c r="BM58" i="3"/>
  <c r="BM45" i="3"/>
  <c r="BM50" i="3"/>
  <c r="BM35" i="3"/>
  <c r="BM34" i="3"/>
  <c r="BF43" i="3"/>
  <c r="BF60" i="3"/>
  <c r="BF42" i="3"/>
  <c r="BG86" i="3"/>
  <c r="BG90" i="3"/>
  <c r="BG67" i="3"/>
  <c r="BG83" i="3"/>
  <c r="AX51" i="3"/>
  <c r="AZ93" i="3"/>
  <c r="BM114" i="3"/>
  <c r="AZ98" i="3"/>
  <c r="AY107" i="3"/>
  <c r="AY116" i="3"/>
  <c r="BI99" i="3"/>
  <c r="BI108" i="3"/>
  <c r="BI106" i="3"/>
  <c r="AZ104" i="3"/>
  <c r="AZ105" i="3"/>
  <c r="BM121" i="3"/>
  <c r="BM109" i="3"/>
  <c r="BM119" i="3"/>
  <c r="BK110" i="3"/>
  <c r="AY104" i="3"/>
  <c r="BU119" i="3"/>
  <c r="BU113" i="3"/>
  <c r="BU92" i="3"/>
  <c r="BI96" i="3"/>
  <c r="BK101" i="3"/>
  <c r="BK102" i="3"/>
  <c r="BK100" i="3"/>
  <c r="AY120" i="3"/>
  <c r="BK92" i="3"/>
  <c r="BS131" i="3"/>
  <c r="BS136" i="3"/>
  <c r="BS134" i="3"/>
  <c r="BA132" i="3"/>
  <c r="BA133" i="3"/>
  <c r="BA139" i="3"/>
  <c r="AY134" i="3"/>
  <c r="AY140" i="3"/>
  <c r="AY144" i="3"/>
  <c r="AY139" i="3"/>
  <c r="AY125" i="3"/>
  <c r="BF12" i="3"/>
  <c r="BF18" i="3"/>
  <c r="BF14" i="3"/>
  <c r="BF29" i="3"/>
  <c r="BM55" i="3"/>
  <c r="BM42" i="3"/>
  <c r="BM47" i="3"/>
  <c r="BG75" i="3"/>
  <c r="BG68" i="3"/>
  <c r="BG63" i="3"/>
  <c r="BG78" i="3"/>
  <c r="BG85" i="3"/>
  <c r="BF16" i="3"/>
  <c r="BK107" i="3"/>
  <c r="AY115" i="3"/>
  <c r="AY95" i="3"/>
  <c r="BI107" i="3"/>
  <c r="BI115" i="3"/>
  <c r="BI113" i="3"/>
  <c r="AZ107" i="3"/>
  <c r="AZ113" i="3"/>
  <c r="AZ114" i="3"/>
  <c r="BM94" i="3"/>
  <c r="BM116" i="3"/>
  <c r="BM107" i="3"/>
  <c r="BU121" i="3"/>
  <c r="BU98" i="3"/>
  <c r="BU120" i="3"/>
  <c r="BS96" i="3"/>
  <c r="BK98" i="3"/>
  <c r="AZ106" i="3"/>
  <c r="BK104" i="3"/>
  <c r="BK105" i="3"/>
  <c r="BK117" i="3"/>
  <c r="BI94" i="3"/>
  <c r="BU117" i="3"/>
  <c r="BU103" i="3"/>
  <c r="BS150" i="3"/>
  <c r="BA127" i="3"/>
  <c r="BA122" i="3"/>
  <c r="BS149" i="3"/>
  <c r="BS143" i="3"/>
  <c r="BS123" i="3"/>
  <c r="BA140" i="3"/>
  <c r="BA141" i="3"/>
  <c r="BA144" i="3"/>
  <c r="AY142" i="3"/>
  <c r="AY146" i="3"/>
  <c r="AY122" i="3"/>
  <c r="BS135" i="3"/>
  <c r="BI119" i="3"/>
  <c r="BM21" i="3"/>
  <c r="BF6" i="3"/>
  <c r="BF11" i="3"/>
  <c r="BF28" i="3"/>
  <c r="BF7" i="3"/>
  <c r="BM41" i="3"/>
  <c r="BI97" i="3"/>
  <c r="BI95" i="3"/>
  <c r="BI101" i="3"/>
  <c r="AY110" i="3"/>
  <c r="AZ102" i="3"/>
  <c r="AZ108" i="3"/>
  <c r="BM108" i="3"/>
  <c r="BM113" i="3"/>
  <c r="BM95" i="3"/>
  <c r="BU93" i="3"/>
  <c r="BU114" i="3"/>
  <c r="BU95" i="3"/>
  <c r="BU112" i="3"/>
  <c r="BS121" i="3"/>
  <c r="BK96" i="3"/>
  <c r="BK108" i="3"/>
  <c r="BK121" i="3"/>
  <c r="AZ95" i="3"/>
  <c r="BK95" i="3"/>
  <c r="BS125" i="3"/>
  <c r="BS133" i="3"/>
  <c r="BS148" i="3"/>
  <c r="BA130" i="3"/>
  <c r="BA128" i="3"/>
  <c r="BA134" i="3"/>
  <c r="AY129" i="3"/>
  <c r="AY135" i="3"/>
  <c r="AY145" i="3"/>
  <c r="AY102" i="3"/>
  <c r="BF3" i="3"/>
  <c r="BC24" i="3"/>
  <c r="BF23" i="3"/>
  <c r="BF17" i="3"/>
  <c r="BF4" i="3"/>
  <c r="BM38" i="3"/>
  <c r="BM37" i="3"/>
  <c r="BM60" i="3"/>
  <c r="BG91" i="3"/>
  <c r="BG79" i="3"/>
  <c r="BG65" i="3"/>
  <c r="AY106" i="3"/>
  <c r="AY113" i="3"/>
  <c r="AY119" i="3"/>
  <c r="BI105" i="3"/>
  <c r="BI103" i="3"/>
  <c r="BI109" i="3"/>
  <c r="BU110" i="3"/>
  <c r="AY94" i="3"/>
  <c r="AZ110" i="3"/>
  <c r="AZ117" i="3"/>
  <c r="BM92" i="3"/>
  <c r="BM98" i="3"/>
  <c r="BM120" i="3"/>
  <c r="BM115" i="3"/>
  <c r="BI117" i="3"/>
  <c r="BU97" i="3"/>
  <c r="BU102" i="3"/>
  <c r="BU96" i="3"/>
  <c r="AY109" i="3"/>
  <c r="BK99" i="3"/>
  <c r="BK111" i="3"/>
  <c r="BK106" i="3"/>
  <c r="BS132" i="3"/>
  <c r="BS140" i="3"/>
  <c r="BS146" i="3"/>
  <c r="BA138" i="3"/>
  <c r="BA136" i="3"/>
  <c r="BA142" i="3"/>
  <c r="AY128" i="3"/>
  <c r="AY137" i="3"/>
  <c r="AY143" i="3"/>
  <c r="BA150" i="3"/>
  <c r="BS145" i="3"/>
  <c r="BC4" i="3"/>
  <c r="BF31" i="3"/>
  <c r="BF10" i="3"/>
  <c r="BM54" i="3"/>
  <c r="BM59" i="3"/>
  <c r="BM49" i="3"/>
  <c r="BF37" i="3"/>
  <c r="BF41" i="3"/>
  <c r="BF47" i="3"/>
  <c r="BG82" i="3"/>
  <c r="BG64" i="3"/>
  <c r="BG73" i="3"/>
  <c r="BT67" i="3"/>
  <c r="BU111" i="3"/>
  <c r="AY121" i="3"/>
  <c r="AY114" i="3"/>
  <c r="BI112" i="3"/>
  <c r="BI110" i="3"/>
  <c r="BI116" i="3"/>
  <c r="BM96" i="3"/>
  <c r="AZ111" i="3"/>
  <c r="AZ112" i="3"/>
  <c r="BM93" i="3"/>
  <c r="BM105" i="3"/>
  <c r="BM110" i="3"/>
  <c r="BM99" i="3"/>
  <c r="BU115" i="3"/>
  <c r="BU109" i="3"/>
  <c r="BU116" i="3"/>
  <c r="AY93" i="3"/>
  <c r="BK113" i="3"/>
  <c r="BK114" i="3"/>
  <c r="BK109" i="3"/>
  <c r="BI104" i="3"/>
  <c r="BU118" i="3"/>
  <c r="AY98" i="3"/>
  <c r="AY123" i="3"/>
  <c r="AY133" i="3"/>
  <c r="BS139" i="3"/>
  <c r="BS147" i="3"/>
  <c r="BS151" i="3"/>
  <c r="BA143" i="3"/>
  <c r="BA149" i="3"/>
  <c r="BA147" i="3"/>
  <c r="AY136" i="3"/>
  <c r="AY151" i="3"/>
  <c r="AY149" i="3"/>
  <c r="BA129" i="3"/>
  <c r="BF2" i="3"/>
  <c r="BF26" i="3"/>
  <c r="BK115" i="3"/>
  <c r="AZ109" i="3"/>
  <c r="BM97" i="3"/>
  <c r="AY100" i="3"/>
  <c r="AY117" i="3"/>
  <c r="BI120" i="3"/>
  <c r="BI118" i="3"/>
  <c r="BI92" i="3"/>
  <c r="AZ119" i="3"/>
  <c r="AZ120" i="3"/>
  <c r="BM100" i="3"/>
  <c r="BM112" i="3"/>
  <c r="BM117" i="3"/>
  <c r="AY118" i="3"/>
  <c r="BU94" i="3"/>
  <c r="BU99" i="3"/>
  <c r="BU100" i="3"/>
  <c r="AZ118" i="3"/>
  <c r="BK116" i="3"/>
  <c r="BK119" i="3"/>
  <c r="BA148" i="3"/>
  <c r="BS130" i="3"/>
  <c r="BS137" i="3"/>
  <c r="BS122" i="3"/>
  <c r="BA151" i="3"/>
  <c r="BA123" i="3"/>
  <c r="AY150" i="3"/>
  <c r="AY124" i="3"/>
  <c r="AY130" i="3"/>
  <c r="BS127" i="3"/>
  <c r="BS128" i="3"/>
  <c r="BB29" i="3"/>
  <c r="BK48" i="3"/>
  <c r="BP50" i="3"/>
  <c r="BI62" i="3"/>
  <c r="BG42" i="3"/>
  <c r="BF73" i="3"/>
  <c r="BD78" i="3"/>
  <c r="BS120" i="3"/>
  <c r="BD97" i="3"/>
  <c r="BB113" i="3"/>
  <c r="BJ120" i="3"/>
  <c r="BJ149" i="3"/>
  <c r="BF22" i="3"/>
  <c r="BK93" i="3"/>
  <c r="AY99" i="3"/>
  <c r="AY108" i="3"/>
  <c r="BI100" i="3"/>
  <c r="AZ121" i="3"/>
  <c r="AZ96" i="3"/>
  <c r="AZ97" i="3"/>
  <c r="AZ115" i="3"/>
  <c r="BM118" i="3"/>
  <c r="BM102" i="3"/>
  <c r="BU101" i="3"/>
  <c r="BU106" i="3"/>
  <c r="BK103" i="3"/>
  <c r="BS124" i="3"/>
  <c r="BS129" i="3"/>
  <c r="BA124" i="3"/>
  <c r="BA125" i="3"/>
  <c r="AY126" i="3"/>
  <c r="AY132" i="3"/>
  <c r="AY138" i="3"/>
  <c r="BF79" i="3"/>
  <c r="BI80" i="3"/>
  <c r="BS104" i="3"/>
  <c r="BB108" i="3"/>
  <c r="BB114" i="3"/>
  <c r="BB112" i="3"/>
  <c r="BJ113" i="3"/>
  <c r="BJ98" i="3"/>
  <c r="BJ92" i="3"/>
  <c r="BJ110" i="3"/>
  <c r="BD99" i="3"/>
  <c r="BS95" i="3"/>
  <c r="BS99" i="3"/>
  <c r="BS111" i="3"/>
  <c r="BS92" i="3"/>
  <c r="BQ117" i="3"/>
  <c r="BQ95" i="3"/>
  <c r="BQ92" i="3"/>
  <c r="BS109" i="3"/>
  <c r="BB107" i="3"/>
  <c r="BK135" i="3"/>
  <c r="BK140" i="3"/>
  <c r="BK145" i="3"/>
  <c r="AX132" i="3"/>
  <c r="AX133" i="3"/>
  <c r="AX139" i="3"/>
  <c r="BK132" i="3"/>
  <c r="BJ130" i="3"/>
  <c r="BJ136" i="3"/>
  <c r="BG123" i="3"/>
  <c r="BG129" i="3"/>
  <c r="BG135" i="3"/>
  <c r="AX127" i="3"/>
  <c r="BG40" i="3"/>
  <c r="BI87" i="3"/>
  <c r="BB116" i="3"/>
  <c r="BB93" i="3"/>
  <c r="BB92" i="3"/>
  <c r="BJ100" i="3"/>
  <c r="BJ106" i="3"/>
  <c r="BQ99" i="3"/>
  <c r="BJ112" i="3"/>
  <c r="BS98" i="3"/>
  <c r="BS113" i="3"/>
  <c r="BS114" i="3"/>
  <c r="BQ96" i="3"/>
  <c r="BQ97" i="3"/>
  <c r="BQ103" i="3"/>
  <c r="BQ116" i="3"/>
  <c r="BJ150" i="3"/>
  <c r="BJ140" i="3"/>
  <c r="BK142" i="3"/>
  <c r="BK147" i="3"/>
  <c r="BK127" i="3"/>
  <c r="BJ126" i="3"/>
  <c r="AX129" i="3"/>
  <c r="AX140" i="3"/>
  <c r="AX141" i="3"/>
  <c r="AX144" i="3"/>
  <c r="BG128" i="3"/>
  <c r="BJ138" i="3"/>
  <c r="BJ144" i="3"/>
  <c r="BG131" i="3"/>
  <c r="BG137" i="3"/>
  <c r="BG143" i="3"/>
  <c r="BK137" i="3"/>
  <c r="BG59" i="3"/>
  <c r="BI70" i="3"/>
  <c r="BG46" i="3"/>
  <c r="BB94" i="3"/>
  <c r="BB95" i="3"/>
  <c r="BB101" i="3"/>
  <c r="BJ108" i="3"/>
  <c r="BJ114" i="3"/>
  <c r="BS112" i="3"/>
  <c r="BS116" i="3"/>
  <c r="BS97" i="3"/>
  <c r="BQ104" i="3"/>
  <c r="BQ105" i="3"/>
  <c r="BQ110" i="3"/>
  <c r="BJ118" i="3"/>
  <c r="BQ114" i="3"/>
  <c r="BK149" i="3"/>
  <c r="BK126" i="3"/>
  <c r="BK134" i="3"/>
  <c r="AX145" i="3"/>
  <c r="AX146" i="3"/>
  <c r="AX126" i="3"/>
  <c r="BJ129" i="3"/>
  <c r="BJ146" i="3"/>
  <c r="BJ123" i="3"/>
  <c r="BG139" i="3"/>
  <c r="BG151" i="3"/>
  <c r="BG149" i="3"/>
  <c r="AX150" i="3"/>
  <c r="AX135" i="3"/>
  <c r="BG136" i="3"/>
  <c r="BD108" i="3"/>
  <c r="BG48" i="3"/>
  <c r="BC87" i="3"/>
  <c r="BA65" i="3"/>
  <c r="BD66" i="3"/>
  <c r="BB102" i="3"/>
  <c r="BB103" i="3"/>
  <c r="BB109" i="3"/>
  <c r="BJ104" i="3"/>
  <c r="BJ99" i="3"/>
  <c r="BJ116" i="3"/>
  <c r="BJ93" i="3"/>
  <c r="BS101" i="3"/>
  <c r="BD102" i="3"/>
  <c r="BQ107" i="3"/>
  <c r="BS115" i="3"/>
  <c r="BS119" i="3"/>
  <c r="BS100" i="3"/>
  <c r="BQ111" i="3"/>
  <c r="BQ112" i="3"/>
  <c r="BQ118" i="3"/>
  <c r="BB115" i="3"/>
  <c r="BJ148" i="3"/>
  <c r="BK136" i="3"/>
  <c r="BK144" i="3"/>
  <c r="BK125" i="3"/>
  <c r="AX130" i="3"/>
  <c r="AX128" i="3"/>
  <c r="AX134" i="3"/>
  <c r="BJ124" i="3"/>
  <c r="BJ137" i="3"/>
  <c r="BJ125" i="3"/>
  <c r="BJ131" i="3"/>
  <c r="BG145" i="3"/>
  <c r="BG124" i="3"/>
  <c r="BG122" i="3"/>
  <c r="BJ132" i="3"/>
  <c r="BG36" i="3"/>
  <c r="BA66" i="3"/>
  <c r="BD76" i="3"/>
  <c r="BK84" i="3"/>
  <c r="BB105" i="3"/>
  <c r="BB110" i="3"/>
  <c r="BB111" i="3"/>
  <c r="BB117" i="3"/>
  <c r="BJ107" i="3"/>
  <c r="BJ95" i="3"/>
  <c r="BJ101" i="3"/>
  <c r="BD120" i="3"/>
  <c r="BS93" i="3"/>
  <c r="BS108" i="3"/>
  <c r="BS103" i="3"/>
  <c r="BQ119" i="3"/>
  <c r="BQ100" i="3"/>
  <c r="BQ98" i="3"/>
  <c r="BS118" i="3"/>
  <c r="BB97" i="3"/>
  <c r="BK138" i="3"/>
  <c r="BK143" i="3"/>
  <c r="BK133" i="3"/>
  <c r="BK122" i="3"/>
  <c r="AX138" i="3"/>
  <c r="AX136" i="3"/>
  <c r="AX142" i="3"/>
  <c r="BJ145" i="3"/>
  <c r="BJ133" i="3"/>
  <c r="BJ139" i="3"/>
  <c r="BG125" i="3"/>
  <c r="BG126" i="3"/>
  <c r="BG132" i="3"/>
  <c r="BA73" i="3"/>
  <c r="BC68" i="3"/>
  <c r="BJ94" i="3"/>
  <c r="BB118" i="3"/>
  <c r="BB121" i="3"/>
  <c r="BB119" i="3"/>
  <c r="BJ115" i="3"/>
  <c r="BJ103" i="3"/>
  <c r="BJ109" i="3"/>
  <c r="BS107" i="3"/>
  <c r="BS102" i="3"/>
  <c r="BS117" i="3"/>
  <c r="BQ94" i="3"/>
  <c r="BQ108" i="3"/>
  <c r="BQ106" i="3"/>
  <c r="AX148" i="3"/>
  <c r="BK124" i="3"/>
  <c r="BK150" i="3"/>
  <c r="BK123" i="3"/>
  <c r="BJ96" i="3"/>
  <c r="AX143" i="3"/>
  <c r="AX149" i="3"/>
  <c r="AX147" i="3"/>
  <c r="BK129" i="3"/>
  <c r="BK131" i="3"/>
  <c r="BG138" i="3"/>
  <c r="BJ127" i="3"/>
  <c r="BJ141" i="3"/>
  <c r="BJ147" i="3"/>
  <c r="BG133" i="3"/>
  <c r="BG134" i="3"/>
  <c r="BG140" i="3"/>
  <c r="BG144" i="3"/>
  <c r="BD67" i="3"/>
  <c r="BB120" i="3"/>
  <c r="BB98" i="3"/>
  <c r="BB96" i="3"/>
  <c r="BJ97" i="3"/>
  <c r="BJ111" i="3"/>
  <c r="BJ117" i="3"/>
  <c r="BS110" i="3"/>
  <c r="BS105" i="3"/>
  <c r="BQ102" i="3"/>
  <c r="BQ115" i="3"/>
  <c r="BK141" i="3"/>
  <c r="AX151" i="3"/>
  <c r="AX123" i="3"/>
  <c r="BJ135" i="3"/>
  <c r="BJ151" i="3"/>
  <c r="BG141" i="3"/>
  <c r="BG142" i="3"/>
  <c r="BL13" i="3"/>
  <c r="BC78" i="3"/>
  <c r="BP86" i="3"/>
  <c r="BT121" i="3"/>
  <c r="BE40" i="3"/>
  <c r="BE86" i="3"/>
  <c r="AX14" i="3"/>
  <c r="BU68" i="3"/>
  <c r="BA81" i="3"/>
  <c r="BI27" i="3"/>
  <c r="BL119" i="3"/>
  <c r="BR99" i="3"/>
  <c r="BO119" i="3"/>
  <c r="BL91" i="3"/>
  <c r="BL72" i="3"/>
  <c r="BL66" i="3"/>
  <c r="BL81" i="3"/>
  <c r="BT94" i="3"/>
  <c r="BO95" i="3"/>
  <c r="BL94" i="3"/>
  <c r="BT108" i="3"/>
  <c r="BT120" i="3"/>
  <c r="BT119" i="3"/>
  <c r="AX94" i="3"/>
  <c r="AX117" i="3"/>
  <c r="BD110" i="3"/>
  <c r="BD92" i="3"/>
  <c r="BO109" i="3"/>
  <c r="BO118" i="3"/>
  <c r="BD98" i="3"/>
  <c r="BR118" i="3"/>
  <c r="BR95" i="3"/>
  <c r="BL107" i="3"/>
  <c r="BL117" i="3"/>
  <c r="BD96" i="3"/>
  <c r="BD107" i="3"/>
  <c r="AX96" i="3"/>
  <c r="BO98" i="3"/>
  <c r="BD115" i="3"/>
  <c r="BT110" i="3"/>
  <c r="BL76" i="3"/>
  <c r="BL77" i="3"/>
  <c r="BL74" i="3"/>
  <c r="BL65" i="3"/>
  <c r="BL73" i="3"/>
  <c r="AX106" i="3"/>
  <c r="BL104" i="3"/>
  <c r="BT104" i="3"/>
  <c r="BT114" i="3"/>
  <c r="AX93" i="3"/>
  <c r="AX102" i="3"/>
  <c r="AX112" i="3"/>
  <c r="BD116" i="3"/>
  <c r="BL108" i="3"/>
  <c r="BO117" i="3"/>
  <c r="BO97" i="3"/>
  <c r="BR96" i="3"/>
  <c r="BR120" i="3"/>
  <c r="BR103" i="3"/>
  <c r="BL113" i="3"/>
  <c r="BL92" i="3"/>
  <c r="BL93" i="3"/>
  <c r="BL112" i="3"/>
  <c r="BD103" i="3"/>
  <c r="BL120" i="3"/>
  <c r="BT103" i="3"/>
  <c r="BI21" i="3"/>
  <c r="BI14" i="3"/>
  <c r="BL84" i="3"/>
  <c r="BL85" i="3"/>
  <c r="AZ76" i="3"/>
  <c r="BL67" i="3"/>
  <c r="BR107" i="3"/>
  <c r="BL100" i="3"/>
  <c r="BT118" i="3"/>
  <c r="BT92" i="3"/>
  <c r="AX101" i="3"/>
  <c r="AX111" i="3"/>
  <c r="AX120" i="3"/>
  <c r="BD105" i="3"/>
  <c r="BD100" i="3"/>
  <c r="BO99" i="3"/>
  <c r="BO105" i="3"/>
  <c r="BR104" i="3"/>
  <c r="BR97" i="3"/>
  <c r="BR111" i="3"/>
  <c r="BL121" i="3"/>
  <c r="BD106" i="3"/>
  <c r="BR109" i="3"/>
  <c r="BL98" i="3"/>
  <c r="BL103" i="3"/>
  <c r="BT102" i="3"/>
  <c r="AX104" i="3"/>
  <c r="BD42" i="3"/>
  <c r="BP72" i="3"/>
  <c r="BL79" i="3"/>
  <c r="BL75" i="3"/>
  <c r="BP70" i="3"/>
  <c r="BL68" i="3"/>
  <c r="AZ69" i="3"/>
  <c r="AX95" i="3"/>
  <c r="BL106" i="3"/>
  <c r="BT96" i="3"/>
  <c r="BT99" i="3"/>
  <c r="AX110" i="3"/>
  <c r="AX119" i="3"/>
  <c r="AX92" i="3"/>
  <c r="BD119" i="3"/>
  <c r="BR119" i="3"/>
  <c r="BL96" i="3"/>
  <c r="BO107" i="3"/>
  <c r="BO113" i="3"/>
  <c r="BR112" i="3"/>
  <c r="BR105" i="3"/>
  <c r="BR98" i="3"/>
  <c r="BL102" i="3"/>
  <c r="BO96" i="3"/>
  <c r="BD113" i="3"/>
  <c r="BO103" i="3"/>
  <c r="BT95" i="3"/>
  <c r="BD121" i="3"/>
  <c r="BL86" i="3"/>
  <c r="BL87" i="3"/>
  <c r="BL80" i="3"/>
  <c r="BP80" i="3"/>
  <c r="BL118" i="3"/>
  <c r="BT109" i="3"/>
  <c r="BD111" i="3"/>
  <c r="BD109" i="3"/>
  <c r="BO114" i="3"/>
  <c r="BT115" i="3"/>
  <c r="BD94" i="3"/>
  <c r="BT107" i="3"/>
  <c r="AX118" i="3"/>
  <c r="AX97" i="3"/>
  <c r="BD114" i="3"/>
  <c r="BT93" i="3"/>
  <c r="BO115" i="3"/>
  <c r="BO121" i="3"/>
  <c r="BR121" i="3"/>
  <c r="BR113" i="3"/>
  <c r="BR106" i="3"/>
  <c r="BL101" i="3"/>
  <c r="BL110" i="3"/>
  <c r="AX98" i="3"/>
  <c r="BD93" i="3"/>
  <c r="BD95" i="3"/>
  <c r="BO108" i="3"/>
  <c r="BH12" i="3"/>
  <c r="BH59" i="3"/>
  <c r="BI77" i="3"/>
  <c r="BL70" i="3"/>
  <c r="BL69" i="3"/>
  <c r="BL88" i="3"/>
  <c r="BO112" i="3"/>
  <c r="BR115" i="3"/>
  <c r="BT105" i="3"/>
  <c r="BL95" i="3"/>
  <c r="BT117" i="3"/>
  <c r="BL105" i="3"/>
  <c r="BO120" i="3"/>
  <c r="BO100" i="3"/>
  <c r="BT98" i="3"/>
  <c r="BT113" i="3"/>
  <c r="AX99" i="3"/>
  <c r="AX105" i="3"/>
  <c r="BD104" i="3"/>
  <c r="BD117" i="3"/>
  <c r="BO104" i="3"/>
  <c r="BO94" i="3"/>
  <c r="BO116" i="3"/>
  <c r="BR94" i="3"/>
  <c r="BR100" i="3"/>
  <c r="BR114" i="3"/>
  <c r="BL109" i="3"/>
  <c r="BL116" i="3"/>
  <c r="BT111" i="3"/>
  <c r="AX103" i="3"/>
  <c r="AX115" i="3"/>
  <c r="BT97" i="3"/>
  <c r="AX108" i="3"/>
  <c r="BT101" i="3"/>
  <c r="BS37" i="3"/>
  <c r="BL82" i="3"/>
  <c r="BL62" i="3"/>
  <c r="BL89" i="3"/>
  <c r="BL78" i="3"/>
  <c r="AX113" i="3"/>
  <c r="BD101" i="3"/>
  <c r="BO111" i="3"/>
  <c r="BT100" i="3"/>
  <c r="AX121" i="3"/>
  <c r="BT106" i="3"/>
  <c r="AX107" i="3"/>
  <c r="BD118" i="3"/>
  <c r="BD112" i="3"/>
  <c r="BO93" i="3"/>
  <c r="BO102" i="3"/>
  <c r="BR102" i="3"/>
  <c r="BR108" i="3"/>
  <c r="BR92" i="3"/>
  <c r="BL115" i="3"/>
  <c r="BR117" i="3"/>
  <c r="BU39" i="3"/>
  <c r="AX50" i="3"/>
  <c r="BT73" i="3"/>
  <c r="BC23" i="3"/>
  <c r="BA32" i="3"/>
  <c r="AY82" i="3"/>
  <c r="BO66" i="3"/>
  <c r="AX2" i="3"/>
  <c r="BU23" i="3"/>
  <c r="BU15" i="3"/>
  <c r="BU20" i="3"/>
  <c r="AX31" i="3"/>
  <c r="BC26" i="3"/>
  <c r="BE25" i="3"/>
  <c r="BC5" i="3"/>
  <c r="BC27" i="3"/>
  <c r="BC12" i="3"/>
  <c r="BC18" i="3"/>
  <c r="BE14" i="3"/>
  <c r="BU31" i="3"/>
  <c r="BD56" i="3"/>
  <c r="BA38" i="3"/>
  <c r="BE38" i="3"/>
  <c r="BA53" i="3"/>
  <c r="BE47" i="3"/>
  <c r="BT76" i="3"/>
  <c r="BU88" i="3"/>
  <c r="BU67" i="3"/>
  <c r="BT90" i="3"/>
  <c r="BJ80" i="3"/>
  <c r="BJ90" i="3"/>
  <c r="BB90" i="3"/>
  <c r="BT71" i="3"/>
  <c r="BO68" i="3"/>
  <c r="BE70" i="3"/>
  <c r="BU82" i="3"/>
  <c r="AX4" i="3"/>
  <c r="BU7" i="3"/>
  <c r="BU26" i="3"/>
  <c r="BU18" i="3"/>
  <c r="BU12" i="3"/>
  <c r="AX26" i="3"/>
  <c r="BC13" i="3"/>
  <c r="BC6" i="3"/>
  <c r="BC20" i="3"/>
  <c r="BC29" i="3"/>
  <c r="AX20" i="3"/>
  <c r="BE33" i="3"/>
  <c r="BA55" i="3"/>
  <c r="BA34" i="3"/>
  <c r="BE32" i="3"/>
  <c r="BA41" i="3"/>
  <c r="BU91" i="3"/>
  <c r="BU76" i="3"/>
  <c r="BT85" i="3"/>
  <c r="BJ88" i="3"/>
  <c r="BJ77" i="3"/>
  <c r="BE69" i="3"/>
  <c r="BB63" i="3"/>
  <c r="BJ78" i="3"/>
  <c r="BO67" i="3"/>
  <c r="BE79" i="3"/>
  <c r="BU70" i="3"/>
  <c r="BJ83" i="3"/>
  <c r="BB6" i="3"/>
  <c r="BK47" i="3"/>
  <c r="BR40" i="3"/>
  <c r="BP61" i="3"/>
  <c r="BG37" i="3"/>
  <c r="AY81" i="3"/>
  <c r="BF65" i="3"/>
  <c r="BD77" i="3"/>
  <c r="BC2" i="3"/>
  <c r="BU10" i="3"/>
  <c r="BU5" i="3"/>
  <c r="BU21" i="3"/>
  <c r="BU4" i="3"/>
  <c r="AX21" i="3"/>
  <c r="BU29" i="3"/>
  <c r="BC21" i="3"/>
  <c r="BC14" i="3"/>
  <c r="BC30" i="3"/>
  <c r="AX7" i="3"/>
  <c r="BA33" i="3"/>
  <c r="BA51" i="3"/>
  <c r="BA52" i="3"/>
  <c r="BU75" i="3"/>
  <c r="BT80" i="3"/>
  <c r="BJ70" i="3"/>
  <c r="BJ62" i="3"/>
  <c r="BT66" i="3"/>
  <c r="BB66" i="3"/>
  <c r="BB67" i="3"/>
  <c r="BO91" i="3"/>
  <c r="BO70" i="3"/>
  <c r="BE65" i="3"/>
  <c r="BP75" i="3"/>
  <c r="BU13" i="3"/>
  <c r="BU8" i="3"/>
  <c r="BU24" i="3"/>
  <c r="BU2" i="3"/>
  <c r="AX29" i="3"/>
  <c r="AX6" i="3"/>
  <c r="BE5" i="3"/>
  <c r="BC28" i="3"/>
  <c r="BC22" i="3"/>
  <c r="BC3" i="3"/>
  <c r="BE58" i="3"/>
  <c r="BE35" i="3"/>
  <c r="BA59" i="3"/>
  <c r="BE41" i="3"/>
  <c r="BU69" i="3"/>
  <c r="BT88" i="3"/>
  <c r="BJ89" i="3"/>
  <c r="BB75" i="3"/>
  <c r="BB69" i="3"/>
  <c r="BO64" i="3"/>
  <c r="BO90" i="3"/>
  <c r="BB78" i="3"/>
  <c r="AX30" i="3"/>
  <c r="AX28" i="3"/>
  <c r="BU16" i="3"/>
  <c r="BU11" i="3"/>
  <c r="BU27" i="3"/>
  <c r="AX18" i="3"/>
  <c r="BC31" i="3"/>
  <c r="BC9" i="3"/>
  <c r="BC7" i="3"/>
  <c r="AX5" i="3"/>
  <c r="AX13" i="3"/>
  <c r="BE56" i="3"/>
  <c r="BE61" i="3"/>
  <c r="BE46" i="3"/>
  <c r="BA60" i="3"/>
  <c r="BE34" i="3"/>
  <c r="BA39" i="3"/>
  <c r="BU78" i="3"/>
  <c r="BT81" i="3"/>
  <c r="BJ76" i="3"/>
  <c r="BB76" i="3"/>
  <c r="BB88" i="3"/>
  <c r="BE75" i="3"/>
  <c r="BJ91" i="3"/>
  <c r="BE83" i="3"/>
  <c r="BO82" i="3"/>
  <c r="BJ75" i="3"/>
  <c r="BT64" i="3"/>
  <c r="AX12" i="3"/>
  <c r="BU19" i="3"/>
  <c r="BU14" i="3"/>
  <c r="BU3" i="3"/>
  <c r="AX25" i="3"/>
  <c r="AX24" i="3"/>
  <c r="AX11" i="3"/>
  <c r="BC8" i="3"/>
  <c r="BC17" i="3"/>
  <c r="BC15" i="3"/>
  <c r="BC19" i="3"/>
  <c r="BC11" i="3"/>
  <c r="BE55" i="3"/>
  <c r="BE49" i="3"/>
  <c r="BA40" i="3"/>
  <c r="BA47" i="3"/>
  <c r="BO74" i="3"/>
  <c r="BU72" i="3"/>
  <c r="BT74" i="3"/>
  <c r="BJ84" i="3"/>
  <c r="BB79" i="3"/>
  <c r="BU74" i="3"/>
  <c r="BO78" i="3"/>
  <c r="BT78" i="3"/>
  <c r="BE78" i="3"/>
  <c r="AX16" i="3"/>
  <c r="AX9" i="3"/>
  <c r="BU22" i="3"/>
  <c r="BU17" i="3"/>
  <c r="BU6" i="3"/>
  <c r="AX17" i="3"/>
  <c r="AX19" i="3"/>
  <c r="BC16" i="3"/>
  <c r="BC25" i="3"/>
  <c r="BA46" i="3"/>
  <c r="BE42" i="3"/>
  <c r="BE51" i="3"/>
  <c r="BE43" i="3"/>
  <c r="BA48" i="3"/>
  <c r="BU79" i="3"/>
  <c r="BU73" i="3"/>
  <c r="BT69" i="3"/>
  <c r="BJ63" i="3"/>
  <c r="BJ79" i="3"/>
  <c r="BB87" i="3"/>
  <c r="BT83" i="3"/>
  <c r="BE71" i="3"/>
  <c r="BI39" i="3"/>
  <c r="BG121" i="3"/>
  <c r="BH7" i="3"/>
  <c r="BP48" i="3"/>
  <c r="BK42" i="3"/>
  <c r="BG33" i="3"/>
  <c r="BG51" i="3"/>
  <c r="BG32" i="3"/>
  <c r="BP40" i="3"/>
  <c r="BF84" i="3"/>
  <c r="BA68" i="3"/>
  <c r="BA77" i="3"/>
  <c r="BA85" i="3"/>
  <c r="BA78" i="3"/>
  <c r="BI65" i="3"/>
  <c r="BD86" i="3"/>
  <c r="BD75" i="3"/>
  <c r="BC84" i="3"/>
  <c r="BC71" i="3"/>
  <c r="BC63" i="3"/>
  <c r="BC67" i="3"/>
  <c r="BD63" i="3"/>
  <c r="BF87" i="3"/>
  <c r="BF80" i="3"/>
  <c r="BF74" i="3"/>
  <c r="AY75" i="3"/>
  <c r="BI83" i="3"/>
  <c r="BI63" i="3"/>
  <c r="BI88" i="3"/>
  <c r="BS85" i="3"/>
  <c r="BP36" i="3"/>
  <c r="BG41" i="3"/>
  <c r="BG49" i="3"/>
  <c r="BH39" i="3"/>
  <c r="BA71" i="3"/>
  <c r="BA90" i="3"/>
  <c r="BA88" i="3"/>
  <c r="BA62" i="3"/>
  <c r="BF67" i="3"/>
  <c r="BD84" i="3"/>
  <c r="BD79" i="3"/>
  <c r="BD80" i="3"/>
  <c r="BC70" i="3"/>
  <c r="BC74" i="3"/>
  <c r="BC66" i="3"/>
  <c r="BC62" i="3"/>
  <c r="BK71" i="3"/>
  <c r="BF82" i="3"/>
  <c r="BF88" i="3"/>
  <c r="BF69" i="3"/>
  <c r="AY66" i="3"/>
  <c r="BI71" i="3"/>
  <c r="BF64" i="3"/>
  <c r="BI86" i="3"/>
  <c r="BI90" i="3"/>
  <c r="BI91" i="3"/>
  <c r="BG44" i="3"/>
  <c r="BG52" i="3"/>
  <c r="BA75" i="3"/>
  <c r="BA82" i="3"/>
  <c r="BA91" i="3"/>
  <c r="AY78" i="3"/>
  <c r="BD87" i="3"/>
  <c r="BD88" i="3"/>
  <c r="BF81" i="3"/>
  <c r="BC73" i="3"/>
  <c r="BC82" i="3"/>
  <c r="BC69" i="3"/>
  <c r="BK63" i="3"/>
  <c r="BF90" i="3"/>
  <c r="BF68" i="3"/>
  <c r="AY89" i="3"/>
  <c r="AY87" i="3"/>
  <c r="BI76" i="3"/>
  <c r="BI78" i="3"/>
  <c r="BI75" i="3"/>
  <c r="BQ44" i="3"/>
  <c r="BG34" i="3"/>
  <c r="BG47" i="3"/>
  <c r="BG55" i="3"/>
  <c r="BG39" i="3"/>
  <c r="BA89" i="3"/>
  <c r="BA63" i="3"/>
  <c r="BA79" i="3"/>
  <c r="BC76" i="3"/>
  <c r="BD70" i="3"/>
  <c r="BF63" i="3"/>
  <c r="BD82" i="3"/>
  <c r="BD83" i="3"/>
  <c r="BC81" i="3"/>
  <c r="BC77" i="3"/>
  <c r="BC72" i="3"/>
  <c r="BF70" i="3"/>
  <c r="BF75" i="3"/>
  <c r="BD71" i="3"/>
  <c r="AY72" i="3"/>
  <c r="BI81" i="3"/>
  <c r="BI82" i="3"/>
  <c r="BI79" i="3"/>
  <c r="BB12" i="3"/>
  <c r="BR46" i="3"/>
  <c r="BG50" i="3"/>
  <c r="BG57" i="3"/>
  <c r="BG58" i="3"/>
  <c r="BI68" i="3"/>
  <c r="BA72" i="3"/>
  <c r="BA64" i="3"/>
  <c r="BA80" i="3"/>
  <c r="BC64" i="3"/>
  <c r="BD90" i="3"/>
  <c r="BD91" i="3"/>
  <c r="BC89" i="3"/>
  <c r="BC85" i="3"/>
  <c r="BC75" i="3"/>
  <c r="BF66" i="3"/>
  <c r="BF78" i="3"/>
  <c r="BF77" i="3"/>
  <c r="BF83" i="3"/>
  <c r="AY68" i="3"/>
  <c r="BI69" i="3"/>
  <c r="BI85" i="3"/>
  <c r="BI73" i="3"/>
  <c r="BF91" i="3"/>
  <c r="BD81" i="3"/>
  <c r="BD73" i="3"/>
  <c r="BF89" i="3"/>
  <c r="BE17" i="3"/>
  <c r="BL19" i="3"/>
  <c r="AZ44" i="3"/>
  <c r="BN32" i="3"/>
  <c r="BH69" i="3"/>
  <c r="BR90" i="3"/>
  <c r="BB27" i="3"/>
  <c r="BR61" i="3"/>
  <c r="BG43" i="3"/>
  <c r="BG38" i="3"/>
  <c r="BG53" i="3"/>
  <c r="BG60" i="3"/>
  <c r="BG61" i="3"/>
  <c r="BD74" i="3"/>
  <c r="BA83" i="3"/>
  <c r="BA84" i="3"/>
  <c r="BA67" i="3"/>
  <c r="BA76" i="3"/>
  <c r="BD64" i="3"/>
  <c r="BD69" i="3"/>
  <c r="BD72" i="3"/>
  <c r="BD62" i="3"/>
  <c r="BF71" i="3"/>
  <c r="BC91" i="3"/>
  <c r="BC80" i="3"/>
  <c r="BC83" i="3"/>
  <c r="BF86" i="3"/>
  <c r="BF85" i="3"/>
  <c r="BF62" i="3"/>
  <c r="BF76" i="3"/>
  <c r="BD65" i="3"/>
  <c r="AY85" i="3"/>
  <c r="BD89" i="3"/>
  <c r="BI72" i="3"/>
  <c r="BI64" i="3"/>
  <c r="BI66" i="3"/>
  <c r="BC79" i="3"/>
  <c r="AX22" i="3"/>
  <c r="BA57" i="3"/>
  <c r="BE62" i="3"/>
  <c r="BU85" i="3"/>
  <c r="AY71" i="3"/>
  <c r="BG35" i="3"/>
  <c r="BG56" i="3"/>
  <c r="BG45" i="3"/>
  <c r="BG54" i="3"/>
  <c r="AY80" i="3"/>
  <c r="BA86" i="3"/>
  <c r="BA87" i="3"/>
  <c r="BA70" i="3"/>
  <c r="BA69" i="3"/>
  <c r="BI89" i="3"/>
  <c r="BC65" i="3"/>
  <c r="BC88" i="3"/>
  <c r="BF72" i="3"/>
  <c r="AY88" i="3"/>
  <c r="BI74" i="3"/>
  <c r="BI84" i="3"/>
  <c r="BI67" i="3"/>
  <c r="BD68" i="3"/>
  <c r="BN28" i="3"/>
  <c r="BE29" i="3"/>
  <c r="BE12" i="3"/>
  <c r="BE18" i="3"/>
  <c r="BJ4" i="3"/>
  <c r="BJ14" i="3"/>
  <c r="BJ12" i="3"/>
  <c r="BJ17" i="3"/>
  <c r="BJ5" i="3"/>
  <c r="BJ3" i="3"/>
  <c r="BC48" i="3"/>
  <c r="AX46" i="3"/>
  <c r="AX52" i="3"/>
  <c r="AX37" i="3"/>
  <c r="BC42" i="3"/>
  <c r="BN57" i="3"/>
  <c r="BC52" i="3"/>
  <c r="BC50" i="3"/>
  <c r="AX35" i="3"/>
  <c r="BR91" i="3"/>
  <c r="BM75" i="3"/>
  <c r="BM89" i="3"/>
  <c r="BM62" i="3"/>
  <c r="BN79" i="3"/>
  <c r="BN65" i="3"/>
  <c r="BN69" i="3"/>
  <c r="BG102" i="3"/>
  <c r="BG108" i="3"/>
  <c r="BG111" i="3"/>
  <c r="BG98" i="3"/>
  <c r="BE20" i="3"/>
  <c r="BE7" i="3"/>
  <c r="BL9" i="3"/>
  <c r="BN23" i="3"/>
  <c r="BE30" i="3"/>
  <c r="BE15" i="3"/>
  <c r="BE10" i="3"/>
  <c r="BN17" i="3"/>
  <c r="BJ31" i="3"/>
  <c r="BJ13" i="3"/>
  <c r="BJ11" i="3"/>
  <c r="AX10" i="3"/>
  <c r="AX15" i="3"/>
  <c r="BJ20" i="3"/>
  <c r="AZ49" i="3"/>
  <c r="AX54" i="3"/>
  <c r="AX39" i="3"/>
  <c r="AX45" i="3"/>
  <c r="BC57" i="3"/>
  <c r="BC34" i="3"/>
  <c r="BC38" i="3"/>
  <c r="BA44" i="3"/>
  <c r="BC51" i="3"/>
  <c r="BC55" i="3"/>
  <c r="BC53" i="3"/>
  <c r="BI37" i="3"/>
  <c r="BE57" i="3"/>
  <c r="BE60" i="3"/>
  <c r="BA50" i="3"/>
  <c r="BA54" i="3"/>
  <c r="BE53" i="3"/>
  <c r="BE59" i="3"/>
  <c r="BN72" i="3"/>
  <c r="BU83" i="3"/>
  <c r="BU89" i="3"/>
  <c r="BT89" i="3"/>
  <c r="BT72" i="3"/>
  <c r="BJ64" i="3"/>
  <c r="BJ68" i="3"/>
  <c r="BJ85" i="3"/>
  <c r="BB83" i="3"/>
  <c r="BB74" i="3"/>
  <c r="BB72" i="3"/>
  <c r="BB70" i="3"/>
  <c r="BE64" i="3"/>
  <c r="BE91" i="3"/>
  <c r="BN89" i="3"/>
  <c r="BE68" i="3"/>
  <c r="BO80" i="3"/>
  <c r="BO85" i="3"/>
  <c r="BO89" i="3"/>
  <c r="BM83" i="3"/>
  <c r="BM67" i="3"/>
  <c r="AY65" i="3"/>
  <c r="AY69" i="3"/>
  <c r="AY76" i="3"/>
  <c r="BE73" i="3"/>
  <c r="BE87" i="3"/>
  <c r="BO63" i="3"/>
  <c r="BN87" i="3"/>
  <c r="BN73" i="3"/>
  <c r="BO65" i="3"/>
  <c r="BN78" i="3"/>
  <c r="BG101" i="3"/>
  <c r="BG110" i="3"/>
  <c r="BG116" i="3"/>
  <c r="BG107" i="3"/>
  <c r="BN74" i="3"/>
  <c r="BE8" i="3"/>
  <c r="BL5" i="3"/>
  <c r="BL15" i="3"/>
  <c r="BN31" i="3"/>
  <c r="BE21" i="3"/>
  <c r="BE31" i="3"/>
  <c r="BE28" i="3"/>
  <c r="BJ7" i="3"/>
  <c r="BJ21" i="3"/>
  <c r="BJ19" i="3"/>
  <c r="AX41" i="3"/>
  <c r="AX47" i="3"/>
  <c r="AX53" i="3"/>
  <c r="BC36" i="3"/>
  <c r="BC58" i="3"/>
  <c r="BC56" i="3"/>
  <c r="BI46" i="3"/>
  <c r="AX48" i="3"/>
  <c r="BB73" i="3"/>
  <c r="BN68" i="3"/>
  <c r="BT84" i="3"/>
  <c r="BT77" i="3"/>
  <c r="BJ67" i="3"/>
  <c r="BJ71" i="3"/>
  <c r="BJ65" i="3"/>
  <c r="BN63" i="3"/>
  <c r="BB91" i="3"/>
  <c r="BB82" i="3"/>
  <c r="BB80" i="3"/>
  <c r="BN81" i="3"/>
  <c r="BN66" i="3"/>
  <c r="BM63" i="3"/>
  <c r="BO79" i="3"/>
  <c r="BO81" i="3"/>
  <c r="BO83" i="3"/>
  <c r="BM78" i="3"/>
  <c r="BM76" i="3"/>
  <c r="BJ86" i="3"/>
  <c r="BN64" i="3"/>
  <c r="AY64" i="3"/>
  <c r="AY63" i="3"/>
  <c r="AY86" i="3"/>
  <c r="BE81" i="3"/>
  <c r="BE90" i="3"/>
  <c r="BB86" i="3"/>
  <c r="BN67" i="3"/>
  <c r="BN80" i="3"/>
  <c r="AY83" i="3"/>
  <c r="BG118" i="3"/>
  <c r="BG119" i="3"/>
  <c r="BG109" i="3"/>
  <c r="BE80" i="3"/>
  <c r="BL24" i="3"/>
  <c r="BK40" i="3"/>
  <c r="BR45" i="3"/>
  <c r="BN6" i="3"/>
  <c r="BN15" i="3"/>
  <c r="BJ6" i="3"/>
  <c r="BN19" i="3"/>
  <c r="BN12" i="3"/>
  <c r="BE24" i="3"/>
  <c r="BE13" i="3"/>
  <c r="BE26" i="3"/>
  <c r="BN10" i="3"/>
  <c r="BN13" i="3"/>
  <c r="BJ15" i="3"/>
  <c r="BJ27" i="3"/>
  <c r="BJ25" i="3"/>
  <c r="BN4" i="3"/>
  <c r="AX49" i="3"/>
  <c r="AX55" i="3"/>
  <c r="AX32" i="3"/>
  <c r="BC44" i="3"/>
  <c r="BC61" i="3"/>
  <c r="BC32" i="3"/>
  <c r="AX56" i="3"/>
  <c r="BM86" i="3"/>
  <c r="BM84" i="3"/>
  <c r="BR75" i="3"/>
  <c r="BN75" i="3"/>
  <c r="BN82" i="3"/>
  <c r="BN88" i="3"/>
  <c r="BE63" i="3"/>
  <c r="BG96" i="3"/>
  <c r="BG97" i="3"/>
  <c r="BG114" i="3"/>
  <c r="BG95" i="3"/>
  <c r="BA35" i="3"/>
  <c r="BG115" i="3"/>
  <c r="AY61" i="3"/>
  <c r="BI32" i="3"/>
  <c r="BH86" i="3"/>
  <c r="BR63" i="3"/>
  <c r="BG100" i="3"/>
  <c r="BG103" i="3"/>
  <c r="BN18" i="3"/>
  <c r="BN27" i="3"/>
  <c r="BN26" i="3"/>
  <c r="BE27" i="3"/>
  <c r="BE16" i="3"/>
  <c r="BE2" i="3"/>
  <c r="BN5" i="3"/>
  <c r="BN24" i="3"/>
  <c r="AX8" i="3"/>
  <c r="BJ23" i="3"/>
  <c r="BJ8" i="3"/>
  <c r="BJ28" i="3"/>
  <c r="BE50" i="3"/>
  <c r="BC39" i="3"/>
  <c r="AX57" i="3"/>
  <c r="AX34" i="3"/>
  <c r="BI33" i="3"/>
  <c r="BD57" i="3"/>
  <c r="BE54" i="3"/>
  <c r="BA36" i="3"/>
  <c r="BC47" i="3"/>
  <c r="BC37" i="3"/>
  <c r="AZ51" i="3"/>
  <c r="BE39" i="3"/>
  <c r="BE37" i="3"/>
  <c r="BA61" i="3"/>
  <c r="BA49" i="3"/>
  <c r="BM88" i="3"/>
  <c r="BM69" i="3"/>
  <c r="BU90" i="3"/>
  <c r="BU86" i="3"/>
  <c r="BU84" i="3"/>
  <c r="BT79" i="3"/>
  <c r="BT91" i="3"/>
  <c r="BJ66" i="3"/>
  <c r="BJ73" i="3"/>
  <c r="BJ87" i="3"/>
  <c r="BE88" i="3"/>
  <c r="BM65" i="3"/>
  <c r="BB84" i="3"/>
  <c r="BB77" i="3"/>
  <c r="BB68" i="3"/>
  <c r="BM71" i="3"/>
  <c r="BT63" i="3"/>
  <c r="BR78" i="3"/>
  <c r="BR69" i="3"/>
  <c r="BM68" i="3"/>
  <c r="BO69" i="3"/>
  <c r="BO88" i="3"/>
  <c r="BO86" i="3"/>
  <c r="BM64" i="3"/>
  <c r="BM70" i="3"/>
  <c r="BB64" i="3"/>
  <c r="BM66" i="3"/>
  <c r="AY77" i="3"/>
  <c r="AY91" i="3"/>
  <c r="AY62" i="3"/>
  <c r="BE67" i="3"/>
  <c r="BE74" i="3"/>
  <c r="BN86" i="3"/>
  <c r="BE66" i="3"/>
  <c r="BN83" i="3"/>
  <c r="BN90" i="3"/>
  <c r="BN62" i="3"/>
  <c r="BU66" i="3"/>
  <c r="BO77" i="3"/>
  <c r="BG104" i="3"/>
  <c r="BG105" i="3"/>
  <c r="BG92" i="3"/>
  <c r="BG99" i="3"/>
  <c r="BG93" i="3"/>
  <c r="BH75" i="3"/>
  <c r="BG94" i="3"/>
  <c r="BJ2" i="3"/>
  <c r="BN11" i="3"/>
  <c r="BN21" i="3"/>
  <c r="BE3" i="3"/>
  <c r="BE19" i="3"/>
  <c r="BN7" i="3"/>
  <c r="BJ29" i="3"/>
  <c r="BJ16" i="3"/>
  <c r="BJ22" i="3"/>
  <c r="BE11" i="3"/>
  <c r="BJ26" i="3"/>
  <c r="AX43" i="3"/>
  <c r="BE44" i="3"/>
  <c r="BA37" i="3"/>
  <c r="AX60" i="3"/>
  <c r="AX42" i="3"/>
  <c r="BC41" i="3"/>
  <c r="BD50" i="3"/>
  <c r="BE48" i="3"/>
  <c r="BC59" i="3"/>
  <c r="BC45" i="3"/>
  <c r="AZ38" i="3"/>
  <c r="BA56" i="3"/>
  <c r="AY84" i="3"/>
  <c r="BU77" i="3"/>
  <c r="BU65" i="3"/>
  <c r="BU80" i="3"/>
  <c r="BU64" i="3"/>
  <c r="BU62" i="3"/>
  <c r="BT87" i="3"/>
  <c r="BT62" i="3"/>
  <c r="BJ69" i="3"/>
  <c r="BJ81" i="3"/>
  <c r="AY67" i="3"/>
  <c r="BM77" i="3"/>
  <c r="BB71" i="3"/>
  <c r="BB85" i="3"/>
  <c r="BB62" i="3"/>
  <c r="BN71" i="3"/>
  <c r="BR84" i="3"/>
  <c r="BU63" i="3"/>
  <c r="BH68" i="3"/>
  <c r="BT65" i="3"/>
  <c r="BO75" i="3"/>
  <c r="BO71" i="3"/>
  <c r="BO84" i="3"/>
  <c r="BM72" i="3"/>
  <c r="BM79" i="3"/>
  <c r="BT75" i="3"/>
  <c r="AY70" i="3"/>
  <c r="AY79" i="3"/>
  <c r="AY74" i="3"/>
  <c r="BE77" i="3"/>
  <c r="BE76" i="3"/>
  <c r="BE82" i="3"/>
  <c r="BN76" i="3"/>
  <c r="BN70" i="3"/>
  <c r="BH88" i="3"/>
  <c r="BG112" i="3"/>
  <c r="BG113" i="3"/>
  <c r="BR88" i="3"/>
  <c r="BG117" i="3"/>
  <c r="BG106" i="3"/>
  <c r="BM28" i="3"/>
  <c r="BT41" i="3"/>
  <c r="AZ35" i="3"/>
  <c r="BN34" i="3"/>
  <c r="BD59" i="3"/>
  <c r="BN8" i="3"/>
  <c r="BN25" i="3"/>
  <c r="BN29" i="3"/>
  <c r="BE6" i="3"/>
  <c r="BE22" i="3"/>
  <c r="BE4" i="3"/>
  <c r="BN22" i="3"/>
  <c r="BJ10" i="3"/>
  <c r="BN30" i="3"/>
  <c r="AX36" i="3"/>
  <c r="BC33" i="3"/>
  <c r="BC35" i="3"/>
  <c r="BM91" i="3"/>
  <c r="BM85" i="3"/>
  <c r="BT68" i="3"/>
  <c r="BO87" i="3"/>
  <c r="BO72" i="3"/>
  <c r="BO76" i="3"/>
  <c r="BM74" i="3"/>
  <c r="BM73" i="3"/>
  <c r="BM87" i="3"/>
  <c r="AY73" i="3"/>
  <c r="AY90" i="3"/>
  <c r="BE85" i="3"/>
  <c r="BE84" i="3"/>
  <c r="BT70" i="3"/>
  <c r="BN84" i="3"/>
  <c r="BG120" i="3"/>
  <c r="BB53" i="3"/>
  <c r="BU37" i="3"/>
  <c r="BB39" i="3"/>
  <c r="BB49" i="3"/>
  <c r="BB32" i="3"/>
  <c r="BI41" i="3"/>
  <c r="BU52" i="3"/>
  <c r="BU50" i="3"/>
  <c r="BU54" i="3"/>
  <c r="BB35" i="3"/>
  <c r="BI35" i="3"/>
  <c r="BI60" i="3"/>
  <c r="BI45" i="3"/>
  <c r="BI48" i="3"/>
  <c r="BB42" i="3"/>
  <c r="BI52" i="3"/>
  <c r="BU48" i="3"/>
  <c r="BH90" i="3"/>
  <c r="BP65" i="3"/>
  <c r="BP82" i="3"/>
  <c r="BP88" i="3"/>
  <c r="BP62" i="3"/>
  <c r="BR86" i="3"/>
  <c r="BR65" i="3"/>
  <c r="BR70" i="3"/>
  <c r="BH87" i="3"/>
  <c r="BS63" i="3"/>
  <c r="BS65" i="3"/>
  <c r="BS80" i="3"/>
  <c r="BH72" i="3"/>
  <c r="BH63" i="3"/>
  <c r="BH81" i="3"/>
  <c r="BS78" i="3"/>
  <c r="BI49" i="3"/>
  <c r="BB47" i="3"/>
  <c r="BB57" i="3"/>
  <c r="BU58" i="3"/>
  <c r="BU53" i="3"/>
  <c r="BU32" i="3"/>
  <c r="BS60" i="3"/>
  <c r="BI51" i="3"/>
  <c r="BB37" i="3"/>
  <c r="BI55" i="3"/>
  <c r="BI56" i="3"/>
  <c r="BP79" i="3"/>
  <c r="BS86" i="3"/>
  <c r="BP90" i="3"/>
  <c r="BP63" i="3"/>
  <c r="BR64" i="3"/>
  <c r="BR68" i="3"/>
  <c r="BR62" i="3"/>
  <c r="BH82" i="3"/>
  <c r="BS66" i="3"/>
  <c r="BS68" i="3"/>
  <c r="BS88" i="3"/>
  <c r="BH84" i="3"/>
  <c r="BH71" i="3"/>
  <c r="BH89" i="3"/>
  <c r="BP87" i="3"/>
  <c r="BB44" i="3"/>
  <c r="BI42" i="3"/>
  <c r="BI8" i="3"/>
  <c r="BH6" i="3"/>
  <c r="AZ8" i="3"/>
  <c r="BH34" i="3"/>
  <c r="BS61" i="3"/>
  <c r="BB36" i="3"/>
  <c r="BB48" i="3"/>
  <c r="BB33" i="3"/>
  <c r="BU46" i="3"/>
  <c r="BU61" i="3"/>
  <c r="BU56" i="3"/>
  <c r="BB43" i="3"/>
  <c r="BU40" i="3"/>
  <c r="BI47" i="3"/>
  <c r="BI50" i="3"/>
  <c r="BI59" i="3"/>
  <c r="BB45" i="3"/>
  <c r="BP91" i="3"/>
  <c r="BP71" i="3"/>
  <c r="BR67" i="3"/>
  <c r="BR71" i="3"/>
  <c r="BH91" i="3"/>
  <c r="BS75" i="3"/>
  <c r="BS71" i="3"/>
  <c r="BS90" i="3"/>
  <c r="BH65" i="3"/>
  <c r="BH83" i="3"/>
  <c r="BH62" i="3"/>
  <c r="BP84" i="3"/>
  <c r="AY50" i="3"/>
  <c r="BB56" i="3"/>
  <c r="BB52" i="3"/>
  <c r="AY57" i="3"/>
  <c r="BU55" i="3"/>
  <c r="BU35" i="3"/>
  <c r="BU59" i="3"/>
  <c r="BI58" i="3"/>
  <c r="BI36" i="3"/>
  <c r="BB41" i="3"/>
  <c r="BI43" i="3"/>
  <c r="BP77" i="3"/>
  <c r="BP83" i="3"/>
  <c r="BR73" i="3"/>
  <c r="BR79" i="3"/>
  <c r="BS83" i="3"/>
  <c r="BS74" i="3"/>
  <c r="BS69" i="3"/>
  <c r="BH73" i="3"/>
  <c r="BH66" i="3"/>
  <c r="BR66" i="3"/>
  <c r="BR80" i="3"/>
  <c r="AX61" i="3"/>
  <c r="BB51" i="3"/>
  <c r="BB60" i="3"/>
  <c r="BU49" i="3"/>
  <c r="BU38" i="3"/>
  <c r="BU33" i="3"/>
  <c r="BB61" i="3"/>
  <c r="BU42" i="3"/>
  <c r="BI40" i="3"/>
  <c r="BU51" i="3"/>
  <c r="BI34" i="3"/>
  <c r="BI53" i="3"/>
  <c r="BI44" i="3"/>
  <c r="BB58" i="3"/>
  <c r="BR72" i="3"/>
  <c r="BP69" i="3"/>
  <c r="BP85" i="3"/>
  <c r="BP66" i="3"/>
  <c r="BS91" i="3"/>
  <c r="BH70" i="3"/>
  <c r="BR81" i="3"/>
  <c r="BR87" i="3"/>
  <c r="BS89" i="3"/>
  <c r="BS76" i="3"/>
  <c r="BS82" i="3"/>
  <c r="BS62" i="3"/>
  <c r="BH77" i="3"/>
  <c r="BH74" i="3"/>
  <c r="BP67" i="3"/>
  <c r="BB59" i="3"/>
  <c r="BB38" i="3"/>
  <c r="BU43" i="3"/>
  <c r="BU41" i="3"/>
  <c r="BU57" i="3"/>
  <c r="BU36" i="3"/>
  <c r="BU34" i="3"/>
  <c r="BI61" i="3"/>
  <c r="BI54" i="3"/>
  <c r="BS64" i="3"/>
  <c r="BH79" i="3"/>
  <c r="BP81" i="3"/>
  <c r="BP68" i="3"/>
  <c r="BP74" i="3"/>
  <c r="BP64" i="3"/>
  <c r="BR77" i="3"/>
  <c r="BR89" i="3"/>
  <c r="BR74" i="3"/>
  <c r="BH76" i="3"/>
  <c r="BS81" i="3"/>
  <c r="BS67" i="3"/>
  <c r="BP73" i="3"/>
  <c r="BS84" i="3"/>
  <c r="BS77" i="3"/>
  <c r="BH85" i="3"/>
  <c r="BH78" i="3"/>
  <c r="BB54" i="3"/>
  <c r="BB46" i="3"/>
  <c r="BI57" i="3"/>
  <c r="BU44" i="3"/>
  <c r="BU60" i="3"/>
  <c r="BI38" i="3"/>
  <c r="BR83" i="3"/>
  <c r="BP89" i="3"/>
  <c r="BP76" i="3"/>
  <c r="BP78" i="3"/>
  <c r="BS73" i="3"/>
  <c r="BR85" i="3"/>
  <c r="BR76" i="3"/>
  <c r="BR82" i="3"/>
  <c r="BH64" i="3"/>
  <c r="BS70" i="3"/>
  <c r="BH67" i="3"/>
  <c r="BS79" i="3"/>
  <c r="BH80" i="3"/>
  <c r="BP49" i="3"/>
  <c r="BI3" i="3"/>
  <c r="BI29" i="3"/>
  <c r="BI10" i="3"/>
  <c r="BH5" i="3"/>
  <c r="BM31" i="3"/>
  <c r="BH19" i="3"/>
  <c r="BI6" i="3"/>
  <c r="BN53" i="3"/>
  <c r="BH40" i="3"/>
  <c r="BD41" i="3"/>
  <c r="BD51" i="3"/>
  <c r="BS34" i="3"/>
  <c r="BD39" i="3"/>
  <c r="BD58" i="3"/>
  <c r="BD32" i="3"/>
  <c r="BS39" i="3"/>
  <c r="BS45" i="3"/>
  <c r="BN43" i="3"/>
  <c r="BN60" i="3"/>
  <c r="BH32" i="3"/>
  <c r="AZ54" i="3"/>
  <c r="AZ61" i="3"/>
  <c r="AZ32" i="3"/>
  <c r="BS44" i="3"/>
  <c r="AZ70" i="3"/>
  <c r="AZ80" i="3"/>
  <c r="AZ81" i="3"/>
  <c r="BI16" i="3"/>
  <c r="BI11" i="3"/>
  <c r="BI4" i="3"/>
  <c r="BI18" i="3"/>
  <c r="BI28" i="3"/>
  <c r="BS43" i="3"/>
  <c r="BS59" i="3"/>
  <c r="BQ36" i="3"/>
  <c r="BD47" i="3"/>
  <c r="BD53" i="3"/>
  <c r="BN61" i="3"/>
  <c r="BS38" i="3"/>
  <c r="BS33" i="3"/>
  <c r="BS32" i="3"/>
  <c r="BS41" i="3"/>
  <c r="BN51" i="3"/>
  <c r="BN36" i="3"/>
  <c r="AZ57" i="3"/>
  <c r="AZ58" i="3"/>
  <c r="BS35" i="3"/>
  <c r="AZ71" i="3"/>
  <c r="AZ59" i="3"/>
  <c r="AZ88" i="3"/>
  <c r="AZ89" i="3"/>
  <c r="BI19" i="3"/>
  <c r="BI12" i="3"/>
  <c r="BI22" i="3"/>
  <c r="BS47" i="3"/>
  <c r="AZ52" i="3"/>
  <c r="BQ50" i="3"/>
  <c r="BD52" i="3"/>
  <c r="BD61" i="3"/>
  <c r="BN50" i="3"/>
  <c r="BS46" i="3"/>
  <c r="BS49" i="3"/>
  <c r="BN38" i="3"/>
  <c r="BN44" i="3"/>
  <c r="BD38" i="3"/>
  <c r="AZ60" i="3"/>
  <c r="AZ36" i="3"/>
  <c r="AZ90" i="3"/>
  <c r="AZ65" i="3"/>
  <c r="AZ77" i="3"/>
  <c r="AZ75" i="3"/>
  <c r="AZ83" i="3"/>
  <c r="AZ64" i="3"/>
  <c r="AZ73" i="3"/>
  <c r="BI23" i="3"/>
  <c r="BI20" i="3"/>
  <c r="BI30" i="3"/>
  <c r="AZ10" i="3"/>
  <c r="BN33" i="3"/>
  <c r="AZ34" i="3"/>
  <c r="AZ55" i="3"/>
  <c r="BD40" i="3"/>
  <c r="BQ51" i="3"/>
  <c r="BD60" i="3"/>
  <c r="BD35" i="3"/>
  <c r="BS48" i="3"/>
  <c r="BS52" i="3"/>
  <c r="BN37" i="3"/>
  <c r="BN40" i="3"/>
  <c r="BN46" i="3"/>
  <c r="BN52" i="3"/>
  <c r="AZ39" i="3"/>
  <c r="AZ40" i="3"/>
  <c r="BD54" i="3"/>
  <c r="BN45" i="3"/>
  <c r="BS53" i="3"/>
  <c r="AZ79" i="3"/>
  <c r="AZ66" i="3"/>
  <c r="AZ72" i="3"/>
  <c r="AZ67" i="3"/>
  <c r="AZ82" i="3"/>
  <c r="BI31" i="3"/>
  <c r="BI24" i="3"/>
  <c r="BI5" i="3"/>
  <c r="AZ7" i="3"/>
  <c r="BI26" i="3"/>
  <c r="AZ56" i="3"/>
  <c r="AZ33" i="3"/>
  <c r="BS42" i="3"/>
  <c r="BD36" i="3"/>
  <c r="BD55" i="3"/>
  <c r="BD43" i="3"/>
  <c r="BS56" i="3"/>
  <c r="BS51" i="3"/>
  <c r="BS55" i="3"/>
  <c r="BQ39" i="3"/>
  <c r="BN48" i="3"/>
  <c r="BN54" i="3"/>
  <c r="BN39" i="3"/>
  <c r="AZ42" i="3"/>
  <c r="AZ43" i="3"/>
  <c r="BS40" i="3"/>
  <c r="AZ63" i="3"/>
  <c r="AZ87" i="3"/>
  <c r="AZ74" i="3"/>
  <c r="AZ84" i="3"/>
  <c r="BH9" i="3"/>
  <c r="BB19" i="3"/>
  <c r="BS6" i="3"/>
  <c r="BH55" i="3"/>
  <c r="BL47" i="3"/>
  <c r="BI9" i="3"/>
  <c r="BI7" i="3"/>
  <c r="BI13" i="3"/>
  <c r="BN58" i="3"/>
  <c r="AZ47" i="3"/>
  <c r="BD44" i="3"/>
  <c r="BD37" i="3"/>
  <c r="BD33" i="3"/>
  <c r="BS54" i="3"/>
  <c r="BS58" i="3"/>
  <c r="BH61" i="3"/>
  <c r="BN56" i="3"/>
  <c r="BN41" i="3"/>
  <c r="BN47" i="3"/>
  <c r="AZ37" i="3"/>
  <c r="AZ45" i="3"/>
  <c r="AZ46" i="3"/>
  <c r="BS50" i="3"/>
  <c r="AZ85" i="3"/>
  <c r="AZ91" i="3"/>
  <c r="AZ78" i="3"/>
  <c r="AZ62" i="3"/>
  <c r="BS36" i="3"/>
  <c r="BI2" i="3"/>
  <c r="BI17" i="3"/>
  <c r="BI15" i="3"/>
  <c r="BI25" i="3"/>
  <c r="BM5" i="3"/>
  <c r="BD46" i="3"/>
  <c r="BD49" i="3"/>
  <c r="BD45" i="3"/>
  <c r="BD48" i="3"/>
  <c r="BD34" i="3"/>
  <c r="BS57" i="3"/>
  <c r="AZ53" i="3"/>
  <c r="BN59" i="3"/>
  <c r="BN49" i="3"/>
  <c r="BN55" i="3"/>
  <c r="AZ41" i="3"/>
  <c r="AZ48" i="3"/>
  <c r="AZ50" i="3"/>
  <c r="AZ68" i="3"/>
  <c r="BB2" i="3"/>
  <c r="BH20" i="3"/>
  <c r="BH13" i="3"/>
  <c r="BB17" i="3"/>
  <c r="BL8" i="3"/>
  <c r="BL17" i="3"/>
  <c r="BL20" i="3"/>
  <c r="BB25" i="3"/>
  <c r="BH3" i="3"/>
  <c r="BB20" i="3"/>
  <c r="BB8" i="3"/>
  <c r="BB14" i="3"/>
  <c r="BH38" i="3"/>
  <c r="BR48" i="3"/>
  <c r="BR49" i="3"/>
  <c r="BP39" i="3"/>
  <c r="BR43" i="3"/>
  <c r="BR37" i="3"/>
  <c r="BP53" i="3"/>
  <c r="BP51" i="3"/>
  <c r="BP52" i="3"/>
  <c r="BK51" i="3"/>
  <c r="BK33" i="3"/>
  <c r="BK59" i="3"/>
  <c r="BH33" i="3"/>
  <c r="BH42" i="3"/>
  <c r="BP42" i="3"/>
  <c r="BR33" i="3"/>
  <c r="BH50" i="3"/>
  <c r="BK91" i="3"/>
  <c r="BK74" i="3"/>
  <c r="BK66" i="3"/>
  <c r="BK89" i="3"/>
  <c r="BH25" i="3"/>
  <c r="BH21" i="3"/>
  <c r="BL16" i="3"/>
  <c r="BL22" i="3"/>
  <c r="BL28" i="3"/>
  <c r="BH24" i="3"/>
  <c r="BB26" i="3"/>
  <c r="BB16" i="3"/>
  <c r="BB22" i="3"/>
  <c r="BH17" i="3"/>
  <c r="BK39" i="3"/>
  <c r="BP34" i="3"/>
  <c r="BR56" i="3"/>
  <c r="BR57" i="3"/>
  <c r="BP37" i="3"/>
  <c r="BP56" i="3"/>
  <c r="BP54" i="3"/>
  <c r="BP46" i="3"/>
  <c r="BP43" i="3"/>
  <c r="BK54" i="3"/>
  <c r="BK49" i="3"/>
  <c r="BK32" i="3"/>
  <c r="BH44" i="3"/>
  <c r="BH45" i="3"/>
  <c r="BR52" i="3"/>
  <c r="BK78" i="3"/>
  <c r="BK82" i="3"/>
  <c r="BK69" i="3"/>
  <c r="BH2" i="3"/>
  <c r="BH27" i="3"/>
  <c r="BH28" i="3"/>
  <c r="BB7" i="3"/>
  <c r="BH15" i="3"/>
  <c r="BL21" i="3"/>
  <c r="BL30" i="3"/>
  <c r="BL10" i="3"/>
  <c r="BB31" i="3"/>
  <c r="BH14" i="3"/>
  <c r="BB10" i="3"/>
  <c r="BB24" i="3"/>
  <c r="BB28" i="3"/>
  <c r="BK35" i="3"/>
  <c r="BR34" i="3"/>
  <c r="BR32" i="3"/>
  <c r="BK43" i="3"/>
  <c r="BR60" i="3"/>
  <c r="BP59" i="3"/>
  <c r="BP57" i="3"/>
  <c r="BK57" i="3"/>
  <c r="BK52" i="3"/>
  <c r="BL60" i="3"/>
  <c r="BH47" i="3"/>
  <c r="BH49" i="3"/>
  <c r="BK50" i="3"/>
  <c r="BL56" i="3"/>
  <c r="BK76" i="3"/>
  <c r="BK73" i="3"/>
  <c r="BK86" i="3"/>
  <c r="BK77" i="3"/>
  <c r="BK75" i="3"/>
  <c r="BK67" i="3"/>
  <c r="BH23" i="3"/>
  <c r="BH8" i="3"/>
  <c r="BL29" i="3"/>
  <c r="BL4" i="3"/>
  <c r="BL18" i="3"/>
  <c r="BL3" i="3"/>
  <c r="BH26" i="3"/>
  <c r="BB18" i="3"/>
  <c r="BB30" i="3"/>
  <c r="BR44" i="3"/>
  <c r="BR41" i="3"/>
  <c r="BR42" i="3"/>
  <c r="BR38" i="3"/>
  <c r="BP33" i="3"/>
  <c r="BP60" i="3"/>
  <c r="BH36" i="3"/>
  <c r="BK60" i="3"/>
  <c r="BK55" i="3"/>
  <c r="BL61" i="3"/>
  <c r="BH51" i="3"/>
  <c r="BH52" i="3"/>
  <c r="BR55" i="3"/>
  <c r="BR36" i="3"/>
  <c r="BH43" i="3"/>
  <c r="BK79" i="3"/>
  <c r="BK85" i="3"/>
  <c r="BK83" i="3"/>
  <c r="BK53" i="3"/>
  <c r="BL2" i="3"/>
  <c r="BH30" i="3"/>
  <c r="BH16" i="3"/>
  <c r="BL6" i="3"/>
  <c r="BL12" i="3"/>
  <c r="BL23" i="3"/>
  <c r="BB15" i="3"/>
  <c r="BL11" i="3"/>
  <c r="BB5" i="3"/>
  <c r="BB3" i="3"/>
  <c r="BH11" i="3"/>
  <c r="BR50" i="3"/>
  <c r="BR51" i="3"/>
  <c r="BP32" i="3"/>
  <c r="BH46" i="3"/>
  <c r="BP41" i="3"/>
  <c r="BP38" i="3"/>
  <c r="BK46" i="3"/>
  <c r="BK56" i="3"/>
  <c r="BK58" i="3"/>
  <c r="BH54" i="3"/>
  <c r="BH48" i="3"/>
  <c r="BH35" i="3"/>
  <c r="BK87" i="3"/>
  <c r="BK80" i="3"/>
  <c r="BK72" i="3"/>
  <c r="BK81" i="3"/>
  <c r="BB9" i="3"/>
  <c r="BH29" i="3"/>
  <c r="BH10" i="3"/>
  <c r="BH22" i="3"/>
  <c r="BL14" i="3"/>
  <c r="BL25" i="3"/>
  <c r="BL31" i="3"/>
  <c r="BB23" i="3"/>
  <c r="BB13" i="3"/>
  <c r="BB11" i="3"/>
  <c r="BH56" i="3"/>
  <c r="BR58" i="3"/>
  <c r="BR59" i="3"/>
  <c r="BR39" i="3"/>
  <c r="BH37" i="3"/>
  <c r="BH53" i="3"/>
  <c r="BP44" i="3"/>
  <c r="BP55" i="3"/>
  <c r="BK44" i="3"/>
  <c r="BK61" i="3"/>
  <c r="BH57" i="3"/>
  <c r="BH41" i="3"/>
  <c r="BK36" i="3"/>
  <c r="BH58" i="3"/>
  <c r="BK45" i="3"/>
  <c r="BP35" i="3"/>
  <c r="BK65" i="3"/>
  <c r="BK88" i="3"/>
  <c r="BK64" i="3"/>
  <c r="BK70" i="3"/>
  <c r="BH4" i="3"/>
  <c r="BH18" i="3"/>
  <c r="BH31" i="3"/>
  <c r="BL26" i="3"/>
  <c r="BL27" i="3"/>
  <c r="BL7" i="3"/>
  <c r="BB4" i="3"/>
  <c r="BB21" i="3"/>
  <c r="BR53" i="3"/>
  <c r="BR54" i="3"/>
  <c r="BR35" i="3"/>
  <c r="BK38" i="3"/>
  <c r="BP45" i="3"/>
  <c r="BP47" i="3"/>
  <c r="BP58" i="3"/>
  <c r="BR47" i="3"/>
  <c r="BK37" i="3"/>
  <c r="BK41" i="3"/>
  <c r="BK34" i="3"/>
  <c r="BH60" i="3"/>
  <c r="BK68" i="3"/>
  <c r="BK90" i="3"/>
  <c r="BS12" i="3"/>
  <c r="BR21" i="3"/>
  <c r="BK30" i="3"/>
  <c r="BT60" i="3"/>
  <c r="BL53" i="3"/>
  <c r="BQ46" i="3"/>
  <c r="BS20" i="3"/>
  <c r="AY4" i="3"/>
  <c r="BL35" i="3"/>
  <c r="BQ58" i="3"/>
  <c r="BQ59" i="3"/>
  <c r="BT55" i="3"/>
  <c r="BL41" i="3"/>
  <c r="BL34" i="3"/>
  <c r="BL32" i="3"/>
  <c r="AX33" i="3"/>
  <c r="BQ26" i="3"/>
  <c r="BS21" i="3"/>
  <c r="BR6" i="3"/>
  <c r="BL51" i="3"/>
  <c r="BL46" i="3"/>
  <c r="BQ34" i="3"/>
  <c r="BQ35" i="3"/>
  <c r="BQ32" i="3"/>
  <c r="BL39" i="3"/>
  <c r="BL38" i="3"/>
  <c r="BL54" i="3"/>
  <c r="BL42" i="3"/>
  <c r="BT42" i="3"/>
  <c r="BQ38" i="3"/>
  <c r="BT53" i="3"/>
  <c r="BL43" i="3"/>
  <c r="BT8" i="3"/>
  <c r="BP10" i="3"/>
  <c r="BG20" i="3"/>
  <c r="BO21" i="3"/>
  <c r="BQ24" i="3"/>
  <c r="BR7" i="3"/>
  <c r="BQ42" i="3"/>
  <c r="BQ43" i="3"/>
  <c r="BL36" i="3"/>
  <c r="BL55" i="3"/>
  <c r="BL33" i="3"/>
  <c r="BL37" i="3"/>
  <c r="BQ47" i="3"/>
  <c r="BK21" i="3"/>
  <c r="AY6" i="3"/>
  <c r="BT35" i="3"/>
  <c r="BQ48" i="3"/>
  <c r="BQ33" i="3"/>
  <c r="BQ53" i="3"/>
  <c r="BL48" i="3"/>
  <c r="BL44" i="3"/>
  <c r="BL50" i="3"/>
  <c r="BK14" i="3"/>
  <c r="AY31" i="3"/>
  <c r="BQ37" i="3"/>
  <c r="BQ52" i="3"/>
  <c r="BQ61" i="3"/>
  <c r="BL49" i="3"/>
  <c r="BL58" i="3"/>
  <c r="AY18" i="3"/>
  <c r="BQ57" i="3"/>
  <c r="BL45" i="3"/>
  <c r="BQ60" i="3"/>
  <c r="BQ56" i="3"/>
  <c r="BL57" i="3"/>
  <c r="BL40" i="3"/>
  <c r="BQ54" i="3"/>
  <c r="BS18" i="3"/>
  <c r="BQ45" i="3"/>
  <c r="BL59" i="3"/>
  <c r="BQ40" i="3"/>
  <c r="BQ55" i="3"/>
  <c r="BQ41" i="3"/>
  <c r="BL52" i="3"/>
  <c r="BQ49" i="3"/>
  <c r="BO28" i="3"/>
  <c r="BP25" i="3"/>
  <c r="AY47" i="3"/>
  <c r="AY45" i="3"/>
  <c r="AY39" i="3"/>
  <c r="AY51" i="3"/>
  <c r="AY38" i="3"/>
  <c r="BA4" i="3"/>
  <c r="AY56" i="3"/>
  <c r="AY59" i="3"/>
  <c r="AY60" i="3"/>
  <c r="AY32" i="3"/>
  <c r="AY36" i="3"/>
  <c r="BG21" i="3"/>
  <c r="AY42" i="3"/>
  <c r="AY53" i="3"/>
  <c r="BP14" i="3"/>
  <c r="AY35" i="3"/>
  <c r="AY40" i="3"/>
  <c r="AY54" i="3"/>
  <c r="BG10" i="3"/>
  <c r="AY37" i="3"/>
  <c r="AY43" i="3"/>
  <c r="AY55" i="3"/>
  <c r="AY48" i="3"/>
  <c r="AY41" i="3"/>
  <c r="AY46" i="3"/>
  <c r="AY33" i="3"/>
  <c r="AY44" i="3"/>
  <c r="AY49" i="3"/>
  <c r="AY52" i="3"/>
  <c r="BR9" i="3"/>
  <c r="BK20" i="3"/>
  <c r="BG26" i="3"/>
  <c r="AY2" i="3"/>
  <c r="BS31" i="3"/>
  <c r="BS8" i="3"/>
  <c r="BS14" i="3"/>
  <c r="BS30" i="3"/>
  <c r="BK28" i="3"/>
  <c r="BK22" i="3"/>
  <c r="BK27" i="3"/>
  <c r="BQ9" i="3"/>
  <c r="BQ7" i="3"/>
  <c r="BR31" i="3"/>
  <c r="BQ11" i="3"/>
  <c r="BR3" i="3"/>
  <c r="BR14" i="3"/>
  <c r="BR15" i="3"/>
  <c r="BR27" i="3"/>
  <c r="AY9" i="3"/>
  <c r="AY19" i="3"/>
  <c r="BQ13" i="3"/>
  <c r="BT54" i="3"/>
  <c r="BT37" i="3"/>
  <c r="BK8" i="3"/>
  <c r="BQ5" i="3"/>
  <c r="BS16" i="3"/>
  <c r="BS22" i="3"/>
  <c r="BR17" i="3"/>
  <c r="BK31" i="3"/>
  <c r="BK9" i="3"/>
  <c r="BK7" i="3"/>
  <c r="BQ23" i="3"/>
  <c r="BQ17" i="3"/>
  <c r="BQ15" i="3"/>
  <c r="BR22" i="3"/>
  <c r="BR23" i="3"/>
  <c r="BR8" i="3"/>
  <c r="AY17" i="3"/>
  <c r="AY27" i="3"/>
  <c r="BT61" i="3"/>
  <c r="BT49" i="3"/>
  <c r="BT45" i="3"/>
  <c r="BT36" i="3"/>
  <c r="BD18" i="3"/>
  <c r="BO5" i="3"/>
  <c r="BR25" i="3"/>
  <c r="BS7" i="3"/>
  <c r="BS24" i="3"/>
  <c r="BS9" i="3"/>
  <c r="BS5" i="3"/>
  <c r="BK11" i="3"/>
  <c r="BK17" i="3"/>
  <c r="BK15" i="3"/>
  <c r="BQ8" i="3"/>
  <c r="BQ21" i="3"/>
  <c r="BQ27" i="3"/>
  <c r="AY16" i="3"/>
  <c r="BR28" i="3"/>
  <c r="BR29" i="3"/>
  <c r="BR16" i="3"/>
  <c r="AY26" i="3"/>
  <c r="AY22" i="3"/>
  <c r="BS13" i="3"/>
  <c r="AY15" i="3"/>
  <c r="BT57" i="3"/>
  <c r="BT50" i="3"/>
  <c r="BT43" i="3"/>
  <c r="BQ2" i="3"/>
  <c r="AY25" i="3"/>
  <c r="AY14" i="3"/>
  <c r="BS15" i="3"/>
  <c r="BS3" i="3"/>
  <c r="BS17" i="3"/>
  <c r="BS26" i="3"/>
  <c r="BQ3" i="3"/>
  <c r="BK10" i="3"/>
  <c r="BK19" i="3"/>
  <c r="BK25" i="3"/>
  <c r="BK23" i="3"/>
  <c r="BQ16" i="3"/>
  <c r="BQ29" i="3"/>
  <c r="BQ10" i="3"/>
  <c r="AY13" i="3"/>
  <c r="BR4" i="3"/>
  <c r="BR10" i="3"/>
  <c r="BR24" i="3"/>
  <c r="AY21" i="3"/>
  <c r="AY30" i="3"/>
  <c r="AY8" i="3"/>
  <c r="BR11" i="3"/>
  <c r="BT40" i="3"/>
  <c r="BT48" i="3"/>
  <c r="BT38" i="3"/>
  <c r="BT39" i="3"/>
  <c r="BT58" i="3"/>
  <c r="BT56" i="3"/>
  <c r="BK2" i="3"/>
  <c r="AY7" i="3"/>
  <c r="BS23" i="3"/>
  <c r="BS11" i="3"/>
  <c r="BS25" i="3"/>
  <c r="BQ31" i="3"/>
  <c r="BK18" i="3"/>
  <c r="BK29" i="3"/>
  <c r="BK4" i="3"/>
  <c r="BK26" i="3"/>
  <c r="BQ28" i="3"/>
  <c r="BQ4" i="3"/>
  <c r="BQ18" i="3"/>
  <c r="BR12" i="3"/>
  <c r="BR18" i="3"/>
  <c r="BR30" i="3"/>
  <c r="AY29" i="3"/>
  <c r="BK16" i="3"/>
  <c r="BQ25" i="3"/>
  <c r="AY12" i="3"/>
  <c r="BS28" i="3"/>
  <c r="AY11" i="3"/>
  <c r="BT44" i="3"/>
  <c r="BT46" i="3"/>
  <c r="BT47" i="3"/>
  <c r="BT32" i="3"/>
  <c r="BS2" i="3"/>
  <c r="BS27" i="3"/>
  <c r="BS19" i="3"/>
  <c r="BS4" i="3"/>
  <c r="AY23" i="3"/>
  <c r="AY3" i="3"/>
  <c r="BK5" i="3"/>
  <c r="BK3" i="3"/>
  <c r="BK12" i="3"/>
  <c r="BQ6" i="3"/>
  <c r="BQ12" i="3"/>
  <c r="BQ22" i="3"/>
  <c r="BR20" i="3"/>
  <c r="BR5" i="3"/>
  <c r="AY20" i="3"/>
  <c r="AY24" i="3"/>
  <c r="BQ19" i="3"/>
  <c r="BK24" i="3"/>
  <c r="BT34" i="3"/>
  <c r="BT51" i="3"/>
  <c r="BT52" i="3"/>
  <c r="BT33" i="3"/>
  <c r="BR19" i="3"/>
  <c r="BS10" i="3"/>
  <c r="BS29" i="3"/>
  <c r="BK13" i="3"/>
  <c r="BK6" i="3"/>
  <c r="BQ14" i="3"/>
  <c r="BQ20" i="3"/>
  <c r="BR26" i="3"/>
  <c r="BR13" i="3"/>
  <c r="AY28" i="3"/>
  <c r="BT59" i="3"/>
  <c r="BO2" i="3"/>
  <c r="BO6" i="3"/>
  <c r="BA18" i="3"/>
  <c r="BO31" i="3"/>
  <c r="BO29" i="3"/>
  <c r="BG29" i="3"/>
  <c r="BG28" i="3"/>
  <c r="BP18" i="3"/>
  <c r="BD14" i="3"/>
  <c r="BG2" i="3"/>
  <c r="BO17" i="3"/>
  <c r="BA28" i="3"/>
  <c r="BG22" i="3"/>
  <c r="BO16" i="3"/>
  <c r="BO23" i="3"/>
  <c r="BO24" i="3"/>
  <c r="BG16" i="3"/>
  <c r="BG25" i="3"/>
  <c r="BG7" i="3"/>
  <c r="BG12" i="3"/>
  <c r="BO15" i="3"/>
  <c r="BG11" i="3"/>
  <c r="BG13" i="3"/>
  <c r="BD19" i="3"/>
  <c r="BO30" i="3"/>
  <c r="BG6" i="3"/>
  <c r="BG15" i="3"/>
  <c r="BO8" i="3"/>
  <c r="BG8" i="3"/>
  <c r="BO27" i="3"/>
  <c r="BD8" i="3"/>
  <c r="BO10" i="3"/>
  <c r="BO9" i="3"/>
  <c r="BD25" i="3"/>
  <c r="BO22" i="3"/>
  <c r="BO18" i="3"/>
  <c r="BG9" i="3"/>
  <c r="BG14" i="3"/>
  <c r="BG24" i="3"/>
  <c r="BG5" i="3"/>
  <c r="BG4" i="3"/>
  <c r="BG30" i="3"/>
  <c r="BT13" i="3"/>
  <c r="BD23" i="3"/>
  <c r="BO3" i="3"/>
  <c r="BO26" i="3"/>
  <c r="BG23" i="3"/>
  <c r="BG19" i="3"/>
  <c r="BG3" i="3"/>
  <c r="BG17" i="3"/>
  <c r="BT27" i="3"/>
  <c r="BO11" i="3"/>
  <c r="BO4" i="3"/>
  <c r="BG18" i="3"/>
  <c r="BG27" i="3"/>
  <c r="BO25" i="3"/>
  <c r="BD2" i="3"/>
  <c r="BT2" i="3"/>
  <c r="BO13" i="3"/>
  <c r="BT31" i="3"/>
  <c r="BO20" i="3"/>
  <c r="BO12" i="3"/>
  <c r="BG31" i="3"/>
  <c r="BO19" i="3"/>
  <c r="BA11" i="3"/>
  <c r="BO14" i="3"/>
  <c r="BO7" i="3"/>
  <c r="BD27" i="3"/>
  <c r="BT26" i="3"/>
  <c r="BT9" i="3"/>
  <c r="BT7" i="3"/>
  <c r="BA12" i="3"/>
  <c r="BA22" i="3"/>
  <c r="BA2" i="3"/>
  <c r="BP23" i="3"/>
  <c r="BD24" i="3"/>
  <c r="BD7" i="3"/>
  <c r="BD5" i="3"/>
  <c r="BP19" i="3"/>
  <c r="BP12" i="3"/>
  <c r="BP20" i="3"/>
  <c r="BP13" i="3"/>
  <c r="BT23" i="3"/>
  <c r="BA23" i="3"/>
  <c r="BT16" i="3"/>
  <c r="BT3" i="3"/>
  <c r="BT17" i="3"/>
  <c r="BT15" i="3"/>
  <c r="BA20" i="3"/>
  <c r="BA30" i="3"/>
  <c r="BA3" i="3"/>
  <c r="BD9" i="3"/>
  <c r="BD15" i="3"/>
  <c r="BD13" i="3"/>
  <c r="BP4" i="3"/>
  <c r="BP27" i="3"/>
  <c r="BP21" i="3"/>
  <c r="BT29" i="3"/>
  <c r="BA31" i="3"/>
  <c r="BD6" i="3"/>
  <c r="BT11" i="3"/>
  <c r="BT22" i="3"/>
  <c r="BT20" i="3"/>
  <c r="BA24" i="3"/>
  <c r="BA5" i="3"/>
  <c r="BD17" i="3"/>
  <c r="BD20" i="3"/>
  <c r="BD26" i="3"/>
  <c r="BP31" i="3"/>
  <c r="BP7" i="3"/>
  <c r="BP28" i="3"/>
  <c r="BA21" i="3"/>
  <c r="BT19" i="3"/>
  <c r="BT30" i="3"/>
  <c r="BT28" i="3"/>
  <c r="BA7" i="3"/>
  <c r="BA13" i="3"/>
  <c r="BP5" i="3"/>
  <c r="BD22" i="3"/>
  <c r="BD28" i="3"/>
  <c r="BP29" i="3"/>
  <c r="BA9" i="3"/>
  <c r="BD21" i="3"/>
  <c r="BP22" i="3"/>
  <c r="BP15" i="3"/>
  <c r="BP2" i="3"/>
  <c r="BA17" i="3"/>
  <c r="BP11" i="3"/>
  <c r="BT24" i="3"/>
  <c r="BT4" i="3"/>
  <c r="BA6" i="3"/>
  <c r="BA15" i="3"/>
  <c r="BA25" i="3"/>
  <c r="BD30" i="3"/>
  <c r="BD31" i="3"/>
  <c r="BP6" i="3"/>
  <c r="BT10" i="3"/>
  <c r="BP26" i="3"/>
  <c r="BP24" i="3"/>
  <c r="BD29" i="3"/>
  <c r="BT6" i="3"/>
  <c r="BT12" i="3"/>
  <c r="BA14" i="3"/>
  <c r="BA27" i="3"/>
  <c r="BA8" i="3"/>
  <c r="BD16" i="3"/>
  <c r="BD3" i="3"/>
  <c r="BD4" i="3"/>
  <c r="BD10" i="3"/>
  <c r="BA29" i="3"/>
  <c r="BP8" i="3"/>
  <c r="BP9" i="3"/>
  <c r="BP30" i="3"/>
  <c r="BT18" i="3"/>
  <c r="BP16" i="3"/>
  <c r="BT5" i="3"/>
  <c r="BT14" i="3"/>
  <c r="BT25" i="3"/>
  <c r="BA26" i="3"/>
  <c r="BA10" i="3"/>
  <c r="BA16" i="3"/>
  <c r="BD11" i="3"/>
  <c r="BD12" i="3"/>
  <c r="BT21" i="3"/>
  <c r="BP3" i="3"/>
  <c r="BP17" i="3"/>
  <c r="AZ15" i="3"/>
  <c r="AZ16" i="3"/>
  <c r="BM8" i="3"/>
  <c r="BM24" i="3"/>
  <c r="BM23" i="3"/>
  <c r="AZ12" i="3"/>
  <c r="AZ22" i="3"/>
  <c r="AZ26" i="3"/>
  <c r="BM11" i="3"/>
  <c r="BM27" i="3"/>
  <c r="BM15" i="3"/>
  <c r="AZ6" i="3"/>
  <c r="AZ30" i="3"/>
  <c r="AZ31" i="3"/>
  <c r="BM14" i="3"/>
  <c r="BM3" i="3"/>
  <c r="BM29" i="3"/>
  <c r="BM26" i="3"/>
  <c r="AZ18" i="3"/>
  <c r="AZ5" i="3"/>
  <c r="AZ11" i="3"/>
  <c r="BM17" i="3"/>
  <c r="BM6" i="3"/>
  <c r="BM7" i="3"/>
  <c r="BM16" i="3"/>
  <c r="BM25" i="3"/>
  <c r="AZ13" i="3"/>
  <c r="AZ19" i="3"/>
  <c r="BM20" i="3"/>
  <c r="BM9" i="3"/>
  <c r="BM2" i="3"/>
  <c r="AZ9" i="3"/>
  <c r="AZ27" i="3"/>
  <c r="AZ24" i="3"/>
  <c r="AZ14" i="3"/>
  <c r="BM13" i="3"/>
  <c r="BM22" i="3"/>
  <c r="AZ23" i="3"/>
  <c r="AZ21" i="3"/>
  <c r="AZ2" i="3"/>
  <c r="BM30" i="3"/>
  <c r="BM12" i="3"/>
  <c r="AZ29" i="3"/>
  <c r="AZ4" i="3"/>
  <c r="BM19" i="3"/>
  <c r="BM10" i="3"/>
  <c r="AZ17" i="3"/>
  <c r="AZ25" i="3"/>
  <c r="AZ28" i="3"/>
  <c r="BM4" i="3"/>
  <c r="BM18" i="3"/>
  <c r="AZ20" i="3"/>
  <c r="CH33" i="3"/>
  <c r="CH35" i="3" s="1"/>
  <c r="CM33" i="3"/>
  <c r="CM35" i="3" s="1"/>
  <c r="CA92" i="3"/>
  <c r="CS123" i="3"/>
  <c r="CS122" i="3"/>
  <c r="CK123" i="3"/>
  <c r="CK122" i="3"/>
  <c r="CM32" i="3"/>
  <c r="CM34" i="3" s="1"/>
  <c r="BV63" i="3"/>
  <c r="BV62" i="3"/>
  <c r="BY92" i="3"/>
  <c r="CJ123" i="3"/>
  <c r="CJ122" i="3"/>
  <c r="CA123" i="3"/>
  <c r="CA122" i="3"/>
  <c r="BX123" i="3"/>
  <c r="BX122" i="3"/>
  <c r="CM123" i="3"/>
  <c r="CR123" i="3"/>
  <c r="CR122" i="3"/>
  <c r="CL123" i="3"/>
  <c r="CL122" i="3"/>
  <c r="CF123" i="3"/>
  <c r="CF122" i="3"/>
  <c r="CH32" i="3"/>
  <c r="CH34" i="3" s="1"/>
  <c r="CA93" i="3"/>
  <c r="CF93" i="3"/>
  <c r="CF92" i="3"/>
  <c r="BZ123" i="3"/>
  <c r="BZ122" i="3"/>
  <c r="CD93" i="3"/>
  <c r="CG123" i="3"/>
  <c r="CG122" i="3"/>
  <c r="BZ17" i="1"/>
  <c r="CA11" i="1"/>
  <c r="CB7" i="1"/>
  <c r="BZ27" i="1"/>
  <c r="CC15" i="1"/>
  <c r="CA8" i="1"/>
  <c r="CC11" i="1"/>
  <c r="CB24" i="1"/>
  <c r="CB23" i="1"/>
  <c r="CB14" i="1"/>
  <c r="CB3" i="1"/>
  <c r="CC16" i="1"/>
  <c r="CB26" i="1"/>
  <c r="CC28" i="1"/>
  <c r="BZ5" i="1"/>
  <c r="CA6" i="1"/>
  <c r="CC8" i="1"/>
  <c r="CC21" i="1"/>
  <c r="BZ8" i="1"/>
  <c r="CB9" i="1"/>
  <c r="CC13" i="1"/>
  <c r="CB31" i="1"/>
  <c r="CA20" i="1"/>
  <c r="CA26" i="1"/>
  <c r="CB11" i="1"/>
  <c r="BZ12" i="1"/>
  <c r="CC4" i="1"/>
  <c r="CB10" i="1"/>
  <c r="BZ26" i="1"/>
  <c r="CA24" i="1"/>
  <c r="CB4" i="1"/>
  <c r="BZ22" i="1"/>
  <c r="CB28" i="1"/>
  <c r="BZ20" i="1"/>
  <c r="BZ23" i="1"/>
  <c r="CA18" i="1"/>
  <c r="CA25" i="1"/>
  <c r="CA14" i="1"/>
  <c r="BZ25" i="1"/>
  <c r="CC22" i="1"/>
  <c r="BZ24" i="1"/>
  <c r="CC5" i="1"/>
  <c r="BZ21" i="1"/>
  <c r="CB25" i="1"/>
  <c r="CC26" i="1"/>
  <c r="CC18" i="1"/>
  <c r="BZ4" i="1"/>
  <c r="BZ16" i="1"/>
  <c r="CC3" i="1"/>
  <c r="CB16" i="1"/>
  <c r="CC29" i="1"/>
  <c r="CC7" i="1"/>
  <c r="CA10" i="1"/>
  <c r="CB19" i="1"/>
  <c r="CC6" i="1"/>
  <c r="CB6" i="1"/>
  <c r="CB20" i="1"/>
  <c r="CA21" i="1"/>
  <c r="BZ13" i="1"/>
  <c r="CA12" i="1"/>
  <c r="CC25" i="1"/>
  <c r="CB18" i="1"/>
  <c r="CC27" i="1"/>
  <c r="CA30" i="1"/>
  <c r="CB13" i="1"/>
  <c r="CA22" i="1"/>
  <c r="CA9" i="1"/>
  <c r="CC12" i="1"/>
  <c r="CC14" i="1"/>
  <c r="CA16" i="1"/>
  <c r="BZ18" i="1"/>
  <c r="CB29" i="1"/>
  <c r="BZ31" i="1"/>
  <c r="CA31" i="1"/>
  <c r="BZ10" i="1"/>
  <c r="CB5" i="1"/>
  <c r="BZ29" i="1"/>
  <c r="CA23" i="1"/>
  <c r="CA28" i="1"/>
  <c r="CC31" i="1"/>
  <c r="BZ14" i="1"/>
  <c r="BZ19" i="1"/>
  <c r="CB17" i="1"/>
  <c r="CA13" i="1"/>
  <c r="CC19" i="1"/>
  <c r="CC23" i="1"/>
  <c r="CA3" i="1"/>
  <c r="CB8" i="1"/>
  <c r="CC17" i="1"/>
  <c r="CB30" i="1"/>
  <c r="CA15" i="1"/>
  <c r="CC10" i="1"/>
  <c r="BZ15" i="1"/>
  <c r="BZ3" i="1"/>
  <c r="BZ9" i="1"/>
  <c r="CA7" i="1"/>
  <c r="CA19" i="1"/>
  <c r="CC9" i="1"/>
  <c r="CB15" i="1"/>
  <c r="CC20" i="1"/>
  <c r="CC24" i="1"/>
  <c r="CA29" i="1"/>
  <c r="CB12" i="1"/>
  <c r="BZ11" i="1"/>
  <c r="BZ6" i="1"/>
  <c r="BZ28" i="1"/>
  <c r="CA5" i="1"/>
  <c r="CA27" i="1"/>
  <c r="CB22" i="1"/>
  <c r="CA4" i="1"/>
  <c r="CC30" i="1"/>
  <c r="BZ7" i="1"/>
  <c r="BZ30" i="1"/>
  <c r="CA17" i="1"/>
  <c r="CB21" i="1"/>
  <c r="CB27" i="1"/>
  <c r="CC2" i="1"/>
  <c r="BZ2" i="1"/>
  <c r="CA2" i="1"/>
  <c r="CB2" i="1"/>
  <c r="CN93" i="3" l="1"/>
  <c r="CD122" i="3"/>
  <c r="CC92" i="3"/>
  <c r="CO123" i="3"/>
  <c r="CO63" i="3"/>
  <c r="CP122" i="3"/>
  <c r="CC123" i="3"/>
  <c r="CP123" i="3"/>
  <c r="CC122" i="3"/>
  <c r="CN92" i="3"/>
  <c r="CO122" i="3"/>
  <c r="CO62" i="3"/>
  <c r="CD123" i="3"/>
  <c r="CD33" i="3"/>
  <c r="CD35" i="3" s="1"/>
  <c r="CB123" i="3"/>
  <c r="CN123" i="3"/>
  <c r="CC93" i="3"/>
  <c r="CL92" i="3"/>
  <c r="BY123" i="3"/>
  <c r="CM122" i="3"/>
  <c r="BY93" i="3"/>
  <c r="CD92" i="3"/>
  <c r="CD32" i="3"/>
  <c r="CD34" i="3" s="1"/>
  <c r="CL93" i="3"/>
  <c r="CN122" i="3"/>
  <c r="CB122" i="3"/>
  <c r="CQ92" i="3"/>
  <c r="CI123" i="3"/>
  <c r="CO93" i="3"/>
  <c r="CQ123" i="3"/>
  <c r="CS93" i="3"/>
  <c r="CG93" i="3"/>
  <c r="CD2" i="3"/>
  <c r="CD4" i="3" s="1"/>
  <c r="CE62" i="3"/>
  <c r="BY122" i="3"/>
  <c r="CK93" i="3"/>
  <c r="CI93" i="3"/>
  <c r="BX93" i="3"/>
  <c r="BW122" i="3"/>
  <c r="BW93" i="3"/>
  <c r="CK33" i="3"/>
  <c r="CK35" i="3" s="1"/>
  <c r="CH93" i="3"/>
  <c r="BW123" i="3"/>
  <c r="CD3" i="3"/>
  <c r="CD5" i="3" s="1"/>
  <c r="CE122" i="3"/>
  <c r="CG92" i="3"/>
  <c r="CH123" i="3"/>
  <c r="BZ93" i="3"/>
  <c r="CQ122" i="3"/>
  <c r="CE123" i="3"/>
  <c r="BV123" i="3"/>
  <c r="CE63" i="3"/>
  <c r="CS92" i="3"/>
  <c r="BW92" i="3"/>
  <c r="BX92" i="3"/>
  <c r="CK32" i="3"/>
  <c r="CK34" i="3" s="1"/>
  <c r="CK92" i="3"/>
  <c r="CI92" i="3"/>
  <c r="CO92" i="3"/>
  <c r="CI122" i="3"/>
  <c r="BZ92" i="3"/>
  <c r="CH92" i="3"/>
  <c r="CQ93" i="3"/>
  <c r="BV122" i="3"/>
  <c r="CH122" i="3"/>
  <c r="CM92" i="3"/>
  <c r="CA63" i="3"/>
  <c r="CE32" i="3"/>
  <c r="CE34" i="3" s="1"/>
  <c r="CM63" i="3"/>
  <c r="CM93" i="3"/>
  <c r="CB93" i="3"/>
  <c r="CR93" i="3"/>
  <c r="BV93" i="3"/>
  <c r="CP93" i="3"/>
  <c r="CJ93" i="3"/>
  <c r="CJ63" i="3"/>
  <c r="CP92" i="3"/>
  <c r="CE33" i="3"/>
  <c r="CE35" i="3" s="1"/>
  <c r="CB63" i="3"/>
  <c r="BY62" i="3"/>
  <c r="CJ92" i="3"/>
  <c r="CJ62" i="3"/>
  <c r="CR92" i="3"/>
  <c r="CB92" i="3"/>
  <c r="BV92" i="3"/>
  <c r="CD62" i="3"/>
  <c r="CG63" i="3"/>
  <c r="CS2" i="3"/>
  <c r="CS4" i="3" s="1"/>
  <c r="CC33" i="3"/>
  <c r="CC35" i="3" s="1"/>
  <c r="BV2" i="3"/>
  <c r="BV4" i="3" s="1"/>
  <c r="CA2" i="3"/>
  <c r="CA4" i="3" s="1"/>
  <c r="BV3" i="3"/>
  <c r="BV5" i="3" s="1"/>
  <c r="CA3" i="3"/>
  <c r="CA5" i="3" s="1"/>
  <c r="CR63" i="3"/>
  <c r="BY33" i="3"/>
  <c r="BY35" i="3" s="1"/>
  <c r="CB62" i="3"/>
  <c r="CS3" i="3"/>
  <c r="CS5" i="3" s="1"/>
  <c r="CJ3" i="3"/>
  <c r="CJ5" i="3" s="1"/>
  <c r="BV33" i="3"/>
  <c r="BV35" i="3" s="1"/>
  <c r="CE92" i="3"/>
  <c r="BZ63" i="3"/>
  <c r="CK62" i="3"/>
  <c r="CC32" i="3"/>
  <c r="CC34" i="3" s="1"/>
  <c r="CL62" i="3"/>
  <c r="BY63" i="3"/>
  <c r="CA62" i="3"/>
  <c r="CG62" i="3"/>
  <c r="CD63" i="3"/>
  <c r="CI32" i="3"/>
  <c r="CI34" i="3" s="1"/>
  <c r="CF33" i="3"/>
  <c r="CF35" i="3" s="1"/>
  <c r="CB33" i="3"/>
  <c r="CB35" i="3" s="1"/>
  <c r="BX63" i="3"/>
  <c r="CQ32" i="3"/>
  <c r="CQ34" i="3" s="1"/>
  <c r="CN63" i="3"/>
  <c r="CM62" i="3"/>
  <c r="BV32" i="3"/>
  <c r="BV34" i="3" s="1"/>
  <c r="CC63" i="3"/>
  <c r="BZ62" i="3"/>
  <c r="CE93" i="3"/>
  <c r="BW62" i="3"/>
  <c r="CK63" i="3"/>
  <c r="CL3" i="3"/>
  <c r="CL5" i="3" s="1"/>
  <c r="CL63" i="3"/>
  <c r="CH63" i="3"/>
  <c r="CA33" i="3"/>
  <c r="CA35" i="3" s="1"/>
  <c r="CS63" i="3"/>
  <c r="CH2" i="3"/>
  <c r="CH4" i="3" s="1"/>
  <c r="CC3" i="3"/>
  <c r="CC5" i="3" s="1"/>
  <c r="BY32" i="3"/>
  <c r="BY34" i="3" s="1"/>
  <c r="CL2" i="3"/>
  <c r="CL4" i="3" s="1"/>
  <c r="CH3" i="3"/>
  <c r="CH5" i="3" s="1"/>
  <c r="BW63" i="3"/>
  <c r="CH62" i="3"/>
  <c r="CC62" i="3"/>
  <c r="CA32" i="3"/>
  <c r="CA34" i="3" s="1"/>
  <c r="CC2" i="3"/>
  <c r="CC4" i="3" s="1"/>
  <c r="CR62" i="3"/>
  <c r="CS62" i="3"/>
  <c r="CI63" i="3"/>
  <c r="CI33" i="3"/>
  <c r="CI35" i="3" s="1"/>
  <c r="CN33" i="3"/>
  <c r="CN35" i="3" s="1"/>
  <c r="CJ2" i="3"/>
  <c r="CJ4" i="3" s="1"/>
  <c r="CP32" i="3"/>
  <c r="CP34" i="3" s="1"/>
  <c r="CF3" i="3"/>
  <c r="CF5" i="3" s="1"/>
  <c r="BZ3" i="3"/>
  <c r="BZ5" i="3" s="1"/>
  <c r="CF32" i="3"/>
  <c r="CF34" i="3" s="1"/>
  <c r="CG2" i="3"/>
  <c r="CG4" i="3" s="1"/>
  <c r="CL32" i="3"/>
  <c r="CL34" i="3" s="1"/>
  <c r="CQ33" i="3"/>
  <c r="CQ35" i="3" s="1"/>
  <c r="BX32" i="3"/>
  <c r="BX34" i="3" s="1"/>
  <c r="CB32" i="3"/>
  <c r="CB34" i="3" s="1"/>
  <c r="BX62" i="3"/>
  <c r="CF63" i="3"/>
  <c r="BZ33" i="3"/>
  <c r="BZ35" i="3" s="1"/>
  <c r="CQ63" i="3"/>
  <c r="CS33" i="3"/>
  <c r="CS35" i="3" s="1"/>
  <c r="CN62" i="3"/>
  <c r="CP63" i="3"/>
  <c r="CG32" i="3"/>
  <c r="CG34" i="3" s="1"/>
  <c r="CI62" i="3"/>
  <c r="BZ32" i="3"/>
  <c r="BZ34" i="3" s="1"/>
  <c r="CS32" i="3"/>
  <c r="CS34" i="3" s="1"/>
  <c r="CP33" i="3"/>
  <c r="CP35" i="3" s="1"/>
  <c r="CG33" i="3"/>
  <c r="CG35" i="3" s="1"/>
  <c r="CF2" i="3"/>
  <c r="CF4" i="3" s="1"/>
  <c r="CP62" i="3"/>
  <c r="CQ62" i="3"/>
  <c r="BV37" i="3"/>
  <c r="BZ2" i="3"/>
  <c r="BZ4" i="3" s="1"/>
  <c r="CN32" i="3"/>
  <c r="CN34" i="3" s="1"/>
  <c r="BX33" i="3"/>
  <c r="BX35" i="3" s="1"/>
  <c r="CG3" i="3"/>
  <c r="CG5" i="3" s="1"/>
  <c r="CF62" i="3"/>
  <c r="CL33" i="3"/>
  <c r="CL35" i="3" s="1"/>
  <c r="BW33" i="3"/>
  <c r="BW35" i="3" s="1"/>
  <c r="CI2" i="3"/>
  <c r="CI4" i="3" s="1"/>
  <c r="BW32" i="3"/>
  <c r="BW34" i="3" s="1"/>
  <c r="CP2" i="3"/>
  <c r="CP4" i="3" s="1"/>
  <c r="CO33" i="3"/>
  <c r="CO35" i="3" s="1"/>
  <c r="CJ32" i="3"/>
  <c r="CJ34" i="3" s="1"/>
  <c r="CO32" i="3"/>
  <c r="CO34" i="3" s="1"/>
  <c r="CJ33" i="3"/>
  <c r="CJ35" i="3" s="1"/>
  <c r="CI3" i="3"/>
  <c r="CI5" i="3" s="1"/>
  <c r="CE3" i="3"/>
  <c r="CE5" i="3" s="1"/>
  <c r="CQ3" i="3"/>
  <c r="CQ5" i="3" s="1"/>
  <c r="CR32" i="3"/>
  <c r="CR34" i="3" s="1"/>
  <c r="BW3" i="3"/>
  <c r="BW5" i="3" s="1"/>
  <c r="CP3" i="3"/>
  <c r="CP5" i="3" s="1"/>
  <c r="CO3" i="3"/>
  <c r="CO5" i="3" s="1"/>
  <c r="BW2" i="3"/>
  <c r="BW4" i="3" s="1"/>
  <c r="CR33" i="3"/>
  <c r="CR35" i="3" s="1"/>
  <c r="CO2" i="3"/>
  <c r="CO4" i="3" s="1"/>
  <c r="CQ2" i="3"/>
  <c r="CQ4" i="3" s="1"/>
  <c r="CE2" i="3"/>
  <c r="CE4" i="3" s="1"/>
  <c r="CM2" i="3"/>
  <c r="CM4" i="3" s="1"/>
  <c r="CB2" i="3"/>
  <c r="CB4" i="3" s="1"/>
  <c r="CB3" i="3"/>
  <c r="CB5" i="3" s="1"/>
  <c r="CN3" i="3"/>
  <c r="CN5" i="3" s="1"/>
  <c r="CM3" i="3"/>
  <c r="CM5" i="3" s="1"/>
  <c r="CR3" i="3"/>
  <c r="CR5" i="3" s="1"/>
  <c r="BY3" i="3"/>
  <c r="BY5" i="3" s="1"/>
  <c r="CN2" i="3"/>
  <c r="CN4" i="3" s="1"/>
  <c r="CR2" i="3"/>
  <c r="CR4" i="3" s="1"/>
  <c r="BY2" i="3"/>
  <c r="BY4" i="3" s="1"/>
  <c r="BX2" i="3"/>
  <c r="BX4" i="3" s="1"/>
  <c r="CK2" i="3"/>
  <c r="CK4" i="3" s="1"/>
  <c r="CK3" i="3"/>
  <c r="CK5" i="3" s="1"/>
  <c r="BX3" i="3"/>
  <c r="BX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<sst xmlns="http://schemas.openxmlformats.org/spreadsheetml/2006/main" count="252" uniqueCount="90">
  <si>
    <t>Type</t>
  </si>
  <si>
    <t>Alpha Helix</t>
  </si>
  <si>
    <t>Trihelix</t>
  </si>
  <si>
    <t>Betashets</t>
  </si>
  <si>
    <t>Betaturns</t>
  </si>
  <si>
    <t>Disorder</t>
  </si>
  <si>
    <t>No</t>
  </si>
  <si>
    <t>Collagen Type</t>
  </si>
  <si>
    <t>α-like helix (Mean)</t>
  </si>
  <si>
    <t>α SD</t>
  </si>
  <si>
    <t>Triple helix (Mean)</t>
  </si>
  <si>
    <t>Triple SD</t>
  </si>
  <si>
    <t>β-sheets (Mean)</t>
  </si>
  <si>
    <t>β SD</t>
  </si>
  <si>
    <t>β-turns (Mean)</t>
  </si>
  <si>
    <t>β-turns SD</t>
  </si>
  <si>
    <t>Unordered (Mean)</t>
  </si>
  <si>
    <t>Unordered SD</t>
  </si>
  <si>
    <t>Type I</t>
  </si>
  <si>
    <t>Type III</t>
  </si>
  <si>
    <t>Type IV</t>
  </si>
  <si>
    <t>Type V</t>
  </si>
  <si>
    <t>Type VI</t>
  </si>
  <si>
    <t>1346 cm−1 (Mean)</t>
  </si>
  <si>
    <t>1346 cm−1 (SD)</t>
  </si>
  <si>
    <t>1375 cm−1 (Mean)</t>
  </si>
  <si>
    <t>1375 cm−1 (SD)</t>
  </si>
  <si>
    <t>1390 cm−1 (Mean)</t>
  </si>
  <si>
    <t>1390 cm−1 (SD)</t>
  </si>
  <si>
    <t>1405 cm−1 (Mean)</t>
  </si>
  <si>
    <t>1405 cm−1 (SD)</t>
  </si>
  <si>
    <t>1424 cm−1 (Mean)</t>
  </si>
  <si>
    <t>1424 cm−1 (SD)</t>
  </si>
  <si>
    <t>1440 cm−1 (Mean)</t>
  </si>
  <si>
    <t>1440 cm−1 (SD)</t>
  </si>
  <si>
    <t>1452 cm−1 (Mean)</t>
  </si>
  <si>
    <t>1452 cm−1 (SD)</t>
  </si>
  <si>
    <t>1465 cm−1 (Mean)</t>
  </si>
  <si>
    <t>1465 cm−1 (SD)</t>
  </si>
  <si>
    <t>1203 cm−1 (Mean)</t>
  </si>
  <si>
    <t>1203 cm−1 (SD)</t>
  </si>
  <si>
    <t>1234 cm−1 (Mean)</t>
  </si>
  <si>
    <t>1234 cm−1 (SD)</t>
  </si>
  <si>
    <t>1243 cm−1 (Mean)</t>
  </si>
  <si>
    <t>1243 cm−1 (SD)</t>
  </si>
  <si>
    <t>1260 cm−1 (Mean)</t>
  </si>
  <si>
    <t>1260 cm−1 (SD)</t>
  </si>
  <si>
    <t>1284 cm−1 (Mean)</t>
  </si>
  <si>
    <t>1284 cm−1 (SD)</t>
  </si>
  <si>
    <t>1012 cm−1 (Mean)</t>
  </si>
  <si>
    <t>1012 cm−1 (SD)</t>
  </si>
  <si>
    <t>1022 cm−1 (Mean)</t>
  </si>
  <si>
    <t>1022 cm−1 (SD)</t>
  </si>
  <si>
    <t>1033 cm−1 (Mean)</t>
  </si>
  <si>
    <t>1033 cm−1 (SD)</t>
  </si>
  <si>
    <t>1050 cm−1 (Mean)</t>
  </si>
  <si>
    <t>1050 cm−1 (SD)</t>
  </si>
  <si>
    <t>1064 cm−1 (Mean)</t>
  </si>
  <si>
    <t>1064 cm−1 (SD)</t>
  </si>
  <si>
    <t>1081 cm−1 (Mean)</t>
  </si>
  <si>
    <t>1081 cm−1 (SD)</t>
  </si>
  <si>
    <t>1012 cm−1</t>
  </si>
  <si>
    <t>1022 cm−1</t>
  </si>
  <si>
    <t>1033 cm−1</t>
  </si>
  <si>
    <t>1050 cm−1</t>
  </si>
  <si>
    <t>1064 cm−1</t>
  </si>
  <si>
    <t>1081 cm−1</t>
  </si>
  <si>
    <t>1203 cm−1</t>
  </si>
  <si>
    <t>1234 cm−1</t>
  </si>
  <si>
    <t>1243 cm−1</t>
  </si>
  <si>
    <t>1260 cm−1</t>
  </si>
  <si>
    <t>1284 cm−1</t>
  </si>
  <si>
    <t>1346 cm−1</t>
  </si>
  <si>
    <t>1375 cm−1</t>
  </si>
  <si>
    <t>1390 cm−1</t>
  </si>
  <si>
    <t>1405 cm−1</t>
  </si>
  <si>
    <t>1424 cm−1</t>
  </si>
  <si>
    <t>1440 cm−1</t>
  </si>
  <si>
    <t>1452 cm−1</t>
  </si>
  <si>
    <t>1465 cm−1</t>
  </si>
  <si>
    <t>Alpha-like helix</t>
  </si>
  <si>
    <t>Beta-sheets</t>
  </si>
  <si>
    <t>Beta-turns</t>
  </si>
  <si>
    <t>Triple helix</t>
  </si>
  <si>
    <t>Unordered</t>
  </si>
  <si>
    <t>Mean</t>
  </si>
  <si>
    <t>SD</t>
  </si>
  <si>
    <t>Norm</t>
  </si>
  <si>
    <t>RED CELLS TO THE LEFT (A1:X151) HAVE UNCORRECTED MEAN/SD</t>
  </si>
  <si>
    <t>COPY ALL GREEN CELLS TO THE RIGHT (AX1:BU151) TO EXPORT RANDOM DATA WITH CORRECTED MEAN/SD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</si>
</sst>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2" fontId="1" fillId="2" borderId="0" xfId="1" applyNumberFormat="1"/>
    <xf numFmtId="2" fontId="2" fillId="3" borderId="0" xfId="2" applyNumberFormat="1"/>
    <xf numFmtId="164" fontId="0" fillId="0" borderId="0" xfId="0" applyNumberFormat="1"/>
    <xf numFmtId="164" fontId="2" fillId="3" borderId="0" xfId="2" applyNumberFormat="1"/>
    <xf numFmtId="164" fontId="3" fillId="4" borderId="0" xfId="3" applyNumberFormat="1"/>
    <xf numFmtId="164" fontId="4" fillId="5" borderId="0" xfId="4" applyNumberFormat="1"/>
    <xf numFmtId="164" fontId="5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5">
    <cellStyle name="Accent2" xfId="1" builtinId="33"/>
    <cellStyle name="Bad" xfId="4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XRealStats.xlam" TargetMode="External"/><Relationship Id="rId1" Type="http://schemas.openxmlformats.org/officeDocument/2006/relationships/externalLinkPath" Target="/Users/Admin/Desktop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Roy"/>
      <sheetName val="Pillai"/>
      <sheetName val="Wilk"/>
      <sheetName val="Hotel"/>
    </sheetNames>
    <definedNames>
      <definedName name="UNIFORM_INV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Z151"/>
  <sheetViews>
    <sheetView topLeftCell="Y1" workbookViewId="0">
      <pane ySplit="1" topLeftCell="A2" activePane="bottomLeft" state="frozen"/>
      <selection pane="bottomLeft" activeCell="BU12" sqref="BU12"/>
    </sheetView>
  </sheetViews>
  <sheetFormatPr defaultColWidth="9.109375" defaultRowHeight="14.4" x14ac:dyDescent="0.3"/>
  <cols>
    <col min="1" max="1" width="9.109375" style="2"/>
    <col min="2" max="3" width="8.88671875"/>
    <col min="4" max="52" width="9.109375" style="2"/>
    <col min="53" max="53" width="9.109375" style="3"/>
    <col min="54" max="16384" width="9.109375" style="2"/>
  </cols>
  <sheetData>
    <row r="1" spans="2:104" x14ac:dyDescent="0.3">
      <c r="B1" t="s">
        <v>6</v>
      </c>
      <c r="C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>
        <v>1465</v>
      </c>
      <c r="J1" s="2">
        <v>1452</v>
      </c>
      <c r="K1" s="2">
        <v>1440</v>
      </c>
      <c r="L1" s="2">
        <v>1424</v>
      </c>
      <c r="M1" s="2">
        <v>1405</v>
      </c>
      <c r="N1" s="2">
        <v>1390</v>
      </c>
      <c r="O1" s="2">
        <v>1375</v>
      </c>
      <c r="P1" s="2">
        <v>1346</v>
      </c>
      <c r="Q1" s="2">
        <v>1284</v>
      </c>
      <c r="R1" s="2">
        <v>1260</v>
      </c>
      <c r="S1" s="2">
        <v>1243</v>
      </c>
      <c r="T1" s="2">
        <v>1234</v>
      </c>
      <c r="U1" s="2">
        <v>1203</v>
      </c>
      <c r="V1" s="2">
        <v>1081</v>
      </c>
      <c r="W1" s="2">
        <v>1064</v>
      </c>
      <c r="X1" s="2">
        <v>1050</v>
      </c>
      <c r="Y1" s="2">
        <v>1033</v>
      </c>
      <c r="Z1" s="2">
        <v>1022</v>
      </c>
      <c r="AA1" s="2">
        <v>1012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4" t="s">
        <v>61</v>
      </c>
      <c r="BA1" s="3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2</v>
      </c>
      <c r="CA1" s="2" t="s">
        <v>3</v>
      </c>
      <c r="CB1" s="2" t="s">
        <v>4</v>
      </c>
      <c r="CC1" s="2" t="s">
        <v>5</v>
      </c>
      <c r="CD1" s="2">
        <v>1465</v>
      </c>
      <c r="CE1" s="2">
        <v>1452</v>
      </c>
      <c r="CF1" s="2">
        <v>1440</v>
      </c>
      <c r="CG1" s="2">
        <v>1424</v>
      </c>
      <c r="CH1" s="2">
        <v>1405</v>
      </c>
      <c r="CI1" s="2">
        <v>1390</v>
      </c>
      <c r="CJ1" s="2">
        <v>1375</v>
      </c>
      <c r="CK1" s="2">
        <v>1346</v>
      </c>
      <c r="CL1" s="2">
        <v>1284</v>
      </c>
      <c r="CM1" s="2">
        <v>1260</v>
      </c>
      <c r="CN1" s="2">
        <v>1243</v>
      </c>
      <c r="CO1" s="2">
        <v>1234</v>
      </c>
      <c r="CP1" s="2">
        <v>1203</v>
      </c>
      <c r="CQ1" s="2">
        <v>1081</v>
      </c>
      <c r="CR1" s="2">
        <v>1064</v>
      </c>
      <c r="CS1" s="2">
        <v>1050</v>
      </c>
      <c r="CT1" s="2">
        <v>1033</v>
      </c>
      <c r="CU1" s="2">
        <v>1022</v>
      </c>
      <c r="CV1" s="2">
        <v>1012</v>
      </c>
      <c r="CW1" s="2" t="s">
        <v>1</v>
      </c>
      <c r="CX1" s="2" t="s">
        <v>2</v>
      </c>
      <c r="CY1" s="2" t="s">
        <v>3</v>
      </c>
      <c r="CZ1" s="2" t="s">
        <v>4</v>
      </c>
    </row>
    <row r="2" spans="2:104" x14ac:dyDescent="0.3">
      <c r="B2">
        <v>1</v>
      </c>
      <c r="C2" s="1">
        <v>1</v>
      </c>
      <c r="D2" s="2">
        <f ca="1">RAND()</f>
        <v>0.51976590508841491</v>
      </c>
      <c r="E2" s="2">
        <f t="shared" ref="E2:AA17" ca="1" si="0">RAND()</f>
        <v>0.36928565811261771</v>
      </c>
      <c r="F2" s="2">
        <f t="shared" ca="1" si="0"/>
        <v>0.99996431280669407</v>
      </c>
      <c r="G2" s="2">
        <f t="shared" ca="1" si="0"/>
        <v>0.91652262048260214</v>
      </c>
      <c r="H2" s="2">
        <f t="shared" ca="1" si="0"/>
        <v>0.13658164576480292</v>
      </c>
      <c r="I2" s="2">
        <f t="shared" ca="1" si="0"/>
        <v>0.65762928868866599</v>
      </c>
      <c r="J2" s="2">
        <f t="shared" ca="1" si="0"/>
        <v>0.18893822916830993</v>
      </c>
      <c r="K2" s="2">
        <f t="shared" ca="1" si="0"/>
        <v>0.51555592879789147</v>
      </c>
      <c r="L2" s="2">
        <f t="shared" ca="1" si="0"/>
        <v>1.1917137786961463E-2</v>
      </c>
      <c r="M2" s="2">
        <f t="shared" ca="1" si="0"/>
        <v>0.34693641902331251</v>
      </c>
      <c r="N2" s="2">
        <f t="shared" ca="1" si="0"/>
        <v>0.90770079606501552</v>
      </c>
      <c r="O2" s="2">
        <f t="shared" ca="1" si="0"/>
        <v>0.70387904457732453</v>
      </c>
      <c r="P2" s="2">
        <f t="shared" ca="1" si="0"/>
        <v>0.59759758619652803</v>
      </c>
      <c r="Q2" s="2">
        <f t="shared" ca="1" si="0"/>
        <v>0.99546359270906437</v>
      </c>
      <c r="R2" s="2">
        <f t="shared" ca="1" si="0"/>
        <v>0.48285869905427492</v>
      </c>
      <c r="S2" s="2">
        <f t="shared" ca="1" si="0"/>
        <v>0.57657319219513181</v>
      </c>
      <c r="T2" s="2">
        <f t="shared" ca="1" si="0"/>
        <v>0.65117922628483749</v>
      </c>
      <c r="U2" s="2">
        <f t="shared" ca="1" si="0"/>
        <v>0.12010025603330798</v>
      </c>
      <c r="V2" s="2">
        <f t="shared" ca="1" si="0"/>
        <v>0.34642337883051844</v>
      </c>
      <c r="W2" s="2">
        <f t="shared" ca="1" si="0"/>
        <v>0.93813076909686144</v>
      </c>
      <c r="X2" s="2">
        <f t="shared" ca="1" si="0"/>
        <v>0.64714305994404564</v>
      </c>
      <c r="Y2" s="2">
        <f t="shared" ca="1" si="0"/>
        <v>0.66735039923854511</v>
      </c>
      <c r="Z2" s="2">
        <f t="shared" ca="1" si="0"/>
        <v>0.3837220640992689</v>
      </c>
      <c r="AA2" s="2">
        <f t="shared" ca="1" si="0"/>
        <v>0.34011011744679409</v>
      </c>
      <c r="AB2" s="2">
        <f ca="1">D2*Sheet2!C$14/_xlfn.STDEV.S(D$2:D$31)</f>
        <v>1.0429723477989028</v>
      </c>
      <c r="AC2" s="2">
        <f ca="1">E2*Sheet2!D$14/_xlfn.STDEV.S(E$2:E$31)</f>
        <v>2.7084816623737411</v>
      </c>
      <c r="AD2" s="2">
        <f ca="1">F2*Sheet2!E$14/_xlfn.STDEV.S(F$2:F$31)</f>
        <v>4.6686830899067022</v>
      </c>
      <c r="AE2" s="2">
        <f ca="1">G2*Sheet2!F$14/_xlfn.STDEV.S(G$2:G$31)</f>
        <v>7.4734688725628349</v>
      </c>
      <c r="AF2" s="2">
        <f ca="1">H2*Sheet2!G$14/_xlfn.STDEV.S(H$2:H$31)</f>
        <v>0.87713819908868418</v>
      </c>
      <c r="AG2" s="2">
        <f ca="1">I2*Sheet2!H$14/_xlfn.STDEV.S(I$2:I$31)</f>
        <v>7.0889673980789141</v>
      </c>
      <c r="AH2" s="2">
        <f ca="1">J2*Sheet2!I$14/_xlfn.STDEV.S(J$2:J$31)</f>
        <v>0.4605318717186071</v>
      </c>
      <c r="AI2" s="2">
        <f ca="1">K2*Sheet2!J$14/_xlfn.STDEV.S(K$2:K$31)</f>
        <v>1.514435924376544</v>
      </c>
      <c r="AJ2" s="2">
        <f ca="1">L2*Sheet2!K$14/_xlfn.STDEV.S(L$2:L$31)</f>
        <v>5.3399174774644849E-2</v>
      </c>
      <c r="AK2" s="2">
        <f ca="1">M2*Sheet2!L$14/_xlfn.STDEV.S(M$2:M$31)</f>
        <v>2.0675373855602239</v>
      </c>
      <c r="AL2" s="2">
        <f ca="1">N2*Sheet2!M$14/_xlfn.STDEV.S(N$2:N$31)</f>
        <v>3.4380536108146842</v>
      </c>
      <c r="AM2" s="2">
        <f ca="1">O2*Sheet2!N$14/_xlfn.STDEV.S(O$2:O$31)</f>
        <v>2.3906078660125942</v>
      </c>
      <c r="AN2" s="2">
        <f ca="1">P2*Sheet2!O$14/_xlfn.STDEV.S(P$2:P$31)</f>
        <v>2.2567560892929794</v>
      </c>
      <c r="AO2" s="2">
        <f ca="1">Q2*Sheet2!P$14/_xlfn.STDEV.S(Q$2:Q$31)</f>
        <v>7.6552914471924378</v>
      </c>
      <c r="AP2" s="2">
        <f ca="1">R2*Sheet2!Q$14/_xlfn.STDEV.S(R$2:R$31)</f>
        <v>2.2877204459511455</v>
      </c>
      <c r="AQ2" s="2">
        <f ca="1">S2*Sheet2!R$14/_xlfn.STDEV.S(S$2:S$31)</f>
        <v>1.9262635658014602</v>
      </c>
      <c r="AR2" s="2">
        <f ca="1">T2*Sheet2!S$14/_xlfn.STDEV.S(T$2:T$31)</f>
        <v>1.5215350883174508</v>
      </c>
      <c r="AS2" s="2">
        <f ca="1">U2*Sheet2!T$14/_xlfn.STDEV.S(U$2:U$31)</f>
        <v>0.52056824202426866</v>
      </c>
      <c r="AT2" s="2">
        <f ca="1">V2*Sheet2!U$14/_xlfn.STDEV.S(V$2:V$31)</f>
        <v>1.4018904032462742</v>
      </c>
      <c r="AU2" s="2">
        <f ca="1">W2*Sheet2!V$14/_xlfn.STDEV.S(W$2:W$31)</f>
        <v>3.1820453877994357</v>
      </c>
      <c r="AV2" s="2">
        <f ca="1">X2*Sheet2!W$14/_xlfn.STDEV.S(X$2:X$31)</f>
        <v>3.5160418701819656</v>
      </c>
      <c r="AW2" s="2">
        <f ca="1">Y2*Sheet2!X$14/_xlfn.STDEV.S(Y$2:Y$31)</f>
        <v>1.4889633695388829</v>
      </c>
      <c r="AX2" s="2">
        <f ca="1">Z2*Sheet2!Y$14/_xlfn.STDEV.S(Z$2:Z$31)</f>
        <v>1.687002404506402</v>
      </c>
      <c r="AY2" s="2">
        <f ca="1">AA2*Sheet2!Z$14/_xlfn.STDEV.S(AA$2:AA$31)</f>
        <v>0.81582412045729136</v>
      </c>
      <c r="AZ2" s="2">
        <f ca="1">AB2-AVERAGE(AB$2:AB$31)+Sheet2!C$13</f>
        <v>3.3011901659085261</v>
      </c>
      <c r="BA2" s="2">
        <f ca="1">AC2-AVERAGE(AC$2:AC$31)+Sheet2!D$13</f>
        <v>5.7130161582264245</v>
      </c>
      <c r="BB2" s="2">
        <f ca="1">AD2-AVERAGE(AD$2:AD$31)+Sheet2!E$13</f>
        <v>20.343036561041806</v>
      </c>
      <c r="BC2" s="2">
        <f ca="1">AE2-AVERAGE(AE$2:AE$31)+Sheet2!F$13</f>
        <v>24.449684183526557</v>
      </c>
      <c r="BD2" s="2">
        <f ca="1">AF2-AVERAGE(AF$2:AF$31)+Sheet2!G$13</f>
        <v>16.964020857185247</v>
      </c>
      <c r="BE2" s="2">
        <f ca="1">AG2-AVERAGE(AG$2:AG$31)+Sheet2!H$13</f>
        <v>30.709782361246681</v>
      </c>
      <c r="BF2" s="2">
        <f ca="1">AH2-AVERAGE(AH$2:AH$31)+Sheet2!I$13</f>
        <v>11.245717263704787</v>
      </c>
      <c r="BG2" s="2">
        <f ca="1">AI2-AVERAGE(AI$2:AI$31)+Sheet2!J$13</f>
        <v>19.75580471798218</v>
      </c>
      <c r="BH2" s="2">
        <f ca="1">AJ2-AVERAGE(AJ$2:AJ$31)+Sheet2!K$13</f>
        <v>26.28818736751268</v>
      </c>
      <c r="BI2" s="2">
        <f ca="1">AK2-AVERAGE(AK$2:AK$31)+Sheet2!L$13</f>
        <v>19.00732129543691</v>
      </c>
      <c r="BJ2" s="2">
        <f ca="1">AL2-AVERAGE(AL$2:AL$31)+Sheet2!M$13</f>
        <v>21.57499440104225</v>
      </c>
      <c r="BK2" s="2">
        <f ca="1">AM2-AVERAGE(AM$2:AM$31)+Sheet2!N$13</f>
        <v>8.9337260164947221</v>
      </c>
      <c r="BL2" s="2">
        <f ca="1">AN2-AVERAGE(AN$2:AN$31)+Sheet2!O$13</f>
        <v>6.36624507691256</v>
      </c>
      <c r="BM2" s="2">
        <f ca="1">AO2-AVERAGE(AO$2:AO$31)+Sheet2!P$13</f>
        <v>26.355900392766017</v>
      </c>
      <c r="BN2" s="2">
        <f ca="1">AP2-AVERAGE(AP$2:AP$31)+Sheet2!Q$13</f>
        <v>13.578272614213439</v>
      </c>
      <c r="BO2" s="2">
        <f ca="1">AQ2-AVERAGE(AQ$2:AQ$31)+Sheet2!R$13</f>
        <v>10.030893325714043</v>
      </c>
      <c r="BP2" s="2">
        <f ca="1">AR2-AVERAGE(AR$2:AR$31)+Sheet2!S$13</f>
        <v>4.1626401870050893</v>
      </c>
      <c r="BQ2" s="2">
        <f ca="1">AS2-AVERAGE(AS$2:AS$31)+Sheet2!T$13</f>
        <v>11.195127663320481</v>
      </c>
      <c r="BR2" s="2">
        <f ca="1">AT2-AVERAGE(AT$2:AT$31)+Sheet2!U$13</f>
        <v>22.792065879354109</v>
      </c>
      <c r="BS2" s="2">
        <f ca="1">AU2-AVERAGE(AU$2:AU$31)+Sheet2!V$13</f>
        <v>25.385924119183237</v>
      </c>
      <c r="BT2" s="2">
        <f ca="1">AV2-AVERAGE(AV$2:AV$31)+Sheet2!W$13</f>
        <v>25.330018384052057</v>
      </c>
      <c r="BU2" s="2">
        <f ca="1">AW2-AVERAGE(AW$2:AW$31)+Sheet2!X$13</f>
        <v>21.898991576718444</v>
      </c>
      <c r="BV2" s="2">
        <f ca="1">AX2-AVERAGE(AX$2:AX$31)+Sheet2!Y$13</f>
        <v>21.320446352466092</v>
      </c>
      <c r="BW2" s="2">
        <f ca="1">AY2-AVERAGE(AY$2:AY$31)+Sheet2!Z$13</f>
        <v>7.7010138428424524</v>
      </c>
      <c r="BZ2" s="2">
        <f ca="1">BA2-AVERAGE(BA$2:BA$31)+Sheet2!AB$13</f>
        <v>-1.0511953671135406</v>
      </c>
      <c r="CA2" s="2">
        <f ca="1">BB2-AVERAGE(BB$2:BB$31)+Sheet2!AC$13</f>
        <v>1.7190870696943827</v>
      </c>
      <c r="CB2" s="2">
        <f ca="1">BC2-AVERAGE(BC$2:BC$31)+Sheet2!AD$13</f>
        <v>3.358823082321126</v>
      </c>
      <c r="CC2" s="2">
        <f ca="1">BD2-AVERAGE(BD$2:BD$31)+Sheet2!AE$13</f>
        <v>-2.197762108358901</v>
      </c>
    </row>
    <row r="3" spans="2:104" x14ac:dyDescent="0.3">
      <c r="B3">
        <v>2</v>
      </c>
      <c r="C3" s="1">
        <v>1</v>
      </c>
      <c r="D3" s="2">
        <f t="shared" ref="D3:S18" ca="1" si="1">RAND()</f>
        <v>0.54440081693473108</v>
      </c>
      <c r="E3" s="2">
        <f t="shared" ca="1" si="1"/>
        <v>0.14673192885541109</v>
      </c>
      <c r="F3" s="2">
        <f t="shared" ca="1" si="1"/>
        <v>0.93129604810288402</v>
      </c>
      <c r="G3" s="2">
        <f t="shared" ca="1" si="1"/>
        <v>0.72853666385402183</v>
      </c>
      <c r="H3" s="2">
        <f t="shared" ca="1" si="1"/>
        <v>0.87370153549387741</v>
      </c>
      <c r="I3" s="2">
        <f t="shared" ca="1" si="1"/>
        <v>0.87164669181380805</v>
      </c>
      <c r="J3" s="2">
        <f t="shared" ca="1" si="1"/>
        <v>0.35163871990814588</v>
      </c>
      <c r="K3" s="2">
        <f t="shared" ca="1" si="1"/>
        <v>0.97564789273413766</v>
      </c>
      <c r="L3" s="2">
        <f t="shared" ca="1" si="1"/>
        <v>2.0895092522571046E-2</v>
      </c>
      <c r="M3" s="2">
        <f t="shared" ca="1" si="1"/>
        <v>0.81732758359027957</v>
      </c>
      <c r="N3" s="2">
        <f t="shared" ca="1" si="1"/>
        <v>5.3242501103590745E-2</v>
      </c>
      <c r="O3" s="2">
        <f t="shared" ca="1" si="1"/>
        <v>0.98764523214695932</v>
      </c>
      <c r="P3" s="2">
        <f t="shared" ca="1" si="1"/>
        <v>0.1154817122183821</v>
      </c>
      <c r="Q3" s="2">
        <f t="shared" ca="1" si="1"/>
        <v>0.60575907781116611</v>
      </c>
      <c r="R3" s="2">
        <f t="shared" ca="1" si="1"/>
        <v>0.53267784985671607</v>
      </c>
      <c r="S3" s="2">
        <f t="shared" ca="1" si="1"/>
        <v>0.58935735118831623</v>
      </c>
      <c r="T3" s="2">
        <f t="shared" ca="1" si="0"/>
        <v>0.26365104507172821</v>
      </c>
      <c r="U3" s="2">
        <f t="shared" ca="1" si="0"/>
        <v>0.62263087631862135</v>
      </c>
      <c r="V3" s="2">
        <f t="shared" ca="1" si="0"/>
        <v>0.85671021063368646</v>
      </c>
      <c r="W3" s="2">
        <f t="shared" ca="1" si="0"/>
        <v>0.10109048654156272</v>
      </c>
      <c r="X3" s="2">
        <f t="shared" ca="1" si="0"/>
        <v>0.67982602923091451</v>
      </c>
      <c r="Y3" s="2">
        <f t="shared" ca="1" si="0"/>
        <v>0.54162420236295916</v>
      </c>
      <c r="Z3" s="2">
        <f t="shared" ca="1" si="0"/>
        <v>0.64664962291116279</v>
      </c>
      <c r="AA3" s="2">
        <f t="shared" ca="1" si="0"/>
        <v>0.63925898413053706</v>
      </c>
      <c r="AB3" s="2">
        <f ca="1">D3*Sheet2!C$14/_xlfn.STDEV.S(D$2:D$31)</f>
        <v>1.0924052397886164</v>
      </c>
      <c r="AC3" s="2">
        <f ca="1">E3*Sheet2!D$14/_xlfn.STDEV.S(E$2:E$31)</f>
        <v>1.0761878504049878</v>
      </c>
      <c r="AD3" s="2">
        <f ca="1">F3*Sheet2!E$14/_xlfn.STDEV.S(F$2:F$31)</f>
        <v>4.348081282292104</v>
      </c>
      <c r="AE3" s="2">
        <f ca="1">G3*Sheet2!F$14/_xlfn.STDEV.S(G$2:G$31)</f>
        <v>5.9406019645940198</v>
      </c>
      <c r="AF3" s="2">
        <f ca="1">H3*Sheet2!G$14/_xlfn.STDEV.S(H$2:H$31)</f>
        <v>5.6109807953537478</v>
      </c>
      <c r="AG3" s="2">
        <f ca="1">I3*Sheet2!H$14/_xlfn.STDEV.S(I$2:I$31)</f>
        <v>9.3959850742546731</v>
      </c>
      <c r="AH3" s="2">
        <f ca="1">J3*Sheet2!I$14/_xlfn.STDEV.S(J$2:J$31)</f>
        <v>0.85710995895792652</v>
      </c>
      <c r="AI3" s="2">
        <f ca="1">K3*Sheet2!J$14/_xlfn.STDEV.S(K$2:K$31)</f>
        <v>2.8659474865200969</v>
      </c>
      <c r="AJ3" s="2">
        <f ca="1">L3*Sheet2!K$14/_xlfn.STDEV.S(L$2:L$31)</f>
        <v>9.3628245094717413E-2</v>
      </c>
      <c r="AK3" s="2">
        <f ca="1">M3*Sheet2!L$14/_xlfn.STDEV.S(M$2:M$31)</f>
        <v>4.8707925794580573</v>
      </c>
      <c r="AL3" s="2">
        <f ca="1">N3*Sheet2!M$14/_xlfn.STDEV.S(N$2:N$31)</f>
        <v>0.20166399981309885</v>
      </c>
      <c r="AM3" s="2">
        <f ca="1">O3*Sheet2!N$14/_xlfn.STDEV.S(O$2:O$31)</f>
        <v>3.3543724294536523</v>
      </c>
      <c r="AN3" s="2">
        <f ca="1">P3*Sheet2!O$14/_xlfn.STDEV.S(P$2:P$31)</f>
        <v>0.43610292824226177</v>
      </c>
      <c r="AO3" s="2">
        <f ca="1">Q3*Sheet2!P$14/_xlfn.STDEV.S(Q$2:Q$31)</f>
        <v>4.6583946629400144</v>
      </c>
      <c r="AP3" s="2">
        <f ca="1">R3*Sheet2!Q$14/_xlfn.STDEV.S(R$2:R$31)</f>
        <v>2.5237569719863884</v>
      </c>
      <c r="AQ3" s="2">
        <f ca="1">S3*Sheet2!R$14/_xlfn.STDEV.S(S$2:S$31)</f>
        <v>1.9689739450236181</v>
      </c>
      <c r="AR3" s="2">
        <f ca="1">T3*Sheet2!S$14/_xlfn.STDEV.S(T$2:T$31)</f>
        <v>0.61604286493735305</v>
      </c>
      <c r="AS3" s="2">
        <f ca="1">U3*Sheet2!T$14/_xlfn.STDEV.S(U$2:U$31)</f>
        <v>2.6987607805375888</v>
      </c>
      <c r="AT3" s="2">
        <f ca="1">V3*Sheet2!U$14/_xlfn.STDEV.S(V$2:V$31)</f>
        <v>3.4668959892514479</v>
      </c>
      <c r="AU3" s="2">
        <f ca="1">W3*Sheet2!V$14/_xlfn.STDEV.S(W$2:W$31)</f>
        <v>0.34288878165637465</v>
      </c>
      <c r="AV3" s="2">
        <f ca="1">X3*Sheet2!W$14/_xlfn.STDEV.S(X$2:X$31)</f>
        <v>3.6936141807997105</v>
      </c>
      <c r="AW3" s="2">
        <f ca="1">Y3*Sheet2!X$14/_xlfn.STDEV.S(Y$2:Y$31)</f>
        <v>1.20844851264694</v>
      </c>
      <c r="AX3" s="2">
        <f ca="1">Z3*Sheet2!Y$14/_xlfn.STDEV.S(Z$2:Z$31)</f>
        <v>2.8429417299341799</v>
      </c>
      <c r="AY3" s="2">
        <f ca="1">AA3*Sheet2!Z$14/_xlfn.STDEV.S(AA$2:AA$31)</f>
        <v>1.5333942500381588</v>
      </c>
      <c r="AZ3" s="2">
        <f ca="1">AB3-AVERAGE(AB$2:AB$31)+Sheet2!C$13</f>
        <v>3.3506230578982397</v>
      </c>
      <c r="BA3" s="2">
        <f ca="1">AC3-AVERAGE(AC$2:AC$31)+Sheet2!D$13</f>
        <v>4.0807223462576712</v>
      </c>
      <c r="BB3" s="2">
        <f ca="1">AD3-AVERAGE(AD$2:AD$31)+Sheet2!E$13</f>
        <v>20.022434753427209</v>
      </c>
      <c r="BC3" s="2">
        <f ca="1">AE3-AVERAGE(AE$2:AE$31)+Sheet2!F$13</f>
        <v>22.91681727555774</v>
      </c>
      <c r="BD3" s="2">
        <f ca="1">AF3-AVERAGE(AF$2:AF$31)+Sheet2!G$13</f>
        <v>21.697863453450314</v>
      </c>
      <c r="BE3" s="2">
        <f ca="1">AG3-AVERAGE(AG$2:AG$31)+Sheet2!H$13</f>
        <v>33.016800037422442</v>
      </c>
      <c r="BF3" s="2">
        <f ca="1">AH3-AVERAGE(AH$2:AH$31)+Sheet2!I$13</f>
        <v>11.642295350944107</v>
      </c>
      <c r="BG3" s="2">
        <f ca="1">AI3-AVERAGE(AI$2:AI$31)+Sheet2!J$13</f>
        <v>21.10731628012573</v>
      </c>
      <c r="BH3" s="2">
        <f ca="1">AJ3-AVERAGE(AJ$2:AJ$31)+Sheet2!K$13</f>
        <v>26.328416437832754</v>
      </c>
      <c r="BI3" s="2">
        <f ca="1">AK3-AVERAGE(AK$2:AK$31)+Sheet2!L$13</f>
        <v>21.810576489334743</v>
      </c>
      <c r="BJ3" s="2">
        <f ca="1">AL3-AVERAGE(AL$2:AL$31)+Sheet2!M$13</f>
        <v>18.338604790040666</v>
      </c>
      <c r="BK3" s="2">
        <f ca="1">AM3-AVERAGE(AM$2:AM$31)+Sheet2!N$13</f>
        <v>9.8974905799357806</v>
      </c>
      <c r="BL3" s="2">
        <f ca="1">AN3-AVERAGE(AN$2:AN$31)+Sheet2!O$13</f>
        <v>4.5455919158618423</v>
      </c>
      <c r="BM3" s="2">
        <f ca="1">AO3-AVERAGE(AO$2:AO$31)+Sheet2!P$13</f>
        <v>23.359003608513593</v>
      </c>
      <c r="BN3" s="2">
        <f ca="1">AP3-AVERAGE(AP$2:AP$31)+Sheet2!Q$13</f>
        <v>13.814309140248682</v>
      </c>
      <c r="BO3" s="2">
        <f ca="1">AQ3-AVERAGE(AQ$2:AQ$31)+Sheet2!R$13</f>
        <v>10.073603704936202</v>
      </c>
      <c r="BP3" s="2">
        <f ca="1">AR3-AVERAGE(AR$2:AR$31)+Sheet2!S$13</f>
        <v>3.257147963624992</v>
      </c>
      <c r="BQ3" s="2">
        <f ca="1">AS3-AVERAGE(AS$2:AS$31)+Sheet2!T$13</f>
        <v>13.373320201833801</v>
      </c>
      <c r="BR3" s="2">
        <f ca="1">AT3-AVERAGE(AT$2:AT$31)+Sheet2!U$13</f>
        <v>24.857071465359283</v>
      </c>
      <c r="BS3" s="2">
        <f ca="1">AU3-AVERAGE(AU$2:AU$31)+Sheet2!V$13</f>
        <v>22.546767513040177</v>
      </c>
      <c r="BT3" s="2">
        <f ca="1">AV3-AVERAGE(AV$2:AV$31)+Sheet2!W$13</f>
        <v>25.507590694669801</v>
      </c>
      <c r="BU3" s="2">
        <f ca="1">AW3-AVERAGE(AW$2:AW$31)+Sheet2!X$13</f>
        <v>21.6184767198265</v>
      </c>
      <c r="BV3" s="2">
        <f ca="1">AX3-AVERAGE(AX$2:AX$31)+Sheet2!Y$13</f>
        <v>22.47638567789387</v>
      </c>
      <c r="BW3" s="2">
        <f ca="1">AY3-AVERAGE(AY$2:AY$31)+Sheet2!Z$13</f>
        <v>8.4185839724233205</v>
      </c>
      <c r="BZ3" s="2">
        <f ca="1">BA3-AVERAGE(BA$2:BA$31)+Sheet2!AB$13</f>
        <v>-2.6834891790822937</v>
      </c>
      <c r="CA3" s="2">
        <f ca="1">BB3-AVERAGE(BB$2:BB$31)+Sheet2!AC$13</f>
        <v>1.3984852620797854</v>
      </c>
      <c r="CB3" s="2">
        <f ca="1">BC3-AVERAGE(BC$2:BC$31)+Sheet2!AD$13</f>
        <v>1.8259561743523092</v>
      </c>
      <c r="CC3" s="2">
        <f ca="1">BD3-AVERAGE(BD$2:BD$31)+Sheet2!AE$13</f>
        <v>2.5360804879061658</v>
      </c>
    </row>
    <row r="4" spans="2:104" x14ac:dyDescent="0.3">
      <c r="B4">
        <v>3</v>
      </c>
      <c r="C4" s="1">
        <v>1</v>
      </c>
      <c r="D4" s="2">
        <f t="shared" ca="1" si="1"/>
        <v>0.56081508406672853</v>
      </c>
      <c r="E4" s="2">
        <f t="shared" ca="1" si="1"/>
        <v>0.42809181946367159</v>
      </c>
      <c r="F4" s="2">
        <f t="shared" ca="1" si="1"/>
        <v>0.91026564027896928</v>
      </c>
      <c r="G4" s="2">
        <f t="shared" ca="1" si="1"/>
        <v>0.36069347151489117</v>
      </c>
      <c r="H4" s="2">
        <f t="shared" ca="1" si="1"/>
        <v>0.38432348304528896</v>
      </c>
      <c r="I4" s="2">
        <f t="shared" ca="1" si="1"/>
        <v>0.90001697055969465</v>
      </c>
      <c r="J4" s="2">
        <f t="shared" ca="1" si="1"/>
        <v>0.34318456259690799</v>
      </c>
      <c r="K4" s="2">
        <f t="shared" ca="1" si="1"/>
        <v>0.45056979963315202</v>
      </c>
      <c r="L4" s="2">
        <f t="shared" ca="1" si="1"/>
        <v>0.39525256142344056</v>
      </c>
      <c r="M4" s="2">
        <f t="shared" ca="1" si="1"/>
        <v>0.40047955753753317</v>
      </c>
      <c r="N4" s="2">
        <f t="shared" ca="1" si="1"/>
        <v>0.48837713113465542</v>
      </c>
      <c r="O4" s="2">
        <f t="shared" ca="1" si="1"/>
        <v>0.91618472129948536</v>
      </c>
      <c r="P4" s="2">
        <f t="shared" ca="1" si="1"/>
        <v>0.22963565283147558</v>
      </c>
      <c r="Q4" s="2">
        <f t="shared" ca="1" si="0"/>
        <v>0.10994506230814227</v>
      </c>
      <c r="R4" s="2">
        <f t="shared" ca="1" si="0"/>
        <v>0.29327628504810666</v>
      </c>
      <c r="S4" s="2">
        <f t="shared" ca="1" si="0"/>
        <v>0.78310865004748398</v>
      </c>
      <c r="T4" s="2">
        <f t="shared" ca="1" si="0"/>
        <v>0.26371737851910948</v>
      </c>
      <c r="U4" s="2">
        <f t="shared" ca="1" si="0"/>
        <v>0.16012933883238833</v>
      </c>
      <c r="V4" s="2">
        <f t="shared" ca="1" si="0"/>
        <v>0.68863201195649937</v>
      </c>
      <c r="W4" s="2">
        <f t="shared" ca="1" si="0"/>
        <v>0.44745905299473321</v>
      </c>
      <c r="X4" s="2">
        <f t="shared" ca="1" si="0"/>
        <v>0.98923380331294775</v>
      </c>
      <c r="Y4" s="2">
        <f t="shared" ca="1" si="0"/>
        <v>0.53162380234707418</v>
      </c>
      <c r="Z4" s="2">
        <f t="shared" ca="1" si="0"/>
        <v>0.44939635869076633</v>
      </c>
      <c r="AA4" s="2">
        <f t="shared" ca="1" si="0"/>
        <v>0.79466692592917842</v>
      </c>
      <c r="AB4" s="2">
        <f ca="1">D4*Sheet2!C$14/_xlfn.STDEV.S(D$2:D$31)</f>
        <v>1.1253424266268828</v>
      </c>
      <c r="AC4" s="2">
        <f ca="1">E4*Sheet2!D$14/_xlfn.STDEV.S(E$2:E$31)</f>
        <v>3.1397884465796637</v>
      </c>
      <c r="AD4" s="2">
        <f ca="1">F4*Sheet2!E$14/_xlfn.STDEV.S(F$2:F$31)</f>
        <v>4.2498934688632737</v>
      </c>
      <c r="AE4" s="2">
        <f ca="1">G4*Sheet2!F$14/_xlfn.STDEV.S(G$2:G$31)</f>
        <v>2.9411510110724413</v>
      </c>
      <c r="AF4" s="2">
        <f ca="1">H4*Sheet2!G$14/_xlfn.STDEV.S(H$2:H$31)</f>
        <v>2.468155994886299</v>
      </c>
      <c r="AG4" s="2">
        <f ca="1">I4*Sheet2!H$14/_xlfn.STDEV.S(I$2:I$31)</f>
        <v>9.701804758023675</v>
      </c>
      <c r="AH4" s="2">
        <f ca="1">J4*Sheet2!I$14/_xlfn.STDEV.S(J$2:J$31)</f>
        <v>0.83650317700868115</v>
      </c>
      <c r="AI4" s="2">
        <f ca="1">K4*Sheet2!J$14/_xlfn.STDEV.S(K$2:K$31)</f>
        <v>1.3235403821164968</v>
      </c>
      <c r="AJ4" s="2">
        <f ca="1">L4*Sheet2!K$14/_xlfn.STDEV.S(L$2:L$31)</f>
        <v>1.771076325950397</v>
      </c>
      <c r="AK4" s="2">
        <f ca="1">M4*Sheet2!L$14/_xlfn.STDEV.S(M$2:M$31)</f>
        <v>2.3866230581743229</v>
      </c>
      <c r="AL4" s="2">
        <f ca="1">N4*Sheet2!M$14/_xlfn.STDEV.S(N$2:N$31)</f>
        <v>1.8498020123104009</v>
      </c>
      <c r="AM4" s="2">
        <f ca="1">O4*Sheet2!N$14/_xlfn.STDEV.S(O$2:O$31)</f>
        <v>3.1116687140108454</v>
      </c>
      <c r="AN4" s="2">
        <f ca="1">P4*Sheet2!O$14/_xlfn.STDEV.S(P$2:P$31)</f>
        <v>0.8671916852016428</v>
      </c>
      <c r="AO4" s="2">
        <f ca="1">Q4*Sheet2!P$14/_xlfn.STDEV.S(Q$2:Q$31)</f>
        <v>0.84549701396718613</v>
      </c>
      <c r="AP4" s="2">
        <f ca="1">R4*Sheet2!Q$14/_xlfn.STDEV.S(R$2:R$31)</f>
        <v>1.389504123941929</v>
      </c>
      <c r="AQ4" s="2">
        <f ca="1">S4*Sheet2!R$14/_xlfn.STDEV.S(S$2:S$31)</f>
        <v>2.6162743621627067</v>
      </c>
      <c r="AR4" s="2">
        <f ca="1">T4*Sheet2!S$14/_xlfn.STDEV.S(T$2:T$31)</f>
        <v>0.61619785862211085</v>
      </c>
      <c r="AS4" s="2">
        <f ca="1">U4*Sheet2!T$14/_xlfn.STDEV.S(U$2:U$31)</f>
        <v>0.6940721957275986</v>
      </c>
      <c r="AT4" s="2">
        <f ca="1">V4*Sheet2!U$14/_xlfn.STDEV.S(V$2:V$31)</f>
        <v>2.7867247649076496</v>
      </c>
      <c r="AU4" s="2">
        <f ca="1">W4*Sheet2!V$14/_xlfn.STDEV.S(W$2:W$31)</f>
        <v>1.5177361863759355</v>
      </c>
      <c r="AV4" s="2">
        <f ca="1">X4*Sheet2!W$14/_xlfn.STDEV.S(X$2:X$31)</f>
        <v>5.3746809432653295</v>
      </c>
      <c r="AW4" s="2">
        <f ca="1">Y4*Sheet2!X$14/_xlfn.STDEV.S(Y$2:Y$31)</f>
        <v>1.1861360523241791</v>
      </c>
      <c r="AX4" s="2">
        <f ca="1">Z4*Sheet2!Y$14/_xlfn.STDEV.S(Z$2:Z$31)</f>
        <v>1.9757340237063235</v>
      </c>
      <c r="AY4" s="2">
        <f ca="1">AA4*Sheet2!Z$14/_xlfn.STDEV.S(AA$2:AA$31)</f>
        <v>1.9061721855542597</v>
      </c>
      <c r="AZ4" s="2">
        <f ca="1">AB4-AVERAGE(AB$2:AB$31)+Sheet2!C$13</f>
        <v>3.3835602447365063</v>
      </c>
      <c r="BA4" s="2">
        <f ca="1">AC4-AVERAGE(AC$2:AC$31)+Sheet2!D$13</f>
        <v>6.1443229424323471</v>
      </c>
      <c r="BB4" s="2">
        <f ca="1">AD4-AVERAGE(AD$2:AD$31)+Sheet2!E$13</f>
        <v>19.924246939998376</v>
      </c>
      <c r="BC4" s="2">
        <f ca="1">AE4-AVERAGE(AE$2:AE$31)+Sheet2!F$13</f>
        <v>19.917366322036163</v>
      </c>
      <c r="BD4" s="2">
        <f ca="1">AF4-AVERAGE(AF$2:AF$31)+Sheet2!G$13</f>
        <v>18.555038652982862</v>
      </c>
      <c r="BE4" s="2">
        <f ca="1">AG4-AVERAGE(AG$2:AG$31)+Sheet2!H$13</f>
        <v>33.322619721191444</v>
      </c>
      <c r="BF4" s="2">
        <f ca="1">AH4-AVERAGE(AH$2:AH$31)+Sheet2!I$13</f>
        <v>11.621688568994861</v>
      </c>
      <c r="BG4" s="2">
        <f ca="1">AI4-AVERAGE(AI$2:AI$31)+Sheet2!J$13</f>
        <v>19.564909175722132</v>
      </c>
      <c r="BH4" s="2">
        <f ca="1">AJ4-AVERAGE(AJ$2:AJ$31)+Sheet2!K$13</f>
        <v>28.005864518688433</v>
      </c>
      <c r="BI4" s="2">
        <f ca="1">AK4-AVERAGE(AK$2:AK$31)+Sheet2!L$13</f>
        <v>19.32640696805101</v>
      </c>
      <c r="BJ4" s="2">
        <f ca="1">AL4-AVERAGE(AL$2:AL$31)+Sheet2!M$13</f>
        <v>19.986742802537968</v>
      </c>
      <c r="BK4" s="2">
        <f ca="1">AM4-AVERAGE(AM$2:AM$31)+Sheet2!N$13</f>
        <v>9.6547868644929729</v>
      </c>
      <c r="BL4" s="2">
        <f ca="1">AN4-AVERAGE(AN$2:AN$31)+Sheet2!O$13</f>
        <v>4.9766806728212236</v>
      </c>
      <c r="BM4" s="2">
        <f ca="1">AO4-AVERAGE(AO$2:AO$31)+Sheet2!P$13</f>
        <v>19.546105959540764</v>
      </c>
      <c r="BN4" s="2">
        <f ca="1">AP4-AVERAGE(AP$2:AP$31)+Sheet2!Q$13</f>
        <v>12.680056292204222</v>
      </c>
      <c r="BO4" s="2">
        <f ca="1">AQ4-AVERAGE(AQ$2:AQ$31)+Sheet2!R$13</f>
        <v>10.720904122075291</v>
      </c>
      <c r="BP4" s="2">
        <f ca="1">AR4-AVERAGE(AR$2:AR$31)+Sheet2!S$13</f>
        <v>3.2573029573097498</v>
      </c>
      <c r="BQ4" s="2">
        <f ca="1">AS4-AVERAGE(AS$2:AS$31)+Sheet2!T$13</f>
        <v>11.36863161702381</v>
      </c>
      <c r="BR4" s="2">
        <f ca="1">AT4-AVERAGE(AT$2:AT$31)+Sheet2!U$13</f>
        <v>24.176900241015485</v>
      </c>
      <c r="BS4" s="2">
        <f ca="1">AU4-AVERAGE(AU$2:AU$31)+Sheet2!V$13</f>
        <v>23.721614917759737</v>
      </c>
      <c r="BT4" s="2">
        <f ca="1">AV4-AVERAGE(AV$2:AV$31)+Sheet2!W$13</f>
        <v>27.18865745713542</v>
      </c>
      <c r="BU4" s="2">
        <f ca="1">AW4-AVERAGE(AW$2:AW$31)+Sheet2!X$13</f>
        <v>21.596164259503738</v>
      </c>
      <c r="BV4" s="2">
        <f ca="1">AX4-AVERAGE(AX$2:AX$31)+Sheet2!Y$13</f>
        <v>21.609177971666014</v>
      </c>
      <c r="BW4" s="2">
        <f ca="1">AY4-AVERAGE(AY$2:AY$31)+Sheet2!Z$13</f>
        <v>8.7913619079394216</v>
      </c>
      <c r="BZ4" s="2">
        <f ca="1">BA4-AVERAGE(BA$2:BA$31)+Sheet2!AB$13</f>
        <v>-0.61988858290761795</v>
      </c>
      <c r="CA4" s="2">
        <f ca="1">BB4-AVERAGE(BB$2:BB$31)+Sheet2!AC$13</f>
        <v>1.3002974486509524</v>
      </c>
      <c r="CB4" s="2">
        <f ca="1">BC4-AVERAGE(BC$2:BC$31)+Sheet2!AD$13</f>
        <v>-1.1734947791692685</v>
      </c>
      <c r="CC4" s="2">
        <f ca="1">BD4-AVERAGE(BD$2:BD$31)+Sheet2!AE$13</f>
        <v>-0.60674431256128558</v>
      </c>
    </row>
    <row r="5" spans="2:104" x14ac:dyDescent="0.3">
      <c r="B5">
        <v>4</v>
      </c>
      <c r="C5" s="1">
        <v>1</v>
      </c>
      <c r="D5" s="2">
        <f t="shared" ca="1" si="1"/>
        <v>0.82584003944728523</v>
      </c>
      <c r="E5" s="2">
        <f t="shared" ca="1" si="1"/>
        <v>0.77280684749147166</v>
      </c>
      <c r="F5" s="2">
        <f t="shared" ca="1" si="1"/>
        <v>0.55465603636269756</v>
      </c>
      <c r="G5" s="2">
        <f t="shared" ca="1" si="1"/>
        <v>0.5223093113194992</v>
      </c>
      <c r="H5" s="2">
        <f t="shared" ca="1" si="1"/>
        <v>0.61021604888878467</v>
      </c>
      <c r="I5" s="2">
        <f t="shared" ca="1" si="1"/>
        <v>0.40693649732528325</v>
      </c>
      <c r="J5" s="2">
        <f t="shared" ca="1" si="1"/>
        <v>0.78121221681691455</v>
      </c>
      <c r="K5" s="2">
        <f t="shared" ca="1" si="1"/>
        <v>0.92561858033768207</v>
      </c>
      <c r="L5" s="2">
        <f t="shared" ca="1" si="1"/>
        <v>0.13695551673378903</v>
      </c>
      <c r="M5" s="2">
        <f t="shared" ca="1" si="1"/>
        <v>0.83010537711870458</v>
      </c>
      <c r="N5" s="2">
        <f t="shared" ca="1" si="1"/>
        <v>0.6739450721665059</v>
      </c>
      <c r="O5" s="2">
        <f t="shared" ca="1" si="1"/>
        <v>0.28923447013223724</v>
      </c>
      <c r="P5" s="2">
        <f t="shared" ca="1" si="1"/>
        <v>2.1254597265069397E-2</v>
      </c>
      <c r="Q5" s="2">
        <f t="shared" ca="1" si="0"/>
        <v>0.25809910684205606</v>
      </c>
      <c r="R5" s="2">
        <f t="shared" ca="1" si="0"/>
        <v>0.41758392959851631</v>
      </c>
      <c r="S5" s="2">
        <f t="shared" ca="1" si="0"/>
        <v>0.12108030316702945</v>
      </c>
      <c r="T5" s="2">
        <f t="shared" ca="1" si="0"/>
        <v>0.12816363315441093</v>
      </c>
      <c r="U5" s="2">
        <f t="shared" ca="1" si="0"/>
        <v>0.24145724528513135</v>
      </c>
      <c r="V5" s="2">
        <f t="shared" ca="1" si="0"/>
        <v>0.72701554189368034</v>
      </c>
      <c r="W5" s="2">
        <f t="shared" ca="1" si="0"/>
        <v>0.64892600069448403</v>
      </c>
      <c r="X5" s="2">
        <f t="shared" ca="1" si="0"/>
        <v>0.88197192728803286</v>
      </c>
      <c r="Y5" s="2">
        <f t="shared" ca="1" si="0"/>
        <v>6.5763317479622052E-2</v>
      </c>
      <c r="Z5" s="2">
        <f t="shared" ca="1" si="0"/>
        <v>0.76298658970576438</v>
      </c>
      <c r="AA5" s="2">
        <f t="shared" ca="1" si="0"/>
        <v>0.21113392066485048</v>
      </c>
      <c r="AB5" s="2">
        <f ca="1">D5*Sheet2!C$14/_xlfn.STDEV.S(D$2:D$31)</f>
        <v>1.6571466431645936</v>
      </c>
      <c r="AC5" s="2">
        <f ca="1">E5*Sheet2!D$14/_xlfn.STDEV.S(E$2:E$31)</f>
        <v>5.6680597499651268</v>
      </c>
      <c r="AD5" s="2">
        <f ca="1">F5*Sheet2!E$14/_xlfn.STDEV.S(F$2:F$31)</f>
        <v>2.5896056734394572</v>
      </c>
      <c r="AE5" s="2">
        <f ca="1">G5*Sheet2!F$14/_xlfn.STDEV.S(G$2:G$31)</f>
        <v>4.2589918598415064</v>
      </c>
      <c r="AF5" s="2">
        <f ca="1">H5*Sheet2!G$14/_xlfn.STDEV.S(H$2:H$31)</f>
        <v>3.9188560306194042</v>
      </c>
      <c r="AG5" s="2">
        <f ca="1">I5*Sheet2!H$14/_xlfn.STDEV.S(I$2:I$31)</f>
        <v>4.3866044475903188</v>
      </c>
      <c r="AH5" s="2">
        <f ca="1">J5*Sheet2!I$14/_xlfn.STDEV.S(J$2:J$31)</f>
        <v>1.9041838488898024</v>
      </c>
      <c r="AI5" s="2">
        <f ca="1">K5*Sheet2!J$14/_xlfn.STDEV.S(K$2:K$31)</f>
        <v>2.7189873145331092</v>
      </c>
      <c r="AJ5" s="2">
        <f ca="1">L5*Sheet2!K$14/_xlfn.STDEV.S(L$2:L$31)</f>
        <v>0.61368020620025809</v>
      </c>
      <c r="AK5" s="2">
        <f ca="1">M5*Sheet2!L$14/_xlfn.STDEV.S(M$2:M$31)</f>
        <v>4.9469407275808779</v>
      </c>
      <c r="AL5" s="2">
        <f ca="1">N5*Sheet2!M$14/_xlfn.STDEV.S(N$2:N$31)</f>
        <v>2.5526685653439212</v>
      </c>
      <c r="AM5" s="2">
        <f ca="1">O5*Sheet2!N$14/_xlfn.STDEV.S(O$2:O$31)</f>
        <v>0.98233667381775902</v>
      </c>
      <c r="AN5" s="2">
        <f ca="1">P5*Sheet2!O$14/_xlfn.STDEV.S(P$2:P$31)</f>
        <v>8.0265454398339653E-2</v>
      </c>
      <c r="AO5" s="2">
        <f ca="1">Q5*Sheet2!P$14/_xlfn.STDEV.S(Q$2:Q$31)</f>
        <v>1.9848278727692814</v>
      </c>
      <c r="AP5" s="2">
        <f ca="1">R5*Sheet2!Q$14/_xlfn.STDEV.S(R$2:R$31)</f>
        <v>1.9784572495312314</v>
      </c>
      <c r="AQ5" s="2">
        <f ca="1">S5*Sheet2!R$14/_xlfn.STDEV.S(S$2:S$31)</f>
        <v>0.40451512433118847</v>
      </c>
      <c r="AR5" s="2">
        <f ca="1">T5*Sheet2!S$14/_xlfn.STDEV.S(T$2:T$31)</f>
        <v>0.29946511961575245</v>
      </c>
      <c r="AS5" s="2">
        <f ca="1">U5*Sheet2!T$14/_xlfn.STDEV.S(U$2:U$31)</f>
        <v>1.0465837280750163</v>
      </c>
      <c r="AT5" s="2">
        <f ca="1">V5*Sheet2!U$14/_xlfn.STDEV.S(V$2:V$31)</f>
        <v>2.942053491402103</v>
      </c>
      <c r="AU5" s="2">
        <f ca="1">W5*Sheet2!V$14/_xlfn.STDEV.S(W$2:W$31)</f>
        <v>2.2010918472708307</v>
      </c>
      <c r="AV5" s="2">
        <f ca="1">X5*Sheet2!W$14/_xlfn.STDEV.S(X$2:X$31)</f>
        <v>4.791908337760642</v>
      </c>
      <c r="AW5" s="2">
        <f ca="1">Y5*Sheet2!X$14/_xlfn.STDEV.S(Y$2:Y$31)</f>
        <v>0.14672827183176981</v>
      </c>
      <c r="AX5" s="2">
        <f ca="1">Z5*Sheet2!Y$14/_xlfn.STDEV.S(Z$2:Z$31)</f>
        <v>3.3544076086976737</v>
      </c>
      <c r="AY5" s="2">
        <f ca="1">AA5*Sheet2!Z$14/_xlfn.STDEV.S(AA$2:AA$31)</f>
        <v>0.50644816572399443</v>
      </c>
      <c r="AZ5" s="2">
        <f ca="1">AB5-AVERAGE(AB$2:AB$31)+Sheet2!C$13</f>
        <v>3.9153644612742169</v>
      </c>
      <c r="BA5" s="2">
        <f ca="1">AC5-AVERAGE(AC$2:AC$31)+Sheet2!D$13</f>
        <v>8.6725942458178107</v>
      </c>
      <c r="BB5" s="2">
        <f ca="1">AD5-AVERAGE(AD$2:AD$31)+Sheet2!E$13</f>
        <v>18.26395914457456</v>
      </c>
      <c r="BC5" s="2">
        <f ca="1">AE5-AVERAGE(AE$2:AE$31)+Sheet2!F$13</f>
        <v>21.235207170805229</v>
      </c>
      <c r="BD5" s="2">
        <f ca="1">AF5-AVERAGE(AF$2:AF$31)+Sheet2!G$13</f>
        <v>20.005738688715969</v>
      </c>
      <c r="BE5" s="2">
        <f ca="1">AG5-AVERAGE(AG$2:AG$31)+Sheet2!H$13</f>
        <v>28.007419410758086</v>
      </c>
      <c r="BF5" s="2">
        <f ca="1">AH5-AVERAGE(AH$2:AH$31)+Sheet2!I$13</f>
        <v>12.689369240875982</v>
      </c>
      <c r="BG5" s="2">
        <f ca="1">AI5-AVERAGE(AI$2:AI$31)+Sheet2!J$13</f>
        <v>20.960356108138743</v>
      </c>
      <c r="BH5" s="2">
        <f ca="1">AJ5-AVERAGE(AJ$2:AJ$31)+Sheet2!K$13</f>
        <v>26.848468398938294</v>
      </c>
      <c r="BI5" s="2">
        <f ca="1">AK5-AVERAGE(AK$2:AK$31)+Sheet2!L$13</f>
        <v>21.886724637457565</v>
      </c>
      <c r="BJ5" s="2">
        <f ca="1">AL5-AVERAGE(AL$2:AL$31)+Sheet2!M$13</f>
        <v>20.689609355571488</v>
      </c>
      <c r="BK5" s="2">
        <f ca="1">AM5-AVERAGE(AM$2:AM$31)+Sheet2!N$13</f>
        <v>7.5254548242998869</v>
      </c>
      <c r="BL5" s="2">
        <f ca="1">AN5-AVERAGE(AN$2:AN$31)+Sheet2!O$13</f>
        <v>4.1897544420179198</v>
      </c>
      <c r="BM5" s="2">
        <f ca="1">AO5-AVERAGE(AO$2:AO$31)+Sheet2!P$13</f>
        <v>20.685436818342861</v>
      </c>
      <c r="BN5" s="2">
        <f ca="1">AP5-AVERAGE(AP$2:AP$31)+Sheet2!Q$13</f>
        <v>13.269009417793525</v>
      </c>
      <c r="BO5" s="2">
        <f ca="1">AQ5-AVERAGE(AQ$2:AQ$31)+Sheet2!R$13</f>
        <v>8.5091448842437725</v>
      </c>
      <c r="BP5" s="2">
        <f ca="1">AR5-AVERAGE(AR$2:AR$31)+Sheet2!S$13</f>
        <v>2.9405702183033915</v>
      </c>
      <c r="BQ5" s="2">
        <f ca="1">AS5-AVERAGE(AS$2:AS$31)+Sheet2!T$13</f>
        <v>11.72114314937123</v>
      </c>
      <c r="BR5" s="2">
        <f ca="1">AT5-AVERAGE(AT$2:AT$31)+Sheet2!U$13</f>
        <v>24.332228967509938</v>
      </c>
      <c r="BS5" s="2">
        <f ca="1">AU5-AVERAGE(AU$2:AU$31)+Sheet2!V$13</f>
        <v>24.40497057865463</v>
      </c>
      <c r="BT5" s="2">
        <f ca="1">AV5-AVERAGE(AV$2:AV$31)+Sheet2!W$13</f>
        <v>26.605884851630734</v>
      </c>
      <c r="BU5" s="2">
        <f ca="1">AW5-AVERAGE(AW$2:AW$31)+Sheet2!X$13</f>
        <v>20.55675647901133</v>
      </c>
      <c r="BV5" s="2">
        <f ca="1">AX5-AVERAGE(AX$2:AX$31)+Sheet2!Y$13</f>
        <v>22.987851556657365</v>
      </c>
      <c r="BW5" s="2">
        <f ca="1">AY5-AVERAGE(AY$2:AY$31)+Sheet2!Z$13</f>
        <v>7.3916378881091553</v>
      </c>
      <c r="BZ5" s="2">
        <f ca="1">BA5-AVERAGE(BA$2:BA$31)+Sheet2!AB$13</f>
        <v>1.9083827204778456</v>
      </c>
      <c r="CA5" s="2">
        <f ca="1">BB5-AVERAGE(BB$2:BB$31)+Sheet2!AC$13</f>
        <v>-0.35999034677286346</v>
      </c>
      <c r="CB5" s="2">
        <f ca="1">BC5-AVERAGE(BC$2:BC$31)+Sheet2!AD$13</f>
        <v>0.14434606959979757</v>
      </c>
      <c r="CC5" s="2">
        <f ca="1">BD5-AVERAGE(BD$2:BD$31)+Sheet2!AE$13</f>
        <v>0.84395572317182099</v>
      </c>
    </row>
    <row r="6" spans="2:104" x14ac:dyDescent="0.3">
      <c r="B6">
        <v>5</v>
      </c>
      <c r="C6" s="1">
        <v>1</v>
      </c>
      <c r="D6" s="2">
        <f t="shared" ca="1" si="1"/>
        <v>0.33767065453089817</v>
      </c>
      <c r="E6" s="2">
        <f t="shared" ca="1" si="1"/>
        <v>0.85874983736335908</v>
      </c>
      <c r="F6" s="2">
        <f t="shared" ca="1" si="1"/>
        <v>0.78858701352823879</v>
      </c>
      <c r="G6" s="2">
        <f t="shared" ca="1" si="1"/>
        <v>0.13205520054286546</v>
      </c>
      <c r="H6" s="2">
        <f t="shared" ca="1" si="1"/>
        <v>0.36393335400412341</v>
      </c>
      <c r="I6" s="2">
        <f t="shared" ca="1" si="1"/>
        <v>0.46190208624937024</v>
      </c>
      <c r="J6" s="2">
        <f t="shared" ca="1" si="1"/>
        <v>0.15294845267152202</v>
      </c>
      <c r="K6" s="2">
        <f t="shared" ca="1" si="1"/>
        <v>0.75810347360628194</v>
      </c>
      <c r="L6" s="2">
        <f t="shared" ca="1" si="1"/>
        <v>0.10109293119880791</v>
      </c>
      <c r="M6" s="2">
        <f t="shared" ca="1" si="1"/>
        <v>4.6265259509593371E-2</v>
      </c>
      <c r="N6" s="2">
        <f t="shared" ca="1" si="1"/>
        <v>0.43614021026981553</v>
      </c>
      <c r="O6" s="2">
        <f t="shared" ca="1" si="1"/>
        <v>0.80617910735220577</v>
      </c>
      <c r="P6" s="2">
        <f t="shared" ca="1" si="1"/>
        <v>0.33020750021073486</v>
      </c>
      <c r="Q6" s="2">
        <f t="shared" ca="1" si="0"/>
        <v>0.21508182202349058</v>
      </c>
      <c r="R6" s="2">
        <f t="shared" ca="1" si="0"/>
        <v>0.92611984881492471</v>
      </c>
      <c r="S6" s="2">
        <f t="shared" ca="1" si="0"/>
        <v>4.857374053721053E-2</v>
      </c>
      <c r="T6" s="2">
        <f t="shared" ca="1" si="0"/>
        <v>5.0213405434253233E-2</v>
      </c>
      <c r="U6" s="2">
        <f t="shared" ca="1" si="0"/>
        <v>0.91332853794339341</v>
      </c>
      <c r="V6" s="2">
        <f t="shared" ca="1" si="0"/>
        <v>0.58027917133626628</v>
      </c>
      <c r="W6" s="2">
        <f t="shared" ca="1" si="0"/>
        <v>0.46340228320046917</v>
      </c>
      <c r="X6" s="2">
        <f t="shared" ca="1" si="0"/>
        <v>0.51052515478343374</v>
      </c>
      <c r="Y6" s="2">
        <f t="shared" ca="1" si="0"/>
        <v>0.90771764107423303</v>
      </c>
      <c r="Z6" s="2">
        <f t="shared" ca="1" si="0"/>
        <v>2.3312926745699514E-2</v>
      </c>
      <c r="AA6" s="2">
        <f t="shared" ca="1" si="0"/>
        <v>0.78477859706517117</v>
      </c>
      <c r="AB6" s="2">
        <f ca="1">D6*Sheet2!C$14/_xlfn.STDEV.S(D$2:D$31)</f>
        <v>0.67757648566612927</v>
      </c>
      <c r="AC6" s="2">
        <f ca="1">E6*Sheet2!D$14/_xlfn.STDEV.S(E$2:E$31)</f>
        <v>6.2983983698489032</v>
      </c>
      <c r="AD6" s="2">
        <f ca="1">F6*Sheet2!E$14/_xlfn.STDEV.S(F$2:F$31)</f>
        <v>3.6817942478823529</v>
      </c>
      <c r="AE6" s="2">
        <f ca="1">G6*Sheet2!F$14/_xlfn.STDEV.S(G$2:G$31)</f>
        <v>1.0767987703320212</v>
      </c>
      <c r="AF6" s="2">
        <f ca="1">H6*Sheet2!G$14/_xlfn.STDEV.S(H$2:H$31)</f>
        <v>2.337208963415085</v>
      </c>
      <c r="AG6" s="2">
        <f ca="1">I6*Sheet2!H$14/_xlfn.STDEV.S(I$2:I$31)</f>
        <v>4.9791103998054842</v>
      </c>
      <c r="AH6" s="2">
        <f ca="1">J6*Sheet2!I$14/_xlfn.STDEV.S(J$2:J$31)</f>
        <v>0.37280775571646529</v>
      </c>
      <c r="AI6" s="2">
        <f ca="1">K6*Sheet2!J$14/_xlfn.STDEV.S(K$2:K$31)</f>
        <v>2.2269148131047425</v>
      </c>
      <c r="AJ6" s="2">
        <f ca="1">L6*Sheet2!K$14/_xlfn.STDEV.S(L$2:L$31)</f>
        <v>0.4529845335406415</v>
      </c>
      <c r="AK6" s="2">
        <f ca="1">M6*Sheet2!L$14/_xlfn.STDEV.S(M$2:M$31)</f>
        <v>0.27571378628400028</v>
      </c>
      <c r="AL6" s="2">
        <f ca="1">N6*Sheet2!M$14/_xlfn.STDEV.S(N$2:N$31)</f>
        <v>1.6519467992536747</v>
      </c>
      <c r="AM6" s="2">
        <f ca="1">O6*Sheet2!N$14/_xlfn.STDEV.S(O$2:O$31)</f>
        <v>2.7380529798390327</v>
      </c>
      <c r="AN6" s="2">
        <f ca="1">P6*Sheet2!O$14/_xlfn.STDEV.S(P$2:P$31)</f>
        <v>1.2469892851704398</v>
      </c>
      <c r="AO6" s="2">
        <f ca="1">Q6*Sheet2!P$14/_xlfn.STDEV.S(Q$2:Q$31)</f>
        <v>1.6540173288529358</v>
      </c>
      <c r="AP6" s="2">
        <f ca="1">R6*Sheet2!Q$14/_xlfn.STDEV.S(R$2:R$31)</f>
        <v>4.3878329575189818</v>
      </c>
      <c r="AQ6" s="2">
        <f ca="1">S6*Sheet2!R$14/_xlfn.STDEV.S(S$2:S$31)</f>
        <v>0.16227918314290316</v>
      </c>
      <c r="AR6" s="2">
        <f ca="1">T6*Sheet2!S$14/_xlfn.STDEV.S(T$2:T$31)</f>
        <v>0.11732784952004456</v>
      </c>
      <c r="AS6" s="2">
        <f ca="1">U6*Sheet2!T$14/_xlfn.STDEV.S(U$2:U$31)</f>
        <v>3.9587745029946402</v>
      </c>
      <c r="AT6" s="2">
        <f ca="1">V6*Sheet2!U$14/_xlfn.STDEV.S(V$2:V$31)</f>
        <v>2.3482474082616602</v>
      </c>
      <c r="AU6" s="2">
        <f ca="1">W6*Sheet2!V$14/_xlfn.STDEV.S(W$2:W$31)</f>
        <v>1.5718140226584256</v>
      </c>
      <c r="AV6" s="2">
        <f ca="1">X6*Sheet2!W$14/_xlfn.STDEV.S(X$2:X$31)</f>
        <v>2.7737728040456564</v>
      </c>
      <c r="AW6" s="2">
        <f ca="1">Y6*Sheet2!X$14/_xlfn.STDEV.S(Y$2:Y$31)</f>
        <v>2.0252603714419304</v>
      </c>
      <c r="AX6" s="2">
        <f ca="1">Z6*Sheet2!Y$14/_xlfn.STDEV.S(Z$2:Z$31)</f>
        <v>0.10249335953197178</v>
      </c>
      <c r="AY6" s="2">
        <f ca="1">AA6*Sheet2!Z$14/_xlfn.STDEV.S(AA$2:AA$31)</f>
        <v>1.8824529934913152</v>
      </c>
      <c r="AZ6" s="2">
        <f ca="1">AB6-AVERAGE(AB$2:AB$31)+Sheet2!C$13</f>
        <v>2.9357943037757526</v>
      </c>
      <c r="BA6" s="2">
        <f ca="1">AC6-AVERAGE(AC$2:AC$31)+Sheet2!D$13</f>
        <v>9.3029328657015871</v>
      </c>
      <c r="BB6" s="2">
        <f ca="1">AD6-AVERAGE(AD$2:AD$31)+Sheet2!E$13</f>
        <v>19.356147719017457</v>
      </c>
      <c r="BC6" s="2">
        <f ca="1">AE6-AVERAGE(AE$2:AE$31)+Sheet2!F$13</f>
        <v>18.053014081295743</v>
      </c>
      <c r="BD6" s="2">
        <f ca="1">AF6-AVERAGE(AF$2:AF$31)+Sheet2!G$13</f>
        <v>18.42409162151165</v>
      </c>
      <c r="BE6" s="2">
        <f ca="1">AG6-AVERAGE(AG$2:AG$31)+Sheet2!H$13</f>
        <v>28.599925362973252</v>
      </c>
      <c r="BF6" s="2">
        <f ca="1">AH6-AVERAGE(AH$2:AH$31)+Sheet2!I$13</f>
        <v>11.157993147702644</v>
      </c>
      <c r="BG6" s="2">
        <f ca="1">AI6-AVERAGE(AI$2:AI$31)+Sheet2!J$13</f>
        <v>20.468283606710376</v>
      </c>
      <c r="BH6" s="2">
        <f ca="1">AJ6-AVERAGE(AJ$2:AJ$31)+Sheet2!K$13</f>
        <v>26.687772726278677</v>
      </c>
      <c r="BI6" s="2">
        <f ca="1">AK6-AVERAGE(AK$2:AK$31)+Sheet2!L$13</f>
        <v>17.215497696160686</v>
      </c>
      <c r="BJ6" s="2">
        <f ca="1">AL6-AVERAGE(AL$2:AL$31)+Sheet2!M$13</f>
        <v>19.788887589481241</v>
      </c>
      <c r="BK6" s="2">
        <f ca="1">AM6-AVERAGE(AM$2:AM$31)+Sheet2!N$13</f>
        <v>9.2811711303211606</v>
      </c>
      <c r="BL6" s="2">
        <f ca="1">AN6-AVERAGE(AN$2:AN$31)+Sheet2!O$13</f>
        <v>5.3564782727900209</v>
      </c>
      <c r="BM6" s="2">
        <f ca="1">AO6-AVERAGE(AO$2:AO$31)+Sheet2!P$13</f>
        <v>20.354626274426515</v>
      </c>
      <c r="BN6" s="2">
        <f ca="1">AP6-AVERAGE(AP$2:AP$31)+Sheet2!Q$13</f>
        <v>15.678385125781276</v>
      </c>
      <c r="BO6" s="2">
        <f ca="1">AQ6-AVERAGE(AQ$2:AQ$31)+Sheet2!R$13</f>
        <v>8.266908943055487</v>
      </c>
      <c r="BP6" s="2">
        <f ca="1">AR6-AVERAGE(AR$2:AR$31)+Sheet2!S$13</f>
        <v>2.758432948207683</v>
      </c>
      <c r="BQ6" s="2">
        <f ca="1">AS6-AVERAGE(AS$2:AS$31)+Sheet2!T$13</f>
        <v>14.633333924290852</v>
      </c>
      <c r="BR6" s="2">
        <f ca="1">AT6-AVERAGE(AT$2:AT$31)+Sheet2!U$13</f>
        <v>23.738422884369495</v>
      </c>
      <c r="BS6" s="2">
        <f ca="1">AU6-AVERAGE(AU$2:AU$31)+Sheet2!V$13</f>
        <v>23.775692754042225</v>
      </c>
      <c r="BT6" s="2">
        <f ca="1">AV6-AVERAGE(AV$2:AV$31)+Sheet2!W$13</f>
        <v>24.587749317915748</v>
      </c>
      <c r="BU6" s="2">
        <f ca="1">AW6-AVERAGE(AW$2:AW$31)+Sheet2!X$13</f>
        <v>22.435288578621492</v>
      </c>
      <c r="BV6" s="2">
        <f ca="1">AX6-AVERAGE(AX$2:AX$31)+Sheet2!Y$13</f>
        <v>19.73593730749166</v>
      </c>
      <c r="BW6" s="2">
        <f ca="1">AY6-AVERAGE(AY$2:AY$31)+Sheet2!Z$13</f>
        <v>8.7676427158764767</v>
      </c>
      <c r="BZ6" s="2">
        <f ca="1">BA6-AVERAGE(BA$2:BA$31)+Sheet2!AB$13</f>
        <v>2.5387213403616222</v>
      </c>
      <c r="CA6" s="2">
        <f ca="1">BB6-AVERAGE(BB$2:BB$31)+Sheet2!AC$13</f>
        <v>0.73219822767003351</v>
      </c>
      <c r="CB6" s="2">
        <f ca="1">BC6-AVERAGE(BC$2:BC$31)+Sheet2!AD$13</f>
        <v>-3.0378470199096883</v>
      </c>
      <c r="CC6" s="2">
        <f ca="1">BD6-AVERAGE(BD$2:BD$31)+Sheet2!AE$13</f>
        <v>-0.73769134403249781</v>
      </c>
    </row>
    <row r="7" spans="2:104" x14ac:dyDescent="0.3">
      <c r="B7">
        <v>6</v>
      </c>
      <c r="C7" s="1">
        <v>1</v>
      </c>
      <c r="D7" s="2">
        <f t="shared" ca="1" si="1"/>
        <v>0.15905159635228061</v>
      </c>
      <c r="E7" s="2">
        <f t="shared" ca="1" si="0"/>
        <v>8.788301176149782E-2</v>
      </c>
      <c r="F7" s="2">
        <f t="shared" ca="1" si="0"/>
        <v>0.48826426322690364</v>
      </c>
      <c r="G7" s="2">
        <f t="shared" ca="1" si="0"/>
        <v>0.18842197362501312</v>
      </c>
      <c r="H7" s="2">
        <f t="shared" ca="1" si="0"/>
        <v>0.57878222608748808</v>
      </c>
      <c r="I7" s="2">
        <f t="shared" ca="1" si="0"/>
        <v>0.4352095423434682</v>
      </c>
      <c r="J7" s="2">
        <f t="shared" ca="1" si="0"/>
        <v>0.34042110266751746</v>
      </c>
      <c r="K7" s="2">
        <f t="shared" ca="1" si="0"/>
        <v>0.8783387675148927</v>
      </c>
      <c r="L7" s="2">
        <f t="shared" ca="1" si="0"/>
        <v>0.96444138767991683</v>
      </c>
      <c r="M7" s="2">
        <f t="shared" ca="1" si="0"/>
        <v>0.48688692732971217</v>
      </c>
      <c r="N7" s="2">
        <f t="shared" ca="1" si="0"/>
        <v>0.81670174021741127</v>
      </c>
      <c r="O7" s="2">
        <f t="shared" ca="1" si="0"/>
        <v>0.77171052735755175</v>
      </c>
      <c r="P7" s="2">
        <f t="shared" ca="1" si="0"/>
        <v>0.56139394853112523</v>
      </c>
      <c r="Q7" s="2">
        <f t="shared" ca="1" si="0"/>
        <v>0.33673946784622777</v>
      </c>
      <c r="R7" s="2">
        <f t="shared" ca="1" si="0"/>
        <v>0.61776783986979067</v>
      </c>
      <c r="S7" s="2">
        <f t="shared" ca="1" si="0"/>
        <v>0.47096124526216432</v>
      </c>
      <c r="T7" s="2">
        <f t="shared" ca="1" si="0"/>
        <v>0.11291806038250363</v>
      </c>
      <c r="U7" s="2">
        <f t="shared" ca="1" si="0"/>
        <v>1.8822236018782079E-2</v>
      </c>
      <c r="V7" s="2">
        <f t="shared" ca="1" si="0"/>
        <v>0.80273777480025676</v>
      </c>
      <c r="W7" s="2">
        <f t="shared" ca="1" si="0"/>
        <v>0.98095837106060202</v>
      </c>
      <c r="X7" s="2">
        <f t="shared" ca="1" si="0"/>
        <v>0.49755010817915524</v>
      </c>
      <c r="Y7" s="2">
        <f t="shared" ca="1" si="0"/>
        <v>0.86558881473671889</v>
      </c>
      <c r="Z7" s="2">
        <f t="shared" ca="1" si="0"/>
        <v>0.36232960598235331</v>
      </c>
      <c r="AA7" s="2">
        <f t="shared" ca="1" si="0"/>
        <v>0.11674374019885358</v>
      </c>
      <c r="AB7" s="2">
        <f ca="1">D7*Sheet2!C$14/_xlfn.STDEV.S(D$2:D$31)</f>
        <v>0.31915601859356929</v>
      </c>
      <c r="AC7" s="2">
        <f ca="1">E7*Sheet2!D$14/_xlfn.STDEV.S(E$2:E$31)</f>
        <v>0.64456747929702418</v>
      </c>
      <c r="AD7" s="2">
        <f ca="1">F7*Sheet2!E$14/_xlfn.STDEV.S(F$2:F$31)</f>
        <v>2.2796324628175668</v>
      </c>
      <c r="AE7" s="2">
        <f ca="1">G7*Sheet2!F$14/_xlfn.STDEV.S(G$2:G$31)</f>
        <v>1.536422258789325</v>
      </c>
      <c r="AF7" s="2">
        <f ca="1">H7*Sheet2!G$14/_xlfn.STDEV.S(H$2:H$31)</f>
        <v>3.7169855188971961</v>
      </c>
      <c r="AG7" s="2">
        <f ca="1">I7*Sheet2!H$14/_xlfn.STDEV.S(I$2:I$31)</f>
        <v>4.6913759926320369</v>
      </c>
      <c r="AH7" s="2">
        <f ca="1">J7*Sheet2!I$14/_xlfn.STDEV.S(J$2:J$31)</f>
        <v>0.82976731746715926</v>
      </c>
      <c r="AI7" s="2">
        <f ca="1">K7*Sheet2!J$14/_xlfn.STDEV.S(K$2:K$31)</f>
        <v>2.5801037462584042</v>
      </c>
      <c r="AJ7" s="2">
        <f ca="1">L7*Sheet2!K$14/_xlfn.STDEV.S(L$2:L$31)</f>
        <v>4.321538874625368</v>
      </c>
      <c r="AK7" s="2">
        <f ca="1">M7*Sheet2!L$14/_xlfn.STDEV.S(M$2:M$31)</f>
        <v>2.9015602559934215</v>
      </c>
      <c r="AL7" s="2">
        <f ca="1">N7*Sheet2!M$14/_xlfn.STDEV.S(N$2:N$31)</f>
        <v>3.0933809676993929</v>
      </c>
      <c r="AM7" s="2">
        <f ca="1">O7*Sheet2!N$14/_xlfn.STDEV.S(O$2:O$31)</f>
        <v>2.620986192440943</v>
      </c>
      <c r="AN7" s="2">
        <f ca="1">P7*Sheet2!O$14/_xlfn.STDEV.S(P$2:P$31)</f>
        <v>2.1200373647814565</v>
      </c>
      <c r="AO7" s="2">
        <f ca="1">Q7*Sheet2!P$14/_xlfn.STDEV.S(Q$2:Q$31)</f>
        <v>2.5895861857890798</v>
      </c>
      <c r="AP7" s="2">
        <f ca="1">R7*Sheet2!Q$14/_xlfn.STDEV.S(R$2:R$31)</f>
        <v>2.9269020541397266</v>
      </c>
      <c r="AQ7" s="2">
        <f ca="1">S7*Sheet2!R$14/_xlfn.STDEV.S(S$2:S$31)</f>
        <v>1.5734264095753643</v>
      </c>
      <c r="AR7" s="2">
        <f ca="1">T7*Sheet2!S$14/_xlfn.STDEV.S(T$2:T$31)</f>
        <v>0.26384255523160016</v>
      </c>
      <c r="AS7" s="2">
        <f ca="1">U7*Sheet2!T$14/_xlfn.STDEV.S(U$2:U$31)</f>
        <v>8.1583991898783778E-2</v>
      </c>
      <c r="AT7" s="2">
        <f ca="1">V7*Sheet2!U$14/_xlfn.STDEV.S(V$2:V$31)</f>
        <v>3.248482786048648</v>
      </c>
      <c r="AU7" s="2">
        <f ca="1">W7*Sheet2!V$14/_xlfn.STDEV.S(W$2:W$31)</f>
        <v>3.3273123141048444</v>
      </c>
      <c r="AV7" s="2">
        <f ca="1">X7*Sheet2!W$14/_xlfn.STDEV.S(X$2:X$31)</f>
        <v>2.703277097683372</v>
      </c>
      <c r="AW7" s="2">
        <f ca="1">Y7*Sheet2!X$14/_xlfn.STDEV.S(Y$2:Y$31)</f>
        <v>1.9312643548218802</v>
      </c>
      <c r="AX7" s="2">
        <f ca="1">Z7*Sheet2!Y$14/_xlfn.STDEV.S(Z$2:Z$31)</f>
        <v>1.592952226896071</v>
      </c>
      <c r="AY7" s="2">
        <f ca="1">AA7*Sheet2!Z$14/_xlfn.STDEV.S(AA$2:AA$31)</f>
        <v>0.28003388985193511</v>
      </c>
      <c r="AZ7" s="2">
        <f ca="1">AB7-AVERAGE(AB$2:AB$31)+Sheet2!C$13</f>
        <v>2.5773738367031926</v>
      </c>
      <c r="BA7" s="2">
        <f ca="1">AC7-AVERAGE(AC$2:AC$31)+Sheet2!D$13</f>
        <v>3.6491019751497076</v>
      </c>
      <c r="BB7" s="2">
        <f ca="1">AD7-AVERAGE(AD$2:AD$31)+Sheet2!E$13</f>
        <v>17.953985933952669</v>
      </c>
      <c r="BC7" s="2">
        <f ca="1">AE7-AVERAGE(AE$2:AE$31)+Sheet2!F$13</f>
        <v>18.512637569753046</v>
      </c>
      <c r="BD7" s="2">
        <f ca="1">AF7-AVERAGE(AF$2:AF$31)+Sheet2!G$13</f>
        <v>19.80386817699376</v>
      </c>
      <c r="BE7" s="2">
        <f ca="1">AG7-AVERAGE(AG$2:AG$31)+Sheet2!H$13</f>
        <v>28.312190955799807</v>
      </c>
      <c r="BF7" s="2">
        <f ca="1">AH7-AVERAGE(AH$2:AH$31)+Sheet2!I$13</f>
        <v>11.614952709453339</v>
      </c>
      <c r="BG7" s="2">
        <f ca="1">AI7-AVERAGE(AI$2:AI$31)+Sheet2!J$13</f>
        <v>20.82147253986404</v>
      </c>
      <c r="BH7" s="2">
        <f ca="1">AJ7-AVERAGE(AJ$2:AJ$31)+Sheet2!K$13</f>
        <v>30.556327067363405</v>
      </c>
      <c r="BI7" s="2">
        <f ca="1">AK7-AVERAGE(AK$2:AK$31)+Sheet2!L$13</f>
        <v>19.841344165870108</v>
      </c>
      <c r="BJ7" s="2">
        <f ca="1">AL7-AVERAGE(AL$2:AL$31)+Sheet2!M$13</f>
        <v>21.230321757926959</v>
      </c>
      <c r="BK7" s="2">
        <f ca="1">AM7-AVERAGE(AM$2:AM$31)+Sheet2!N$13</f>
        <v>9.1641043429230713</v>
      </c>
      <c r="BL7" s="2">
        <f ca="1">AN7-AVERAGE(AN$2:AN$31)+Sheet2!O$13</f>
        <v>6.2295263524010371</v>
      </c>
      <c r="BM7" s="2">
        <f ca="1">AO7-AVERAGE(AO$2:AO$31)+Sheet2!P$13</f>
        <v>21.290195131362658</v>
      </c>
      <c r="BN7" s="2">
        <f ca="1">AP7-AVERAGE(AP$2:AP$31)+Sheet2!Q$13</f>
        <v>14.21745422240202</v>
      </c>
      <c r="BO7" s="2">
        <f ca="1">AQ7-AVERAGE(AQ$2:AQ$31)+Sheet2!R$13</f>
        <v>9.6780561694879488</v>
      </c>
      <c r="BP7" s="2">
        <f ca="1">AR7-AVERAGE(AR$2:AR$31)+Sheet2!S$13</f>
        <v>2.9049476539192387</v>
      </c>
      <c r="BQ7" s="2">
        <f ca="1">AS7-AVERAGE(AS$2:AS$31)+Sheet2!T$13</f>
        <v>10.756143413194996</v>
      </c>
      <c r="BR7" s="2">
        <f ca="1">AT7-AVERAGE(AT$2:AT$31)+Sheet2!U$13</f>
        <v>24.638658262156483</v>
      </c>
      <c r="BS7" s="2">
        <f ca="1">AU7-AVERAGE(AU$2:AU$31)+Sheet2!V$13</f>
        <v>25.531191045488644</v>
      </c>
      <c r="BT7" s="2">
        <f ca="1">AV7-AVERAGE(AV$2:AV$31)+Sheet2!W$13</f>
        <v>24.517253611553464</v>
      </c>
      <c r="BU7" s="2">
        <f ca="1">AW7-AVERAGE(AW$2:AW$31)+Sheet2!X$13</f>
        <v>22.341292562001442</v>
      </c>
      <c r="BV7" s="2">
        <f ca="1">AX7-AVERAGE(AX$2:AX$31)+Sheet2!Y$13</f>
        <v>21.226396174855761</v>
      </c>
      <c r="BW7" s="2">
        <f ca="1">AY7-AVERAGE(AY$2:AY$31)+Sheet2!Z$13</f>
        <v>7.1652236122370967</v>
      </c>
      <c r="BZ7" s="2">
        <f ca="1">BA7-AVERAGE(BA$2:BA$31)+Sheet2!AB$13</f>
        <v>-3.1151095501902573</v>
      </c>
      <c r="CA7" s="2">
        <f ca="1">BB7-AVERAGE(BB$2:BB$31)+Sheet2!AC$13</f>
        <v>-0.66996355739475433</v>
      </c>
      <c r="CB7" s="2">
        <f ca="1">BC7-AVERAGE(BC$2:BC$31)+Sheet2!AD$13</f>
        <v>-2.5782235314523847</v>
      </c>
      <c r="CC7" s="2">
        <f ca="1">BD7-AVERAGE(BD$2:BD$31)+Sheet2!AE$13</f>
        <v>0.64208521144961195</v>
      </c>
    </row>
    <row r="8" spans="2:104" x14ac:dyDescent="0.3">
      <c r="B8">
        <v>7</v>
      </c>
      <c r="C8" s="1">
        <v>1</v>
      </c>
      <c r="D8" s="2">
        <f t="shared" ca="1" si="1"/>
        <v>0.73628978115864496</v>
      </c>
      <c r="E8" s="2">
        <f t="shared" ca="1" si="1"/>
        <v>0.35007133095106258</v>
      </c>
      <c r="F8" s="2">
        <f t="shared" ca="1" si="1"/>
        <v>0.92826693187530218</v>
      </c>
      <c r="G8" s="2">
        <f t="shared" ca="1" si="1"/>
        <v>0.33451871631511143</v>
      </c>
      <c r="H8" s="2">
        <f t="shared" ca="1" si="1"/>
        <v>1.2869384045572141E-2</v>
      </c>
      <c r="I8" s="2">
        <f t="shared" ca="1" si="1"/>
        <v>0.11762914913847766</v>
      </c>
      <c r="J8" s="2">
        <f t="shared" ca="1" si="1"/>
        <v>3.9866062939443836E-2</v>
      </c>
      <c r="K8" s="2">
        <f t="shared" ca="1" si="1"/>
        <v>0.10524593443269248</v>
      </c>
      <c r="L8" s="2">
        <f t="shared" ca="1" si="1"/>
        <v>0.27049595272091009</v>
      </c>
      <c r="M8" s="2">
        <f t="shared" ca="1" si="1"/>
        <v>7.6002254208580866E-2</v>
      </c>
      <c r="N8" s="2">
        <f t="shared" ca="1" si="1"/>
        <v>0.8786354854039008</v>
      </c>
      <c r="O8" s="2">
        <f t="shared" ca="1" si="1"/>
        <v>0.3673903706462166</v>
      </c>
      <c r="P8" s="2">
        <f t="shared" ca="1" si="1"/>
        <v>0.99585147598660906</v>
      </c>
      <c r="Q8" s="2">
        <f t="shared" ca="1" si="1"/>
        <v>0.17878877280921412</v>
      </c>
      <c r="R8" s="2">
        <f t="shared" ca="1" si="1"/>
        <v>0.66940528302333857</v>
      </c>
      <c r="S8" s="2">
        <f t="shared" ca="1" si="1"/>
        <v>0.61847947587854535</v>
      </c>
      <c r="T8" s="2">
        <f t="shared" ca="1" si="0"/>
        <v>0.18435008746509751</v>
      </c>
      <c r="U8" s="2">
        <f t="shared" ca="1" si="0"/>
        <v>0.76019514229943674</v>
      </c>
      <c r="V8" s="2">
        <f t="shared" ca="1" si="0"/>
        <v>0.1711623109077175</v>
      </c>
      <c r="W8" s="2">
        <f t="shared" ca="1" si="0"/>
        <v>0.37910894748035306</v>
      </c>
      <c r="X8" s="2">
        <f t="shared" ca="1" si="0"/>
        <v>0.66324739324694426</v>
      </c>
      <c r="Y8" s="2">
        <f t="shared" ca="1" si="0"/>
        <v>0.10986279957926759</v>
      </c>
      <c r="Z8" s="2">
        <f t="shared" ca="1" si="0"/>
        <v>0.32507096514980827</v>
      </c>
      <c r="AA8" s="2">
        <f t="shared" ca="1" si="0"/>
        <v>0.16231665759814851</v>
      </c>
      <c r="AB8" s="2">
        <f ca="1">D8*Sheet2!C$14/_xlfn.STDEV.S(D$2:D$31)</f>
        <v>1.4774533577471638</v>
      </c>
      <c r="AC8" s="2">
        <f ca="1">E8*Sheet2!D$14/_xlfn.STDEV.S(E$2:E$31)</f>
        <v>2.5675564690209813</v>
      </c>
      <c r="AD8" s="2">
        <f ca="1">F8*Sheet2!E$14/_xlfn.STDEV.S(F$2:F$31)</f>
        <v>4.3339387938773131</v>
      </c>
      <c r="AE8" s="2">
        <f ca="1">G8*Sheet2!F$14/_xlfn.STDEV.S(G$2:G$31)</f>
        <v>2.7277179611281825</v>
      </c>
      <c r="AF8" s="2">
        <f ca="1">H8*Sheet2!G$14/_xlfn.STDEV.S(H$2:H$31)</f>
        <v>8.2648208563487438E-2</v>
      </c>
      <c r="AG8" s="2">
        <f ca="1">I8*Sheet2!H$14/_xlfn.STDEV.S(I$2:I$31)</f>
        <v>1.267992800273833</v>
      </c>
      <c r="AH8" s="2">
        <f ca="1">J8*Sheet2!I$14/_xlfn.STDEV.S(J$2:J$31)</f>
        <v>9.7172460355806414E-2</v>
      </c>
      <c r="AI8" s="2">
        <f ca="1">K8*Sheet2!J$14/_xlfn.STDEV.S(K$2:K$31)</f>
        <v>0.30915796928393235</v>
      </c>
      <c r="AJ8" s="2">
        <f ca="1">L8*Sheet2!K$14/_xlfn.STDEV.S(L$2:L$31)</f>
        <v>1.2120578710587211</v>
      </c>
      <c r="AK8" s="2">
        <f ca="1">M8*Sheet2!L$14/_xlfn.STDEV.S(M$2:M$31)</f>
        <v>0.45292881734775114</v>
      </c>
      <c r="AL8" s="2">
        <f ca="1">N8*Sheet2!M$14/_xlfn.STDEV.S(N$2:N$31)</f>
        <v>3.3279643647755757</v>
      </c>
      <c r="AM8" s="2">
        <f ca="1">O8*Sheet2!N$14/_xlfn.STDEV.S(O$2:O$31)</f>
        <v>1.2477801644052835</v>
      </c>
      <c r="AN8" s="2">
        <f ca="1">P8*Sheet2!O$14/_xlfn.STDEV.S(P$2:P$31)</f>
        <v>3.7607144579815883</v>
      </c>
      <c r="AO8" s="2">
        <f ca="1">Q8*Sheet2!P$14/_xlfn.STDEV.S(Q$2:Q$31)</f>
        <v>1.3749173484242341</v>
      </c>
      <c r="AP8" s="2">
        <f ca="1">R8*Sheet2!Q$14/_xlfn.STDEV.S(R$2:R$31)</f>
        <v>3.1715534080666301</v>
      </c>
      <c r="AQ8" s="2">
        <f ca="1">S8*Sheet2!R$14/_xlfn.STDEV.S(S$2:S$31)</f>
        <v>2.0662675558069137</v>
      </c>
      <c r="AR8" s="2">
        <f ca="1">T8*Sheet2!S$14/_xlfn.STDEV.S(T$2:T$31)</f>
        <v>0.43074950073705714</v>
      </c>
      <c r="AS8" s="2">
        <f ca="1">U8*Sheet2!T$14/_xlfn.STDEV.S(U$2:U$31)</f>
        <v>3.2950258550028058</v>
      </c>
      <c r="AT8" s="2">
        <f ca="1">V8*Sheet2!U$14/_xlfn.STDEV.S(V$2:V$31)</f>
        <v>0.6926518697122227</v>
      </c>
      <c r="AU8" s="2">
        <f ca="1">W8*Sheet2!V$14/_xlfn.STDEV.S(W$2:W$31)</f>
        <v>1.2858994902860943</v>
      </c>
      <c r="AV8" s="2">
        <f ca="1">X8*Sheet2!W$14/_xlfn.STDEV.S(X$2:X$31)</f>
        <v>3.6035395406186277</v>
      </c>
      <c r="AW8" s="2">
        <f ca="1">Y8*Sheet2!X$14/_xlfn.STDEV.S(Y$2:Y$31)</f>
        <v>0.24512113042139469</v>
      </c>
      <c r="AX8" s="2">
        <f ca="1">Z8*Sheet2!Y$14/_xlfn.STDEV.S(Z$2:Z$31)</f>
        <v>1.4291476856568599</v>
      </c>
      <c r="AY8" s="2">
        <f ca="1">AA8*Sheet2!Z$14/_xlfn.STDEV.S(AA$2:AA$31)</f>
        <v>0.38934991235975958</v>
      </c>
      <c r="AZ8" s="2">
        <f ca="1">AB8-AVERAGE(AB$2:AB$31)+Sheet2!C$13</f>
        <v>3.7356711758567873</v>
      </c>
      <c r="BA8" s="2">
        <f ca="1">AC8-AVERAGE(AC$2:AC$31)+Sheet2!D$13</f>
        <v>5.5720909648736647</v>
      </c>
      <c r="BB8" s="2">
        <f ca="1">AD8-AVERAGE(AD$2:AD$31)+Sheet2!E$13</f>
        <v>20.008292265012418</v>
      </c>
      <c r="BC8" s="2">
        <f ca="1">AE8-AVERAGE(AE$2:AE$31)+Sheet2!F$13</f>
        <v>19.703933272091906</v>
      </c>
      <c r="BD8" s="2">
        <f ca="1">AF8-AVERAGE(AF$2:AF$31)+Sheet2!G$13</f>
        <v>16.169530866660054</v>
      </c>
      <c r="BE8" s="2">
        <f ca="1">AG8-AVERAGE(AG$2:AG$31)+Sheet2!H$13</f>
        <v>24.888807763441601</v>
      </c>
      <c r="BF8" s="2">
        <f ca="1">AH8-AVERAGE(AH$2:AH$31)+Sheet2!I$13</f>
        <v>10.882357852341986</v>
      </c>
      <c r="BG8" s="2">
        <f ca="1">AI8-AVERAGE(AI$2:AI$31)+Sheet2!J$13</f>
        <v>18.550526762889568</v>
      </c>
      <c r="BH8" s="2">
        <f ca="1">AJ8-AVERAGE(AJ$2:AJ$31)+Sheet2!K$13</f>
        <v>27.446846063796759</v>
      </c>
      <c r="BI8" s="2">
        <f ca="1">AK8-AVERAGE(AK$2:AK$31)+Sheet2!L$13</f>
        <v>17.392712727224438</v>
      </c>
      <c r="BJ8" s="2">
        <f ca="1">AL8-AVERAGE(AL$2:AL$31)+Sheet2!M$13</f>
        <v>21.464905155003141</v>
      </c>
      <c r="BK8" s="2">
        <f ca="1">AM8-AVERAGE(AM$2:AM$31)+Sheet2!N$13</f>
        <v>7.7908983148874116</v>
      </c>
      <c r="BL8" s="2">
        <f ca="1">AN8-AVERAGE(AN$2:AN$31)+Sheet2!O$13</f>
        <v>7.8702034456011685</v>
      </c>
      <c r="BM8" s="2">
        <f ca="1">AO8-AVERAGE(AO$2:AO$31)+Sheet2!P$13</f>
        <v>20.075526293997811</v>
      </c>
      <c r="BN8" s="2">
        <f ca="1">AP8-AVERAGE(AP$2:AP$31)+Sheet2!Q$13</f>
        <v>14.462105576328923</v>
      </c>
      <c r="BO8" s="2">
        <f ca="1">AQ8-AVERAGE(AQ$2:AQ$31)+Sheet2!R$13</f>
        <v>10.170897315719497</v>
      </c>
      <c r="BP8" s="2">
        <f ca="1">AR8-AVERAGE(AR$2:AR$31)+Sheet2!S$13</f>
        <v>3.0718545994246957</v>
      </c>
      <c r="BQ8" s="2">
        <f ca="1">AS8-AVERAGE(AS$2:AS$31)+Sheet2!T$13</f>
        <v>13.969585276299018</v>
      </c>
      <c r="BR8" s="2">
        <f ca="1">AT8-AVERAGE(AT$2:AT$31)+Sheet2!U$13</f>
        <v>22.082827345820057</v>
      </c>
      <c r="BS8" s="2">
        <f ca="1">AU8-AVERAGE(AU$2:AU$31)+Sheet2!V$13</f>
        <v>23.489778221669894</v>
      </c>
      <c r="BT8" s="2">
        <f ca="1">AV8-AVERAGE(AV$2:AV$31)+Sheet2!W$13</f>
        <v>25.417516054488718</v>
      </c>
      <c r="BU8" s="2">
        <f ca="1">AW8-AVERAGE(AW$2:AW$31)+Sheet2!X$13</f>
        <v>20.655149337600953</v>
      </c>
      <c r="BV8" s="2">
        <f ca="1">AX8-AVERAGE(AX$2:AX$31)+Sheet2!Y$13</f>
        <v>21.062591633616549</v>
      </c>
      <c r="BW8" s="2">
        <f ca="1">AY8-AVERAGE(AY$2:AY$31)+Sheet2!Z$13</f>
        <v>7.2745396347449205</v>
      </c>
      <c r="BZ8" s="2">
        <f ca="1">BA8-AVERAGE(BA$2:BA$31)+Sheet2!AB$13</f>
        <v>-1.1921205604663003</v>
      </c>
      <c r="CA8" s="2">
        <f ca="1">BB8-AVERAGE(BB$2:BB$31)+Sheet2!AC$13</f>
        <v>1.3843427736649945</v>
      </c>
      <c r="CB8" s="2">
        <f ca="1">BC8-AVERAGE(BC$2:BC$31)+Sheet2!AD$13</f>
        <v>-1.3869278291135254</v>
      </c>
      <c r="CC8" s="2">
        <f ca="1">BD8-AVERAGE(BD$2:BD$31)+Sheet2!AE$13</f>
        <v>-2.9922520988840939</v>
      </c>
    </row>
    <row r="9" spans="2:104" x14ac:dyDescent="0.3">
      <c r="B9">
        <v>8</v>
      </c>
      <c r="C9" s="1">
        <v>1</v>
      </c>
      <c r="D9" s="2">
        <f t="shared" ca="1" si="1"/>
        <v>0.45895720033857856</v>
      </c>
      <c r="E9" s="2">
        <f t="shared" ca="1" si="1"/>
        <v>0.51822130541571099</v>
      </c>
      <c r="F9" s="2">
        <f t="shared" ca="1" si="1"/>
        <v>0.73337104293146393</v>
      </c>
      <c r="G9" s="2">
        <f t="shared" ca="1" si="1"/>
        <v>0.87656505830414533</v>
      </c>
      <c r="H9" s="2">
        <f t="shared" ca="1" si="1"/>
        <v>0.84565901512183161</v>
      </c>
      <c r="I9" s="2">
        <f t="shared" ca="1" si="1"/>
        <v>0.87078458044041518</v>
      </c>
      <c r="J9" s="2">
        <f t="shared" ca="1" si="1"/>
        <v>0.81592660562495112</v>
      </c>
      <c r="K9" s="2">
        <f t="shared" ca="1" si="1"/>
        <v>0.41562654554090517</v>
      </c>
      <c r="L9" s="2">
        <f t="shared" ca="1" si="1"/>
        <v>0.21287844395630284</v>
      </c>
      <c r="M9" s="2">
        <f t="shared" ca="1" si="1"/>
        <v>0.32301954008772016</v>
      </c>
      <c r="N9" s="2">
        <f t="shared" ca="1" si="1"/>
        <v>0.51215646917737112</v>
      </c>
      <c r="O9" s="2">
        <f t="shared" ca="1" si="1"/>
        <v>3.2775368554047057E-2</v>
      </c>
      <c r="P9" s="2">
        <f t="shared" ca="1" si="1"/>
        <v>0.68744560682030809</v>
      </c>
      <c r="Q9" s="2">
        <f t="shared" ca="1" si="0"/>
        <v>0.51441842651499259</v>
      </c>
      <c r="R9" s="2">
        <f t="shared" ca="1" si="0"/>
        <v>0.1915028798087377</v>
      </c>
      <c r="S9" s="2">
        <f t="shared" ca="1" si="0"/>
        <v>0.19011844445714499</v>
      </c>
      <c r="T9" s="2">
        <f t="shared" ca="1" si="0"/>
        <v>0.70404094980878451</v>
      </c>
      <c r="U9" s="2">
        <f t="shared" ca="1" si="0"/>
        <v>0.60720870000033911</v>
      </c>
      <c r="V9" s="2">
        <f t="shared" ca="1" si="0"/>
        <v>0.94114585928403416</v>
      </c>
      <c r="W9" s="2">
        <f t="shared" ca="1" si="0"/>
        <v>0.95018762045375649</v>
      </c>
      <c r="X9" s="2">
        <f t="shared" ca="1" si="0"/>
        <v>0.23169325464883617</v>
      </c>
      <c r="Y9" s="2">
        <f t="shared" ca="1" si="0"/>
        <v>0.52891703828401293</v>
      </c>
      <c r="Z9" s="2">
        <f t="shared" ca="1" si="0"/>
        <v>0.15890876661168785</v>
      </c>
      <c r="AA9" s="2">
        <f t="shared" ca="1" si="0"/>
        <v>0.9217544804477773</v>
      </c>
      <c r="AB9" s="2">
        <f ca="1">D9*Sheet2!C$14/_xlfn.STDEV.S(D$2:D$31)</f>
        <v>0.92095242125378107</v>
      </c>
      <c r="AC9" s="2">
        <f ca="1">E9*Sheet2!D$14/_xlfn.STDEV.S(E$2:E$31)</f>
        <v>3.8008324231800903</v>
      </c>
      <c r="AD9" s="2">
        <f ca="1">F9*Sheet2!E$14/_xlfn.STDEV.S(F$2:F$31)</f>
        <v>3.4239991796819722</v>
      </c>
      <c r="AE9" s="2">
        <f ca="1">G9*Sheet2!F$14/_xlfn.STDEV.S(G$2:G$31)</f>
        <v>7.1476486576651936</v>
      </c>
      <c r="AF9" s="2">
        <f ca="1">H9*Sheet2!G$14/_xlfn.STDEV.S(H$2:H$31)</f>
        <v>5.43088949773239</v>
      </c>
      <c r="AG9" s="2">
        <f ca="1">I9*Sheet2!H$14/_xlfn.STDEV.S(I$2:I$31)</f>
        <v>9.3866918759062816</v>
      </c>
      <c r="AH9" s="2">
        <f ca="1">J9*Sheet2!I$14/_xlfn.STDEV.S(J$2:J$31)</f>
        <v>1.9887992415697613</v>
      </c>
      <c r="AI9" s="2">
        <f ca="1">K9*Sheet2!J$14/_xlfn.STDEV.S(K$2:K$31)</f>
        <v>1.2208952250036558</v>
      </c>
      <c r="AJ9" s="2">
        <f ca="1">L9*Sheet2!K$14/_xlfn.STDEV.S(L$2:L$31)</f>
        <v>0.9538811615499041</v>
      </c>
      <c r="AK9" s="2">
        <f ca="1">M9*Sheet2!L$14/_xlfn.STDEV.S(M$2:M$31)</f>
        <v>1.9250068277004786</v>
      </c>
      <c r="AL9" s="2">
        <f ca="1">N9*Sheet2!M$14/_xlfn.STDEV.S(N$2:N$31)</f>
        <v>1.9398698401397443</v>
      </c>
      <c r="AM9" s="2">
        <f ca="1">O9*Sheet2!N$14/_xlfn.STDEV.S(O$2:O$31)</f>
        <v>0.11131607693167979</v>
      </c>
      <c r="AN9" s="2">
        <f ca="1">P9*Sheet2!O$14/_xlfn.STDEV.S(P$2:P$31)</f>
        <v>2.596056435106215</v>
      </c>
      <c r="AO9" s="2">
        <f ca="1">Q9*Sheet2!P$14/_xlfn.STDEV.S(Q$2:Q$31)</f>
        <v>3.9559688667884276</v>
      </c>
      <c r="AP9" s="2">
        <f ca="1">R9*Sheet2!Q$14/_xlfn.STDEV.S(R$2:R$31)</f>
        <v>0.90731523415658621</v>
      </c>
      <c r="AQ9" s="2">
        <f ca="1">S9*Sheet2!R$14/_xlfn.STDEV.S(S$2:S$31)</f>
        <v>0.63516347569053533</v>
      </c>
      <c r="AR9" s="2">
        <f ca="1">T9*Sheet2!S$14/_xlfn.STDEV.S(T$2:T$31)</f>
        <v>1.6450509560294828</v>
      </c>
      <c r="AS9" s="2">
        <f ca="1">U9*Sheet2!T$14/_xlfn.STDEV.S(U$2:U$31)</f>
        <v>2.6319141685539313</v>
      </c>
      <c r="AT9" s="2">
        <f ca="1">V9*Sheet2!U$14/_xlfn.STDEV.S(V$2:V$31)</f>
        <v>3.8085863391764363</v>
      </c>
      <c r="AU9" s="2">
        <f ca="1">W9*Sheet2!V$14/_xlfn.STDEV.S(W$2:W$31)</f>
        <v>3.2229410171886363</v>
      </c>
      <c r="AV9" s="2">
        <f ca="1">X9*Sheet2!W$14/_xlfn.STDEV.S(X$2:X$31)</f>
        <v>1.2588301332544265</v>
      </c>
      <c r="AW9" s="2">
        <f ca="1">Y9*Sheet2!X$14/_xlfn.STDEV.S(Y$2:Y$31)</f>
        <v>1.1800968373263592</v>
      </c>
      <c r="AX9" s="2">
        <f ca="1">Z9*Sheet2!Y$14/_xlfn.STDEV.S(Z$2:Z$31)</f>
        <v>0.69862928523628476</v>
      </c>
      <c r="AY9" s="2">
        <f ca="1">AA9*Sheet2!Z$14/_xlfn.STDEV.S(AA$2:AA$31)</f>
        <v>2.2110178430858198</v>
      </c>
      <c r="AZ9" s="2">
        <f ca="1">AB9-AVERAGE(AB$2:AB$31)+Sheet2!C$13</f>
        <v>3.1791702393634047</v>
      </c>
      <c r="BA9" s="2">
        <f ca="1">AC9-AVERAGE(AC$2:AC$31)+Sheet2!D$13</f>
        <v>6.8053669190327737</v>
      </c>
      <c r="BB9" s="2">
        <f ca="1">AD9-AVERAGE(AD$2:AD$31)+Sheet2!E$13</f>
        <v>19.098352650817077</v>
      </c>
      <c r="BC9" s="2">
        <f ca="1">AE9-AVERAGE(AE$2:AE$31)+Sheet2!F$13</f>
        <v>24.123863968628918</v>
      </c>
      <c r="BD9" s="2">
        <f ca="1">AF9-AVERAGE(AF$2:AF$31)+Sheet2!G$13</f>
        <v>21.517772155828954</v>
      </c>
      <c r="BE9" s="2">
        <f ca="1">AG9-AVERAGE(AG$2:AG$31)+Sheet2!H$13</f>
        <v>33.007506839074047</v>
      </c>
      <c r="BF9" s="2">
        <f ca="1">AH9-AVERAGE(AH$2:AH$31)+Sheet2!I$13</f>
        <v>12.773984633555941</v>
      </c>
      <c r="BG9" s="2">
        <f ca="1">AI9-AVERAGE(AI$2:AI$31)+Sheet2!J$13</f>
        <v>19.462264018609289</v>
      </c>
      <c r="BH9" s="2">
        <f ca="1">AJ9-AVERAGE(AJ$2:AJ$31)+Sheet2!K$13</f>
        <v>27.188669354287942</v>
      </c>
      <c r="BI9" s="2">
        <f ca="1">AK9-AVERAGE(AK$2:AK$31)+Sheet2!L$13</f>
        <v>18.864790737577167</v>
      </c>
      <c r="BJ9" s="2">
        <f ca="1">AL9-AVERAGE(AL$2:AL$31)+Sheet2!M$13</f>
        <v>20.076810630367312</v>
      </c>
      <c r="BK9" s="2">
        <f ca="1">AM9-AVERAGE(AM$2:AM$31)+Sheet2!N$13</f>
        <v>6.654434227413808</v>
      </c>
      <c r="BL9" s="2">
        <f ca="1">AN9-AVERAGE(AN$2:AN$31)+Sheet2!O$13</f>
        <v>6.7055454227257956</v>
      </c>
      <c r="BM9" s="2">
        <f ca="1">AO9-AVERAGE(AO$2:AO$31)+Sheet2!P$13</f>
        <v>22.656577812362006</v>
      </c>
      <c r="BN9" s="2">
        <f ca="1">AP9-AVERAGE(AP$2:AP$31)+Sheet2!Q$13</f>
        <v>12.197867402418879</v>
      </c>
      <c r="BO9" s="2">
        <f ca="1">AQ9-AVERAGE(AQ$2:AQ$31)+Sheet2!R$13</f>
        <v>8.7397932356031198</v>
      </c>
      <c r="BP9" s="2">
        <f ca="1">AR9-AVERAGE(AR$2:AR$31)+Sheet2!S$13</f>
        <v>4.2861560547171216</v>
      </c>
      <c r="BQ9" s="2">
        <f ca="1">AS9-AVERAGE(AS$2:AS$31)+Sheet2!T$13</f>
        <v>13.306473589850144</v>
      </c>
      <c r="BR9" s="2">
        <f ca="1">AT9-AVERAGE(AT$2:AT$31)+Sheet2!U$13</f>
        <v>25.198761815284271</v>
      </c>
      <c r="BS9" s="2">
        <f ca="1">AU9-AVERAGE(AU$2:AU$31)+Sheet2!V$13</f>
        <v>25.426819748572438</v>
      </c>
      <c r="BT9" s="2">
        <f ca="1">AV9-AVERAGE(AV$2:AV$31)+Sheet2!W$13</f>
        <v>23.072806647124519</v>
      </c>
      <c r="BU9" s="2">
        <f ca="1">AW9-AVERAGE(AW$2:AW$31)+Sheet2!X$13</f>
        <v>21.590125044505918</v>
      </c>
      <c r="BV9" s="2">
        <f ca="1">AX9-AVERAGE(AX$2:AX$31)+Sheet2!Y$13</f>
        <v>20.332073233195974</v>
      </c>
      <c r="BW9" s="2">
        <f ca="1">AY9-AVERAGE(AY$2:AY$31)+Sheet2!Z$13</f>
        <v>9.0962075654709817</v>
      </c>
      <c r="BZ9" s="2">
        <f ca="1">BA9-AVERAGE(BA$2:BA$31)+Sheet2!AB$13</f>
        <v>4.1155393692808684E-2</v>
      </c>
      <c r="CA9" s="2">
        <f ca="1">BB9-AVERAGE(BB$2:BB$31)+Sheet2!AC$13</f>
        <v>0.47440315946965328</v>
      </c>
      <c r="CB9" s="2">
        <f ca="1">BC9-AVERAGE(BC$2:BC$31)+Sheet2!AD$13</f>
        <v>3.0330028674234866</v>
      </c>
      <c r="CC9" s="2">
        <f ca="1">BD9-AVERAGE(BD$2:BD$31)+Sheet2!AE$13</f>
        <v>2.3559891902848062</v>
      </c>
    </row>
    <row r="10" spans="2:104" x14ac:dyDescent="0.3">
      <c r="B10">
        <v>9</v>
      </c>
      <c r="C10" s="1">
        <v>1</v>
      </c>
      <c r="D10" s="2">
        <f t="shared" ca="1" si="1"/>
        <v>7.181908830879602E-2</v>
      </c>
      <c r="E10" s="2">
        <f t="shared" ca="1" si="1"/>
        <v>0.75437958796041704</v>
      </c>
      <c r="F10" s="2">
        <f t="shared" ca="1" si="1"/>
        <v>0.93512248041042878</v>
      </c>
      <c r="G10" s="2">
        <f t="shared" ca="1" si="1"/>
        <v>0.63646602960031595</v>
      </c>
      <c r="H10" s="2">
        <f t="shared" ca="1" si="1"/>
        <v>0.95263061585059594</v>
      </c>
      <c r="I10" s="2">
        <f t="shared" ca="1" si="1"/>
        <v>0.47403951023821733</v>
      </c>
      <c r="J10" s="2">
        <f t="shared" ca="1" si="1"/>
        <v>0.16622423580797263</v>
      </c>
      <c r="K10" s="2">
        <f t="shared" ca="1" si="1"/>
        <v>0.40224168132330917</v>
      </c>
      <c r="L10" s="2">
        <f t="shared" ca="1" si="1"/>
        <v>0.97554637380239295</v>
      </c>
      <c r="M10" s="2">
        <f t="shared" ca="1" si="1"/>
        <v>0.39200613112049476</v>
      </c>
      <c r="N10" s="2">
        <f t="shared" ca="1" si="1"/>
        <v>0.44806039913560936</v>
      </c>
      <c r="O10" s="2">
        <f t="shared" ca="1" si="1"/>
        <v>0.88144469558018002</v>
      </c>
      <c r="P10" s="2">
        <f t="shared" ca="1" si="1"/>
        <v>0.19501134540692999</v>
      </c>
      <c r="Q10" s="2">
        <f t="shared" ca="1" si="0"/>
        <v>0.76125320061233459</v>
      </c>
      <c r="R10" s="2">
        <f t="shared" ca="1" si="0"/>
        <v>1.4735093903350927E-2</v>
      </c>
      <c r="S10" s="2">
        <f t="shared" ca="1" si="0"/>
        <v>5.8485026880045088E-2</v>
      </c>
      <c r="T10" s="2">
        <f t="shared" ca="1" si="0"/>
        <v>0.82000793242591918</v>
      </c>
      <c r="U10" s="2">
        <f t="shared" ca="1" si="0"/>
        <v>9.0651221286288997E-2</v>
      </c>
      <c r="V10" s="2">
        <f t="shared" ca="1" si="0"/>
        <v>0.82632194346706134</v>
      </c>
      <c r="W10" s="2">
        <f t="shared" ca="1" si="0"/>
        <v>0.69618233883046743</v>
      </c>
      <c r="X10" s="2">
        <f t="shared" ca="1" si="0"/>
        <v>0.46983821909684098</v>
      </c>
      <c r="Y10" s="2">
        <f t="shared" ca="1" si="0"/>
        <v>0.77884444145385145</v>
      </c>
      <c r="Z10" s="2">
        <f t="shared" ca="1" si="0"/>
        <v>0.51950384595295096</v>
      </c>
      <c r="AA10" s="2">
        <f t="shared" ca="1" si="0"/>
        <v>0.32041535741940863</v>
      </c>
      <c r="AB10" s="2">
        <f ca="1">D10*Sheet2!C$14/_xlfn.STDEV.S(D$2:D$31)</f>
        <v>0.14411357577881129</v>
      </c>
      <c r="AC10" s="2">
        <f ca="1">E10*Sheet2!D$14/_xlfn.STDEV.S(E$2:E$31)</f>
        <v>5.5329072103762691</v>
      </c>
      <c r="AD10" s="2">
        <f ca="1">F10*Sheet2!E$14/_xlfn.STDEV.S(F$2:F$31)</f>
        <v>4.3659463196540527</v>
      </c>
      <c r="AE10" s="2">
        <f ca="1">G10*Sheet2!F$14/_xlfn.STDEV.S(G$2:G$31)</f>
        <v>5.1898436049041399</v>
      </c>
      <c r="AF10" s="2">
        <f ca="1">H10*Sheet2!G$14/_xlfn.STDEV.S(H$2:H$31)</f>
        <v>6.1178696310545337</v>
      </c>
      <c r="AG10" s="2">
        <f ca="1">I10*Sheet2!H$14/_xlfn.STDEV.S(I$2:I$31)</f>
        <v>5.1099467302936965</v>
      </c>
      <c r="AH10" s="2">
        <f ca="1">J10*Sheet2!I$14/_xlfn.STDEV.S(J$2:J$31)</f>
        <v>0.40516712143759481</v>
      </c>
      <c r="AI10" s="2">
        <f ca="1">K10*Sheet2!J$14/_xlfn.STDEV.S(K$2:K$31)</f>
        <v>1.1815774360272129</v>
      </c>
      <c r="AJ10" s="2">
        <f ca="1">L10*Sheet2!K$14/_xlfn.STDEV.S(L$2:L$31)</f>
        <v>4.3712989013553525</v>
      </c>
      <c r="AK10" s="2">
        <f ca="1">M10*Sheet2!L$14/_xlfn.STDEV.S(M$2:M$31)</f>
        <v>2.3361264111219899</v>
      </c>
      <c r="AL10" s="2">
        <f ca="1">N10*Sheet2!M$14/_xlfn.STDEV.S(N$2:N$31)</f>
        <v>1.6970963116803444</v>
      </c>
      <c r="AM10" s="2">
        <f ca="1">O10*Sheet2!N$14/_xlfn.STDEV.S(O$2:O$31)</f>
        <v>2.9936800064482814</v>
      </c>
      <c r="AN10" s="2">
        <f ca="1">P10*Sheet2!O$14/_xlfn.STDEV.S(P$2:P$31)</f>
        <v>0.73643711319070693</v>
      </c>
      <c r="AO10" s="2">
        <f ca="1">Q10*Sheet2!P$14/_xlfn.STDEV.S(Q$2:Q$31)</f>
        <v>5.8541720244495785</v>
      </c>
      <c r="AP10" s="2">
        <f ca="1">R10*Sheet2!Q$14/_xlfn.STDEV.S(R$2:R$31)</f>
        <v>6.9812919725231862E-2</v>
      </c>
      <c r="AQ10" s="2">
        <f ca="1">S10*Sheet2!R$14/_xlfn.STDEV.S(S$2:S$31)</f>
        <v>0.19539163101745941</v>
      </c>
      <c r="AR10" s="2">
        <f ca="1">T10*Sheet2!S$14/_xlfn.STDEV.S(T$2:T$31)</f>
        <v>1.9160175747666242</v>
      </c>
      <c r="AS10" s="2">
        <f ca="1">U10*Sheet2!T$14/_xlfn.STDEV.S(U$2:U$31)</f>
        <v>0.39292295004990618</v>
      </c>
      <c r="AT10" s="2">
        <f ca="1">V10*Sheet2!U$14/_xlfn.STDEV.S(V$2:V$31)</f>
        <v>3.3439221291846382</v>
      </c>
      <c r="AU10" s="2">
        <f ca="1">W10*Sheet2!V$14/_xlfn.STDEV.S(W$2:W$31)</f>
        <v>2.3613806020620838</v>
      </c>
      <c r="AV10" s="2">
        <f ca="1">X10*Sheet2!W$14/_xlfn.STDEV.S(X$2:X$31)</f>
        <v>2.552713538640214</v>
      </c>
      <c r="AW10" s="2">
        <f ca="1">Y10*Sheet2!X$14/_xlfn.STDEV.S(Y$2:Y$31)</f>
        <v>1.7377240580315145</v>
      </c>
      <c r="AX10" s="2">
        <f ca="1">Z10*Sheet2!Y$14/_xlfn.STDEV.S(Z$2:Z$31)</f>
        <v>2.2839558088226743</v>
      </c>
      <c r="AY10" s="2">
        <f ca="1">AA10*Sheet2!Z$14/_xlfn.STDEV.S(AA$2:AA$31)</f>
        <v>0.76858218482309859</v>
      </c>
      <c r="AZ10" s="2">
        <f ca="1">AB10-AVERAGE(AB$2:AB$31)+Sheet2!C$13</f>
        <v>2.402331393888435</v>
      </c>
      <c r="BA10" s="2">
        <f ca="1">AC10-AVERAGE(AC$2:AC$31)+Sheet2!D$13</f>
        <v>8.537441706228952</v>
      </c>
      <c r="BB10" s="2">
        <f ca="1">AD10-AVERAGE(AD$2:AD$31)+Sheet2!E$13</f>
        <v>20.040299790789156</v>
      </c>
      <c r="BC10" s="2">
        <f ca="1">AE10-AVERAGE(AE$2:AE$31)+Sheet2!F$13</f>
        <v>22.166058915867861</v>
      </c>
      <c r="BD10" s="2">
        <f ca="1">AF10-AVERAGE(AF$2:AF$31)+Sheet2!G$13</f>
        <v>22.204752289151099</v>
      </c>
      <c r="BE10" s="2">
        <f ca="1">AG10-AVERAGE(AG$2:AG$31)+Sheet2!H$13</f>
        <v>28.730761693461464</v>
      </c>
      <c r="BF10" s="2">
        <f ca="1">AH10-AVERAGE(AH$2:AH$31)+Sheet2!I$13</f>
        <v>11.190352513423775</v>
      </c>
      <c r="BG10" s="2">
        <f ca="1">AI10-AVERAGE(AI$2:AI$31)+Sheet2!J$13</f>
        <v>19.422946229632846</v>
      </c>
      <c r="BH10" s="2">
        <f ca="1">AJ10-AVERAGE(AJ$2:AJ$31)+Sheet2!K$13</f>
        <v>30.60608709409339</v>
      </c>
      <c r="BI10" s="2">
        <f ca="1">AK10-AVERAGE(AK$2:AK$31)+Sheet2!L$13</f>
        <v>19.275910320998676</v>
      </c>
      <c r="BJ10" s="2">
        <f ca="1">AL10-AVERAGE(AL$2:AL$31)+Sheet2!M$13</f>
        <v>19.83403710190791</v>
      </c>
      <c r="BK10" s="2">
        <f ca="1">AM10-AVERAGE(AM$2:AM$31)+Sheet2!N$13</f>
        <v>9.5367981569304092</v>
      </c>
      <c r="BL10" s="2">
        <f ca="1">AN10-AVERAGE(AN$2:AN$31)+Sheet2!O$13</f>
        <v>4.8459261008102876</v>
      </c>
      <c r="BM10" s="2">
        <f ca="1">AO10-AVERAGE(AO$2:AO$31)+Sheet2!P$13</f>
        <v>24.554780970023156</v>
      </c>
      <c r="BN10" s="2">
        <f ca="1">AP10-AVERAGE(AP$2:AP$31)+Sheet2!Q$13</f>
        <v>11.360365087987525</v>
      </c>
      <c r="BO10" s="2">
        <f ca="1">AQ10-AVERAGE(AQ$2:AQ$31)+Sheet2!R$13</f>
        <v>8.3000213909300431</v>
      </c>
      <c r="BP10" s="2">
        <f ca="1">AR10-AVERAGE(AR$2:AR$31)+Sheet2!S$13</f>
        <v>4.5571226734542627</v>
      </c>
      <c r="BQ10" s="2">
        <f ca="1">AS10-AVERAGE(AS$2:AS$31)+Sheet2!T$13</f>
        <v>11.067482371346118</v>
      </c>
      <c r="BR10" s="2">
        <f ca="1">AT10-AVERAGE(AT$2:AT$31)+Sheet2!U$13</f>
        <v>24.734097605292476</v>
      </c>
      <c r="BS10" s="2">
        <f ca="1">AU10-AVERAGE(AU$2:AU$31)+Sheet2!V$13</f>
        <v>24.565259333445884</v>
      </c>
      <c r="BT10" s="2">
        <f ca="1">AV10-AVERAGE(AV$2:AV$31)+Sheet2!W$13</f>
        <v>24.366690052510307</v>
      </c>
      <c r="BU10" s="2">
        <f ca="1">AW10-AVERAGE(AW$2:AW$31)+Sheet2!X$13</f>
        <v>22.147752265211075</v>
      </c>
      <c r="BV10" s="2">
        <f ca="1">AX10-AVERAGE(AX$2:AX$31)+Sheet2!Y$13</f>
        <v>21.917399756782363</v>
      </c>
      <c r="BW10" s="2">
        <f ca="1">AY10-AVERAGE(AY$2:AY$31)+Sheet2!Z$13</f>
        <v>7.6537719072082595</v>
      </c>
      <c r="BZ10" s="2">
        <f ca="1">BA10-AVERAGE(BA$2:BA$31)+Sheet2!AB$13</f>
        <v>1.773230180888987</v>
      </c>
      <c r="CA10" s="2">
        <f ca="1">BB10-AVERAGE(BB$2:BB$31)+Sheet2!AC$13</f>
        <v>1.4163502994417323</v>
      </c>
      <c r="CB10" s="2">
        <f ca="1">BC10-AVERAGE(BC$2:BC$31)+Sheet2!AD$13</f>
        <v>1.0751978146624301</v>
      </c>
      <c r="CC10" s="2">
        <f ca="1">BD10-AVERAGE(BD$2:BD$31)+Sheet2!AE$13</f>
        <v>3.0429693236069508</v>
      </c>
    </row>
    <row r="11" spans="2:104" x14ac:dyDescent="0.3">
      <c r="B11">
        <v>10</v>
      </c>
      <c r="C11" s="1">
        <v>1</v>
      </c>
      <c r="D11" s="2">
        <f t="shared" ca="1" si="1"/>
        <v>0.50370934309455007</v>
      </c>
      <c r="E11" s="2">
        <f t="shared" ca="1" si="1"/>
        <v>0.50471333791885054</v>
      </c>
      <c r="F11" s="2">
        <f t="shared" ca="1" si="1"/>
        <v>4.0162937575135782E-2</v>
      </c>
      <c r="G11" s="2">
        <f t="shared" ca="1" si="1"/>
        <v>0.50780759783687246</v>
      </c>
      <c r="H11" s="2">
        <f t="shared" ca="1" si="1"/>
        <v>0.24301974387704295</v>
      </c>
      <c r="I11" s="2">
        <f t="shared" ca="1" si="1"/>
        <v>0.64516124450719026</v>
      </c>
      <c r="J11" s="2">
        <f t="shared" ca="1" si="1"/>
        <v>0.35627477496519955</v>
      </c>
      <c r="K11" s="2">
        <f t="shared" ca="1" si="1"/>
        <v>0.80925586713726516</v>
      </c>
      <c r="L11" s="2">
        <f t="shared" ca="1" si="1"/>
        <v>0.72258407131558477</v>
      </c>
      <c r="M11" s="2">
        <f t="shared" ca="1" si="1"/>
        <v>0.4732249788684959</v>
      </c>
      <c r="N11" s="2">
        <f t="shared" ca="1" si="1"/>
        <v>0.24700655770553392</v>
      </c>
      <c r="O11" s="2">
        <f t="shared" ca="1" si="1"/>
        <v>0.41686488076245343</v>
      </c>
      <c r="P11" s="2">
        <f t="shared" ca="1" si="1"/>
        <v>0.24133759692766221</v>
      </c>
      <c r="Q11" s="2">
        <f t="shared" ca="1" si="0"/>
        <v>0.36312688230491652</v>
      </c>
      <c r="R11" s="2">
        <f t="shared" ca="1" si="0"/>
        <v>0.92299938261861525</v>
      </c>
      <c r="S11" s="2">
        <f t="shared" ca="1" si="0"/>
        <v>0.79501770079380929</v>
      </c>
      <c r="T11" s="2">
        <f t="shared" ca="1" si="0"/>
        <v>0.34896469556564558</v>
      </c>
      <c r="U11" s="2">
        <f t="shared" ca="1" si="0"/>
        <v>0.96857369968919516</v>
      </c>
      <c r="V11" s="2">
        <f t="shared" ca="1" si="0"/>
        <v>0.92983255748406324</v>
      </c>
      <c r="W11" s="2">
        <f t="shared" ca="1" si="0"/>
        <v>0.1076208906890499</v>
      </c>
      <c r="X11" s="2">
        <f t="shared" ca="1" si="0"/>
        <v>0.92401869958778615</v>
      </c>
      <c r="Y11" s="2">
        <f t="shared" ca="1" si="0"/>
        <v>0.58647419373194432</v>
      </c>
      <c r="Z11" s="2">
        <f t="shared" ca="1" si="0"/>
        <v>0.19112061511401601</v>
      </c>
      <c r="AA11" s="2">
        <f t="shared" ca="1" si="0"/>
        <v>0.11815166077548478</v>
      </c>
      <c r="AB11" s="2">
        <f ca="1">D11*Sheet2!C$14/_xlfn.STDEV.S(D$2:D$31)</f>
        <v>1.0107529390297354</v>
      </c>
      <c r="AC11" s="2">
        <f ca="1">E11*Sheet2!D$14/_xlfn.STDEV.S(E$2:E$31)</f>
        <v>3.701759844926781</v>
      </c>
      <c r="AD11" s="2">
        <f ca="1">F11*Sheet2!E$14/_xlfn.STDEV.S(F$2:F$31)</f>
        <v>0.18751471937205286</v>
      </c>
      <c r="AE11" s="2">
        <f ca="1">G11*Sheet2!F$14/_xlfn.STDEV.S(G$2:G$31)</f>
        <v>4.1407426187543974</v>
      </c>
      <c r="AF11" s="2">
        <f ca="1">H11*Sheet2!G$14/_xlfn.STDEV.S(H$2:H$31)</f>
        <v>1.5606921361481687</v>
      </c>
      <c r="AG11" s="2">
        <f ca="1">I11*Sheet2!H$14/_xlfn.STDEV.S(I$2:I$31)</f>
        <v>6.9545671208398447</v>
      </c>
      <c r="AH11" s="2">
        <f ca="1">J11*Sheet2!I$14/_xlfn.STDEV.S(J$2:J$31)</f>
        <v>0.86841021895408377</v>
      </c>
      <c r="AI11" s="2">
        <f ca="1">K11*Sheet2!J$14/_xlfn.STDEV.S(K$2:K$31)</f>
        <v>2.3771740149760023</v>
      </c>
      <c r="AJ11" s="2">
        <f ca="1">L11*Sheet2!K$14/_xlfn.STDEV.S(L$2:L$31)</f>
        <v>3.2378070811408772</v>
      </c>
      <c r="AK11" s="2">
        <f ca="1">M11*Sheet2!L$14/_xlfn.STDEV.S(M$2:M$31)</f>
        <v>2.8201430635214386</v>
      </c>
      <c r="AL11" s="2">
        <f ca="1">N11*Sheet2!M$14/_xlfn.STDEV.S(N$2:N$31)</f>
        <v>0.93557457622146856</v>
      </c>
      <c r="AM11" s="2">
        <f ca="1">O11*Sheet2!N$14/_xlfn.STDEV.S(O$2:O$31)</f>
        <v>1.4158120925642166</v>
      </c>
      <c r="AN11" s="2">
        <f ca="1">P11*Sheet2!O$14/_xlfn.STDEV.S(P$2:P$31)</f>
        <v>0.91138268296606562</v>
      </c>
      <c r="AO11" s="2">
        <f ca="1">Q11*Sheet2!P$14/_xlfn.STDEV.S(Q$2:Q$31)</f>
        <v>2.79251007943886</v>
      </c>
      <c r="AP11" s="2">
        <f ca="1">R11*Sheet2!Q$14/_xlfn.STDEV.S(R$2:R$31)</f>
        <v>4.3730486027332471</v>
      </c>
      <c r="AQ11" s="2">
        <f ca="1">S11*Sheet2!R$14/_xlfn.STDEV.S(S$2:S$31)</f>
        <v>2.6560611071353444</v>
      </c>
      <c r="AR11" s="2">
        <f ca="1">T11*Sheet2!S$14/_xlfn.STDEV.S(T$2:T$31)</f>
        <v>0.81538539230809937</v>
      </c>
      <c r="AS11" s="2">
        <f ca="1">U11*Sheet2!T$14/_xlfn.STDEV.S(U$2:U$31)</f>
        <v>4.1982317504661406</v>
      </c>
      <c r="AT11" s="2">
        <f ca="1">V11*Sheet2!U$14/_xlfn.STDEV.S(V$2:V$31)</f>
        <v>3.7628041830299619</v>
      </c>
      <c r="AU11" s="2">
        <f ca="1">W11*Sheet2!V$14/_xlfn.STDEV.S(W$2:W$31)</f>
        <v>0.36503925692325329</v>
      </c>
      <c r="AV11" s="2">
        <f ca="1">X11*Sheet2!W$14/_xlfn.STDEV.S(X$2:X$31)</f>
        <v>5.0203558342457661</v>
      </c>
      <c r="AW11" s="2">
        <f ca="1">Y11*Sheet2!X$14/_xlfn.STDEV.S(Y$2:Y$31)</f>
        <v>1.3085158750831514</v>
      </c>
      <c r="AX11" s="2">
        <f ca="1">Z11*Sheet2!Y$14/_xlfn.STDEV.S(Z$2:Z$31)</f>
        <v>0.84024602026709971</v>
      </c>
      <c r="AY11" s="2">
        <f ca="1">AA11*Sheet2!Z$14/_xlfn.STDEV.S(AA$2:AA$31)</f>
        <v>0.28341107714270586</v>
      </c>
      <c r="AZ11" s="2">
        <f ca="1">AB11-AVERAGE(AB$2:AB$31)+Sheet2!C$13</f>
        <v>3.2689707571393587</v>
      </c>
      <c r="BA11" s="2">
        <f ca="1">AC11-AVERAGE(AC$2:AC$31)+Sheet2!D$13</f>
        <v>6.7062943407794648</v>
      </c>
      <c r="BB11" s="2">
        <f ca="1">AD11-AVERAGE(AD$2:AD$31)+Sheet2!E$13</f>
        <v>15.861868190507156</v>
      </c>
      <c r="BC11" s="2">
        <f ca="1">AE11-AVERAGE(AE$2:AE$31)+Sheet2!F$13</f>
        <v>21.116957929718119</v>
      </c>
      <c r="BD11" s="2">
        <f ca="1">AF11-AVERAGE(AF$2:AF$31)+Sheet2!G$13</f>
        <v>17.647574794244733</v>
      </c>
      <c r="BE11" s="2">
        <f ca="1">AG11-AVERAGE(AG$2:AG$31)+Sheet2!H$13</f>
        <v>30.575382084007614</v>
      </c>
      <c r="BF11" s="2">
        <f ca="1">AH11-AVERAGE(AH$2:AH$31)+Sheet2!I$13</f>
        <v>11.653595610940263</v>
      </c>
      <c r="BG11" s="2">
        <f ca="1">AI11-AVERAGE(AI$2:AI$31)+Sheet2!J$13</f>
        <v>20.618542808581637</v>
      </c>
      <c r="BH11" s="2">
        <f ca="1">AJ11-AVERAGE(AJ$2:AJ$31)+Sheet2!K$13</f>
        <v>29.472595273878916</v>
      </c>
      <c r="BI11" s="2">
        <f ca="1">AK11-AVERAGE(AK$2:AK$31)+Sheet2!L$13</f>
        <v>19.759926973398127</v>
      </c>
      <c r="BJ11" s="2">
        <f ca="1">AL11-AVERAGE(AL$2:AL$31)+Sheet2!M$13</f>
        <v>19.072515366449036</v>
      </c>
      <c r="BK11" s="2">
        <f ca="1">AM11-AVERAGE(AM$2:AM$31)+Sheet2!N$13</f>
        <v>7.9589302430463444</v>
      </c>
      <c r="BL11" s="2">
        <f ca="1">AN11-AVERAGE(AN$2:AN$31)+Sheet2!O$13</f>
        <v>5.0208716705856462</v>
      </c>
      <c r="BM11" s="2">
        <f ca="1">AO11-AVERAGE(AO$2:AO$31)+Sheet2!P$13</f>
        <v>21.49311902501244</v>
      </c>
      <c r="BN11" s="2">
        <f ca="1">AP11-AVERAGE(AP$2:AP$31)+Sheet2!Q$13</f>
        <v>15.66360077099554</v>
      </c>
      <c r="BO11" s="2">
        <f ca="1">AQ11-AVERAGE(AQ$2:AQ$31)+Sheet2!R$13</f>
        <v>10.760690867047929</v>
      </c>
      <c r="BP11" s="2">
        <f ca="1">AR11-AVERAGE(AR$2:AR$31)+Sheet2!S$13</f>
        <v>3.4564904909957379</v>
      </c>
      <c r="BQ11" s="2">
        <f ca="1">AS11-AVERAGE(AS$2:AS$31)+Sheet2!T$13</f>
        <v>14.872791171762353</v>
      </c>
      <c r="BR11" s="2">
        <f ca="1">AT11-AVERAGE(AT$2:AT$31)+Sheet2!U$13</f>
        <v>25.152979659137799</v>
      </c>
      <c r="BS11" s="2">
        <f ca="1">AU11-AVERAGE(AU$2:AU$31)+Sheet2!V$13</f>
        <v>22.568917988307053</v>
      </c>
      <c r="BT11" s="2">
        <f ca="1">AV11-AVERAGE(AV$2:AV$31)+Sheet2!W$13</f>
        <v>26.834332348115858</v>
      </c>
      <c r="BU11" s="2">
        <f ca="1">AW11-AVERAGE(AW$2:AW$31)+Sheet2!X$13</f>
        <v>21.71854408226271</v>
      </c>
      <c r="BV11" s="2">
        <f ca="1">AX11-AVERAGE(AX$2:AX$31)+Sheet2!Y$13</f>
        <v>20.47368996822679</v>
      </c>
      <c r="BW11" s="2">
        <f ca="1">AY11-AVERAGE(AY$2:AY$31)+Sheet2!Z$13</f>
        <v>7.1686007995278676</v>
      </c>
      <c r="BZ11" s="2">
        <f ca="1">BA11-AVERAGE(BA$2:BA$31)+Sheet2!AB$13</f>
        <v>-5.7917184560500157E-2</v>
      </c>
      <c r="CA11" s="2">
        <f ca="1">BB11-AVERAGE(BB$2:BB$31)+Sheet2!AC$13</f>
        <v>-2.7620813008402676</v>
      </c>
      <c r="CB11" s="2">
        <f ca="1">BC11-AVERAGE(BC$2:BC$31)+Sheet2!AD$13</f>
        <v>2.6096828512687686E-2</v>
      </c>
      <c r="CC11" s="2">
        <f ca="1">BD11-AVERAGE(BD$2:BD$31)+Sheet2!AE$13</f>
        <v>-1.5142081712994151</v>
      </c>
    </row>
    <row r="12" spans="2:104" x14ac:dyDescent="0.3">
      <c r="B12">
        <v>11</v>
      </c>
      <c r="C12" s="1">
        <v>1</v>
      </c>
      <c r="D12" s="2">
        <f t="shared" ca="1" si="1"/>
        <v>2.5052944858254822E-3</v>
      </c>
      <c r="E12" s="2">
        <f t="shared" ca="1" si="0"/>
        <v>0.92897581641861748</v>
      </c>
      <c r="F12" s="2">
        <f t="shared" ca="1" si="0"/>
        <v>0.88222114101267413</v>
      </c>
      <c r="G12" s="2">
        <f t="shared" ca="1" si="0"/>
        <v>0.42710447917129091</v>
      </c>
      <c r="H12" s="2">
        <f t="shared" ca="1" si="0"/>
        <v>0.41958462018279041</v>
      </c>
      <c r="I12" s="2">
        <f t="shared" ca="1" si="0"/>
        <v>0.30690419052969176</v>
      </c>
      <c r="J12" s="2">
        <f t="shared" ca="1" si="0"/>
        <v>0.20963126516687658</v>
      </c>
      <c r="K12" s="2">
        <f t="shared" ca="1" si="0"/>
        <v>0.56910122845343758</v>
      </c>
      <c r="L12" s="2">
        <f t="shared" ca="1" si="0"/>
        <v>0.9665667428016419</v>
      </c>
      <c r="M12" s="2">
        <f t="shared" ca="1" si="0"/>
        <v>0.76213715269541915</v>
      </c>
      <c r="N12" s="2">
        <f t="shared" ca="1" si="0"/>
        <v>0.22905300618054969</v>
      </c>
      <c r="O12" s="2">
        <f t="shared" ca="1" si="0"/>
        <v>0.63759399322460131</v>
      </c>
      <c r="P12" s="2">
        <f t="shared" ca="1" si="0"/>
        <v>0.96444429002487519</v>
      </c>
      <c r="Q12" s="2">
        <f t="shared" ca="1" si="0"/>
        <v>0.54094189829491335</v>
      </c>
      <c r="R12" s="2">
        <f t="shared" ca="1" si="0"/>
        <v>0.29703404829914515</v>
      </c>
      <c r="S12" s="2">
        <f t="shared" ca="1" si="0"/>
        <v>0.21638541811623657</v>
      </c>
      <c r="T12" s="2">
        <f t="shared" ca="1" si="0"/>
        <v>0.40575874587503236</v>
      </c>
      <c r="U12" s="2">
        <f t="shared" ca="1" si="0"/>
        <v>0.39904235228079143</v>
      </c>
      <c r="V12" s="2">
        <f t="shared" ca="1" si="0"/>
        <v>0.54932140358687143</v>
      </c>
      <c r="W12" s="2">
        <f t="shared" ca="1" si="0"/>
        <v>0.16231002937129413</v>
      </c>
      <c r="X12" s="2">
        <f t="shared" ca="1" si="0"/>
        <v>0.65977091431349866</v>
      </c>
      <c r="Y12" s="2">
        <f t="shared" ca="1" si="0"/>
        <v>0.43985942065620431</v>
      </c>
      <c r="Z12" s="2">
        <f t="shared" ca="1" si="0"/>
        <v>0.3653931331138468</v>
      </c>
      <c r="AA12" s="2">
        <f t="shared" ca="1" si="0"/>
        <v>0.54040616038256839</v>
      </c>
      <c r="AB12" s="2">
        <f ca="1">D12*Sheet2!C$14/_xlfn.STDEV.S(D$2:D$31)</f>
        <v>5.0271725140658679E-3</v>
      </c>
      <c r="AC12" s="2">
        <f ca="1">E12*Sheet2!D$14/_xlfn.STDEV.S(E$2:E$31)</f>
        <v>6.8134624464381011</v>
      </c>
      <c r="AD12" s="2">
        <f ca="1">F12*Sheet2!E$14/_xlfn.STDEV.S(F$2:F$31)</f>
        <v>4.1189579166514578</v>
      </c>
      <c r="AE12" s="2">
        <f ca="1">G12*Sheet2!F$14/_xlfn.STDEV.S(G$2:G$31)</f>
        <v>3.4826767600542765</v>
      </c>
      <c r="AF12" s="2">
        <f ca="1">H12*Sheet2!G$14/_xlfn.STDEV.S(H$2:H$31)</f>
        <v>2.6946058238762611</v>
      </c>
      <c r="AG12" s="2">
        <f ca="1">I12*Sheet2!H$14/_xlfn.STDEV.S(I$2:I$31)</f>
        <v>3.3082982136289405</v>
      </c>
      <c r="AH12" s="2">
        <f ca="1">J12*Sheet2!I$14/_xlfn.STDEV.S(J$2:J$31)</f>
        <v>0.51097059257414701</v>
      </c>
      <c r="AI12" s="2">
        <f ca="1">K12*Sheet2!J$14/_xlfn.STDEV.S(K$2:K$31)</f>
        <v>1.6717242433547459</v>
      </c>
      <c r="AJ12" s="2">
        <f ca="1">L12*Sheet2!K$14/_xlfn.STDEV.S(L$2:L$31)</f>
        <v>4.3310623199049347</v>
      </c>
      <c r="AK12" s="2">
        <f ca="1">M12*Sheet2!L$14/_xlfn.STDEV.S(M$2:M$31)</f>
        <v>4.5418900113116027</v>
      </c>
      <c r="AL12" s="2">
        <f ca="1">N12*Sheet2!M$14/_xlfn.STDEV.S(N$2:N$31)</f>
        <v>0.86757279312839919</v>
      </c>
      <c r="AM12" s="2">
        <f ca="1">O12*Sheet2!N$14/_xlfn.STDEV.S(O$2:O$31)</f>
        <v>2.1654817361985943</v>
      </c>
      <c r="AN12" s="2">
        <f ca="1">P12*Sheet2!O$14/_xlfn.STDEV.S(P$2:P$31)</f>
        <v>3.6421089619021734</v>
      </c>
      <c r="AO12" s="2">
        <f ca="1">Q12*Sheet2!P$14/_xlfn.STDEV.S(Q$2:Q$31)</f>
        <v>4.159939065350998</v>
      </c>
      <c r="AP12" s="2">
        <f ca="1">R12*Sheet2!Q$14/_xlfn.STDEV.S(R$2:R$31)</f>
        <v>1.4073079076104889</v>
      </c>
      <c r="AQ12" s="2">
        <f ca="1">S12*Sheet2!R$14/_xlfn.STDEV.S(S$2:S$31)</f>
        <v>0.72291836098227291</v>
      </c>
      <c r="AR12" s="2">
        <f ca="1">T12*Sheet2!S$14/_xlfn.STDEV.S(T$2:T$31)</f>
        <v>0.94808947263697574</v>
      </c>
      <c r="AS12" s="2">
        <f ca="1">U12*Sheet2!T$14/_xlfn.STDEV.S(U$2:U$31)</f>
        <v>1.7296280847430505</v>
      </c>
      <c r="AT12" s="2">
        <f ca="1">V12*Sheet2!U$14/_xlfn.STDEV.S(V$2:V$31)</f>
        <v>2.2229689190894959</v>
      </c>
      <c r="AU12" s="2">
        <f ca="1">W12*Sheet2!V$14/_xlfn.STDEV.S(W$2:W$31)</f>
        <v>0.55053932497249891</v>
      </c>
      <c r="AV12" s="2">
        <f ca="1">X12*Sheet2!W$14/_xlfn.STDEV.S(X$2:X$31)</f>
        <v>3.5846512201723617</v>
      </c>
      <c r="AW12" s="2">
        <f ca="1">Y12*Sheet2!X$14/_xlfn.STDEV.S(Y$2:Y$31)</f>
        <v>0.9813953297262894</v>
      </c>
      <c r="AX12" s="2">
        <f ca="1">Z12*Sheet2!Y$14/_xlfn.STDEV.S(Z$2:Z$31)</f>
        <v>1.6064207712426977</v>
      </c>
      <c r="AY12" s="2">
        <f ca="1">AA12*Sheet2!Z$14/_xlfn.STDEV.S(AA$2:AA$31)</f>
        <v>1.2962754057229136</v>
      </c>
      <c r="AZ12" s="2">
        <f ca="1">AB12-AVERAGE(AB$2:AB$31)+Sheet2!C$13</f>
        <v>2.2632449906236891</v>
      </c>
      <c r="BA12" s="2">
        <f ca="1">AC12-AVERAGE(AC$2:AC$31)+Sheet2!D$13</f>
        <v>9.8179969422907849</v>
      </c>
      <c r="BB12" s="2">
        <f ca="1">AD12-AVERAGE(AD$2:AD$31)+Sheet2!E$13</f>
        <v>19.793311387786563</v>
      </c>
      <c r="BC12" s="2">
        <f ca="1">AE12-AVERAGE(AE$2:AE$31)+Sheet2!F$13</f>
        <v>20.458892071017999</v>
      </c>
      <c r="BD12" s="2">
        <f ca="1">AF12-AVERAGE(AF$2:AF$31)+Sheet2!G$13</f>
        <v>18.781488481972826</v>
      </c>
      <c r="BE12" s="2">
        <f ca="1">AG12-AVERAGE(AG$2:AG$31)+Sheet2!H$13</f>
        <v>26.929113176796708</v>
      </c>
      <c r="BF12" s="2">
        <f ca="1">AH12-AVERAGE(AH$2:AH$31)+Sheet2!I$13</f>
        <v>11.296155984560327</v>
      </c>
      <c r="BG12" s="2">
        <f ca="1">AI12-AVERAGE(AI$2:AI$31)+Sheet2!J$13</f>
        <v>19.91309303696038</v>
      </c>
      <c r="BH12" s="2">
        <f ca="1">AJ12-AVERAGE(AJ$2:AJ$31)+Sheet2!K$13</f>
        <v>30.565850512642971</v>
      </c>
      <c r="BI12" s="2">
        <f ca="1">AK12-AVERAGE(AK$2:AK$31)+Sheet2!L$13</f>
        <v>21.481673921188289</v>
      </c>
      <c r="BJ12" s="2">
        <f ca="1">AL12-AVERAGE(AL$2:AL$31)+Sheet2!M$13</f>
        <v>19.004513583355966</v>
      </c>
      <c r="BK12" s="2">
        <f ca="1">AM12-AVERAGE(AM$2:AM$31)+Sheet2!N$13</f>
        <v>8.708599886680723</v>
      </c>
      <c r="BL12" s="2">
        <f ca="1">AN12-AVERAGE(AN$2:AN$31)+Sheet2!O$13</f>
        <v>7.751597949521754</v>
      </c>
      <c r="BM12" s="2">
        <f ca="1">AO12-AVERAGE(AO$2:AO$31)+Sheet2!P$13</f>
        <v>22.860548010924575</v>
      </c>
      <c r="BN12" s="2">
        <f ca="1">AP12-AVERAGE(AP$2:AP$31)+Sheet2!Q$13</f>
        <v>12.697860075872782</v>
      </c>
      <c r="BO12" s="2">
        <f ca="1">AQ12-AVERAGE(AQ$2:AQ$31)+Sheet2!R$13</f>
        <v>8.827548120894857</v>
      </c>
      <c r="BP12" s="2">
        <f ca="1">AR12-AVERAGE(AR$2:AR$31)+Sheet2!S$13</f>
        <v>3.5891945713246143</v>
      </c>
      <c r="BQ12" s="2">
        <f ca="1">AS12-AVERAGE(AS$2:AS$31)+Sheet2!T$13</f>
        <v>12.404187506039262</v>
      </c>
      <c r="BR12" s="2">
        <f ca="1">AT12-AVERAGE(AT$2:AT$31)+Sheet2!U$13</f>
        <v>23.613144395197331</v>
      </c>
      <c r="BS12" s="2">
        <f ca="1">AU12-AVERAGE(AU$2:AU$31)+Sheet2!V$13</f>
        <v>22.7544180563563</v>
      </c>
      <c r="BT12" s="2">
        <f ca="1">AV12-AVERAGE(AV$2:AV$31)+Sheet2!W$13</f>
        <v>25.398627734042453</v>
      </c>
      <c r="BU12" s="2">
        <f ca="1">AW12-AVERAGE(AW$2:AW$31)+Sheet2!X$13</f>
        <v>21.391423536905851</v>
      </c>
      <c r="BV12" s="2">
        <f ca="1">AX12-AVERAGE(AX$2:AX$31)+Sheet2!Y$13</f>
        <v>21.239864719202387</v>
      </c>
      <c r="BW12" s="2">
        <f ca="1">AY12-AVERAGE(AY$2:AY$31)+Sheet2!Z$13</f>
        <v>8.1814651281080746</v>
      </c>
      <c r="BZ12" s="2">
        <f ca="1">BA12-AVERAGE(BA$2:BA$31)+Sheet2!AB$13</f>
        <v>3.0537854169508201</v>
      </c>
      <c r="CA12" s="2">
        <f ca="1">BB12-AVERAGE(BB$2:BB$31)+Sheet2!AC$13</f>
        <v>1.1693618964391392</v>
      </c>
      <c r="CB12" s="2">
        <f ca="1">BC12-AVERAGE(BC$2:BC$31)+Sheet2!AD$13</f>
        <v>-0.63196903018743189</v>
      </c>
      <c r="CC12" s="2">
        <f ca="1">BD12-AVERAGE(BD$2:BD$31)+Sheet2!AE$13</f>
        <v>-0.38029448357132212</v>
      </c>
    </row>
    <row r="13" spans="2:104" x14ac:dyDescent="0.3">
      <c r="B13">
        <v>12</v>
      </c>
      <c r="C13" s="1">
        <v>1</v>
      </c>
      <c r="D13" s="2">
        <f t="shared" ca="1" si="1"/>
        <v>6.1888697693614048E-2</v>
      </c>
      <c r="E13" s="2">
        <f t="shared" ca="1" si="1"/>
        <v>0.8212065203510055</v>
      </c>
      <c r="F13" s="2">
        <f t="shared" ca="1" si="1"/>
        <v>0.98762837727074193</v>
      </c>
      <c r="G13" s="2">
        <f t="shared" ca="1" si="1"/>
        <v>9.3504434877411113E-2</v>
      </c>
      <c r="H13" s="2">
        <f t="shared" ca="1" si="1"/>
        <v>0.84685598234936621</v>
      </c>
      <c r="I13" s="2">
        <f t="shared" ca="1" si="1"/>
        <v>0.53286097201991678</v>
      </c>
      <c r="J13" s="2">
        <f t="shared" ca="1" si="1"/>
        <v>0.7876175070027287</v>
      </c>
      <c r="K13" s="2">
        <f t="shared" ca="1" si="1"/>
        <v>0.81363570437775579</v>
      </c>
      <c r="L13" s="2">
        <f t="shared" ca="1" si="1"/>
        <v>0.60651336001695777</v>
      </c>
      <c r="M13" s="2">
        <f t="shared" ca="1" si="1"/>
        <v>0.14250431051821333</v>
      </c>
      <c r="N13" s="2">
        <f t="shared" ca="1" si="1"/>
        <v>0.42099479051132638</v>
      </c>
      <c r="O13" s="2">
        <f t="shared" ca="1" si="1"/>
        <v>0.21675769181965476</v>
      </c>
      <c r="P13" s="2">
        <f t="shared" ca="1" si="1"/>
        <v>0.79356941050000573</v>
      </c>
      <c r="Q13" s="2">
        <f t="shared" ca="1" si="1"/>
        <v>7.0433188064053742E-2</v>
      </c>
      <c r="R13" s="2">
        <f t="shared" ca="1" si="1"/>
        <v>0.39682458173840551</v>
      </c>
      <c r="S13" s="2">
        <f t="shared" ca="1" si="1"/>
        <v>0.82467736651251555</v>
      </c>
      <c r="T13" s="2">
        <f t="shared" ca="1" si="0"/>
        <v>0.72511326884377458</v>
      </c>
      <c r="U13" s="2">
        <f t="shared" ca="1" si="0"/>
        <v>0.19706088830389112</v>
      </c>
      <c r="V13" s="2">
        <f t="shared" ca="1" si="0"/>
        <v>8.3155747398316882E-2</v>
      </c>
      <c r="W13" s="2">
        <f t="shared" ca="1" si="0"/>
        <v>0.97604464691033854</v>
      </c>
      <c r="X13" s="2">
        <f t="shared" ca="1" si="0"/>
        <v>0.72168860516568367</v>
      </c>
      <c r="Y13" s="2">
        <f t="shared" ca="1" si="0"/>
        <v>0.93711280630110239</v>
      </c>
      <c r="Z13" s="2">
        <f t="shared" ca="1" si="0"/>
        <v>3.9898806609580006E-2</v>
      </c>
      <c r="AA13" s="2">
        <f t="shared" ca="1" si="0"/>
        <v>0.31480556382475267</v>
      </c>
      <c r="AB13" s="2">
        <f ca="1">D13*Sheet2!C$14/_xlfn.STDEV.S(D$2:D$31)</f>
        <v>0.12418706133628599</v>
      </c>
      <c r="AC13" s="2">
        <f ca="1">E13*Sheet2!D$14/_xlfn.STDEV.S(E$2:E$31)</f>
        <v>6.0230413841691774</v>
      </c>
      <c r="AD13" s="2">
        <f ca="1">F13*Sheet2!E$14/_xlfn.STDEV.S(F$2:F$31)</f>
        <v>4.6110884608811631</v>
      </c>
      <c r="AE13" s="2">
        <f ca="1">G13*Sheet2!F$14/_xlfn.STDEV.S(G$2:G$31)</f>
        <v>0.76244979434872073</v>
      </c>
      <c r="AF13" s="2">
        <f ca="1">H13*Sheet2!G$14/_xlfn.STDEV.S(H$2:H$31)</f>
        <v>5.4385765165294533</v>
      </c>
      <c r="AG13" s="2">
        <f ca="1">I13*Sheet2!H$14/_xlfn.STDEV.S(I$2:I$31)</f>
        <v>5.7440173716869518</v>
      </c>
      <c r="AH13" s="2">
        <f ca="1">J13*Sheet2!I$14/_xlfn.STDEV.S(J$2:J$31)</f>
        <v>1.9197965721124068</v>
      </c>
      <c r="AI13" s="2">
        <f ca="1">K13*Sheet2!J$14/_xlfn.STDEV.S(K$2:K$31)</f>
        <v>2.3900397051745177</v>
      </c>
      <c r="AJ13" s="2">
        <f ca="1">L13*Sheet2!K$14/_xlfn.STDEV.S(L$2:L$31)</f>
        <v>2.7177090249084452</v>
      </c>
      <c r="AK13" s="2">
        <f ca="1">M13*Sheet2!L$14/_xlfn.STDEV.S(M$2:M$31)</f>
        <v>0.84924203238545293</v>
      </c>
      <c r="AL13" s="2">
        <f ca="1">N13*Sheet2!M$14/_xlfn.STDEV.S(N$2:N$31)</f>
        <v>1.5945812385824598</v>
      </c>
      <c r="AM13" s="2">
        <f ca="1">O13*Sheet2!N$14/_xlfn.STDEV.S(O$2:O$31)</f>
        <v>0.7361813753014429</v>
      </c>
      <c r="AN13" s="2">
        <f ca="1">P13*Sheet2!O$14/_xlfn.STDEV.S(P$2:P$31)</f>
        <v>2.9968203366095407</v>
      </c>
      <c r="AO13" s="2">
        <f ca="1">Q13*Sheet2!P$14/_xlfn.STDEV.S(Q$2:Q$31)</f>
        <v>0.54164369860870498</v>
      </c>
      <c r="AP13" s="2">
        <f ca="1">R13*Sheet2!Q$14/_xlfn.STDEV.S(R$2:R$31)</f>
        <v>1.8801022139127279</v>
      </c>
      <c r="AQ13" s="2">
        <f ca="1">S13*Sheet2!R$14/_xlfn.STDEV.S(S$2:S$31)</f>
        <v>2.7551505795929172</v>
      </c>
      <c r="AR13" s="2">
        <f ca="1">T13*Sheet2!S$14/_xlfn.STDEV.S(T$2:T$31)</f>
        <v>1.6942882036408378</v>
      </c>
      <c r="AS13" s="2">
        <f ca="1">U13*Sheet2!T$14/_xlfn.STDEV.S(U$2:U$31)</f>
        <v>0.85415005416514134</v>
      </c>
      <c r="AT13" s="2">
        <f ca="1">V13*Sheet2!U$14/_xlfn.STDEV.S(V$2:V$31)</f>
        <v>0.33651090364055419</v>
      </c>
      <c r="AU13" s="2">
        <f ca="1">W13*Sheet2!V$14/_xlfn.STDEV.S(W$2:W$31)</f>
        <v>3.3106454550865467</v>
      </c>
      <c r="AV13" s="2">
        <f ca="1">X13*Sheet2!W$14/_xlfn.STDEV.S(X$2:X$31)</f>
        <v>3.9210609060926416</v>
      </c>
      <c r="AW13" s="2">
        <f ca="1">Y13*Sheet2!X$14/_xlfn.STDEV.S(Y$2:Y$31)</f>
        <v>2.0908455937094104</v>
      </c>
      <c r="AX13" s="2">
        <f ca="1">Z13*Sheet2!Y$14/_xlfn.STDEV.S(Z$2:Z$31)</f>
        <v>0.1754118123108096</v>
      </c>
      <c r="AY13" s="2">
        <f ca="1">AA13*Sheet2!Z$14/_xlfn.STDEV.S(AA$2:AA$31)</f>
        <v>0.75512594024071544</v>
      </c>
      <c r="AZ13" s="2">
        <f ca="1">AB13-AVERAGE(AB$2:AB$31)+Sheet2!C$13</f>
        <v>2.3824048794459092</v>
      </c>
      <c r="BA13" s="2">
        <f ca="1">AC13-AVERAGE(AC$2:AC$31)+Sheet2!D$13</f>
        <v>9.0275758800218604</v>
      </c>
      <c r="BB13" s="2">
        <f ca="1">AD13-AVERAGE(AD$2:AD$31)+Sheet2!E$13</f>
        <v>20.285441932016266</v>
      </c>
      <c r="BC13" s="2">
        <f ca="1">AE13-AVERAGE(AE$2:AE$31)+Sheet2!F$13</f>
        <v>17.738665105312442</v>
      </c>
      <c r="BD13" s="2">
        <f ca="1">AF13-AVERAGE(AF$2:AF$31)+Sheet2!G$13</f>
        <v>21.525459174626018</v>
      </c>
      <c r="BE13" s="2">
        <f ca="1">AG13-AVERAGE(AG$2:AG$31)+Sheet2!H$13</f>
        <v>29.364832334854718</v>
      </c>
      <c r="BF13" s="2">
        <f ca="1">AH13-AVERAGE(AH$2:AH$31)+Sheet2!I$13</f>
        <v>12.704981964098586</v>
      </c>
      <c r="BG13" s="2">
        <f ca="1">AI13-AVERAGE(AI$2:AI$31)+Sheet2!J$13</f>
        <v>20.631408498780154</v>
      </c>
      <c r="BH13" s="2">
        <f ca="1">AJ13-AVERAGE(AJ$2:AJ$31)+Sheet2!K$13</f>
        <v>28.952497217646481</v>
      </c>
      <c r="BI13" s="2">
        <f ca="1">AK13-AVERAGE(AK$2:AK$31)+Sheet2!L$13</f>
        <v>17.789025942262139</v>
      </c>
      <c r="BJ13" s="2">
        <f ca="1">AL13-AVERAGE(AL$2:AL$31)+Sheet2!M$13</f>
        <v>19.731522028810026</v>
      </c>
      <c r="BK13" s="2">
        <f ca="1">AM13-AVERAGE(AM$2:AM$31)+Sheet2!N$13</f>
        <v>7.2792995257835713</v>
      </c>
      <c r="BL13" s="2">
        <f ca="1">AN13-AVERAGE(AN$2:AN$31)+Sheet2!O$13</f>
        <v>7.1063093242291213</v>
      </c>
      <c r="BM13" s="2">
        <f ca="1">AO13-AVERAGE(AO$2:AO$31)+Sheet2!P$13</f>
        <v>19.242252644182283</v>
      </c>
      <c r="BN13" s="2">
        <f ca="1">AP13-AVERAGE(AP$2:AP$31)+Sheet2!Q$13</f>
        <v>13.170654382175021</v>
      </c>
      <c r="BO13" s="2">
        <f ca="1">AQ13-AVERAGE(AQ$2:AQ$31)+Sheet2!R$13</f>
        <v>10.859780339505502</v>
      </c>
      <c r="BP13" s="2">
        <f ca="1">AR13-AVERAGE(AR$2:AR$31)+Sheet2!S$13</f>
        <v>4.3353933023284768</v>
      </c>
      <c r="BQ13" s="2">
        <f ca="1">AS13-AVERAGE(AS$2:AS$31)+Sheet2!T$13</f>
        <v>11.528709475461355</v>
      </c>
      <c r="BR13" s="2">
        <f ca="1">AT13-AVERAGE(AT$2:AT$31)+Sheet2!U$13</f>
        <v>21.72668637974839</v>
      </c>
      <c r="BS13" s="2">
        <f ca="1">AU13-AVERAGE(AU$2:AU$31)+Sheet2!V$13</f>
        <v>25.514524186470346</v>
      </c>
      <c r="BT13" s="2">
        <f ca="1">AV13-AVERAGE(AV$2:AV$31)+Sheet2!W$13</f>
        <v>25.735037419962733</v>
      </c>
      <c r="BU13" s="2">
        <f ca="1">AW13-AVERAGE(AW$2:AW$31)+Sheet2!X$13</f>
        <v>22.500873800888971</v>
      </c>
      <c r="BV13" s="2">
        <f ca="1">AX13-AVERAGE(AX$2:AX$31)+Sheet2!Y$13</f>
        <v>19.8088557602705</v>
      </c>
      <c r="BW13" s="2">
        <f ca="1">AY13-AVERAGE(AY$2:AY$31)+Sheet2!Z$13</f>
        <v>7.640315662625877</v>
      </c>
      <c r="BZ13" s="2">
        <f ca="1">BA13-AVERAGE(BA$2:BA$31)+Sheet2!AB$13</f>
        <v>2.2633643546818956</v>
      </c>
      <c r="CA13" s="2">
        <f ca="1">BB13-AVERAGE(BB$2:BB$31)+Sheet2!AC$13</f>
        <v>1.6614924406688418</v>
      </c>
      <c r="CB13" s="2">
        <f ca="1">BC13-AVERAGE(BC$2:BC$31)+Sheet2!AD$13</f>
        <v>-3.3521959958929886</v>
      </c>
      <c r="CC13" s="2">
        <f ca="1">BD13-AVERAGE(BD$2:BD$31)+Sheet2!AE$13</f>
        <v>2.3636762090818704</v>
      </c>
    </row>
    <row r="14" spans="2:104" x14ac:dyDescent="0.3">
      <c r="B14">
        <v>13</v>
      </c>
      <c r="C14" s="1">
        <v>1</v>
      </c>
      <c r="D14" s="2">
        <f t="shared" ca="1" si="1"/>
        <v>0.45209217403564517</v>
      </c>
      <c r="E14" s="2">
        <f t="shared" ca="1" si="1"/>
        <v>0.87289857577358587</v>
      </c>
      <c r="F14" s="2">
        <f t="shared" ca="1" si="1"/>
        <v>0.65698449819887972</v>
      </c>
      <c r="G14" s="2">
        <f t="shared" ca="1" si="1"/>
        <v>0.29800003105506545</v>
      </c>
      <c r="H14" s="2">
        <f t="shared" ca="1" si="1"/>
        <v>0.95615698426149509</v>
      </c>
      <c r="I14" s="2">
        <f t="shared" ca="1" si="1"/>
        <v>0.15744963405070811</v>
      </c>
      <c r="J14" s="2">
        <f t="shared" ca="1" si="1"/>
        <v>0.59611908640489464</v>
      </c>
      <c r="K14" s="2">
        <f t="shared" ca="1" si="1"/>
        <v>0.34986450366213062</v>
      </c>
      <c r="L14" s="2">
        <f t="shared" ca="1" si="1"/>
        <v>0.42380647009080685</v>
      </c>
      <c r="M14" s="2">
        <f t="shared" ca="1" si="1"/>
        <v>0.22430706764334729</v>
      </c>
      <c r="N14" s="2">
        <f t="shared" ca="1" si="1"/>
        <v>0.34573226343093744</v>
      </c>
      <c r="O14" s="2">
        <f t="shared" ca="1" si="1"/>
        <v>0.64266106227406905</v>
      </c>
      <c r="P14" s="2">
        <f t="shared" ca="1" si="1"/>
        <v>0.92192536016428572</v>
      </c>
      <c r="Q14" s="2">
        <f t="shared" ca="1" si="0"/>
        <v>0.59424685840056723</v>
      </c>
      <c r="R14" s="2">
        <f t="shared" ca="1" si="0"/>
        <v>0.33417557064126679</v>
      </c>
      <c r="S14" s="2">
        <f t="shared" ca="1" si="0"/>
        <v>0.93318618926293317</v>
      </c>
      <c r="T14" s="2">
        <f t="shared" ca="1" si="0"/>
        <v>9.7655985813866697E-2</v>
      </c>
      <c r="U14" s="2">
        <f t="shared" ca="1" si="0"/>
        <v>0.58436130956661758</v>
      </c>
      <c r="V14" s="2">
        <f t="shared" ca="1" si="0"/>
        <v>0.90406702967853492</v>
      </c>
      <c r="W14" s="2">
        <f t="shared" ca="1" si="0"/>
        <v>0.1077751014501902</v>
      </c>
      <c r="X14" s="2">
        <f t="shared" ca="1" si="0"/>
        <v>0.53384375526656969</v>
      </c>
      <c r="Y14" s="2">
        <f t="shared" ca="1" si="0"/>
        <v>0.82621233976113528</v>
      </c>
      <c r="Z14" s="2">
        <f t="shared" ca="1" si="0"/>
        <v>0.9079242563006702</v>
      </c>
      <c r="AA14" s="2">
        <f t="shared" ca="1" si="0"/>
        <v>0.2644585101348168</v>
      </c>
      <c r="AB14" s="2">
        <f ca="1">D14*Sheet2!C$14/_xlfn.STDEV.S(D$2:D$31)</f>
        <v>0.90717692630350388</v>
      </c>
      <c r="AC14" s="2">
        <f ca="1">E14*Sheet2!D$14/_xlfn.STDEV.S(E$2:E$31)</f>
        <v>6.4021706060242263</v>
      </c>
      <c r="AD14" s="2">
        <f ca="1">F14*Sheet2!E$14/_xlfn.STDEV.S(F$2:F$31)</f>
        <v>3.0673618826083935</v>
      </c>
      <c r="AE14" s="2">
        <f ca="1">G14*Sheet2!F$14/_xlfn.STDEV.S(G$2:G$31)</f>
        <v>2.4299388867675695</v>
      </c>
      <c r="AF14" s="2">
        <f ca="1">H14*Sheet2!G$14/_xlfn.STDEV.S(H$2:H$31)</f>
        <v>6.1405162496388916</v>
      </c>
      <c r="AG14" s="2">
        <f ca="1">I14*Sheet2!H$14/_xlfn.STDEV.S(I$2:I$31)</f>
        <v>1.6972408951714653</v>
      </c>
      <c r="AH14" s="2">
        <f ca="1">J14*Sheet2!I$14/_xlfn.STDEV.S(J$2:J$31)</f>
        <v>1.4530243023748983</v>
      </c>
      <c r="AI14" s="2">
        <f ca="1">K14*Sheet2!J$14/_xlfn.STDEV.S(K$2:K$31)</f>
        <v>1.0277204536189333</v>
      </c>
      <c r="AJ14" s="2">
        <f ca="1">L14*Sheet2!K$14/_xlfn.STDEV.S(L$2:L$31)</f>
        <v>1.899022749553569</v>
      </c>
      <c r="AK14" s="2">
        <f ca="1">M14*Sheet2!L$14/_xlfn.STDEV.S(M$2:M$31)</f>
        <v>1.336738441883911</v>
      </c>
      <c r="AL14" s="2">
        <f ca="1">N14*Sheet2!M$14/_xlfn.STDEV.S(N$2:N$31)</f>
        <v>1.309513070625014</v>
      </c>
      <c r="AM14" s="2">
        <f ca="1">O14*Sheet2!N$14/_xlfn.STDEV.S(O$2:O$31)</f>
        <v>2.182691191744413</v>
      </c>
      <c r="AN14" s="2">
        <f ca="1">P14*Sheet2!O$14/_xlfn.STDEV.S(P$2:P$31)</f>
        <v>3.4815412887898693</v>
      </c>
      <c r="AO14" s="2">
        <f ca="1">Q14*Sheet2!P$14/_xlfn.STDEV.S(Q$2:Q$31)</f>
        <v>4.5698636554399572</v>
      </c>
      <c r="AP14" s="2">
        <f ca="1">R14*Sheet2!Q$14/_xlfn.STDEV.S(R$2:R$31)</f>
        <v>1.5832795121859968</v>
      </c>
      <c r="AQ14" s="2">
        <f ca="1">S14*Sheet2!R$14/_xlfn.STDEV.S(S$2:S$31)</f>
        <v>3.1176658589390991</v>
      </c>
      <c r="AR14" s="2">
        <f ca="1">T14*Sheet2!S$14/_xlfn.STDEV.S(T$2:T$31)</f>
        <v>0.22818143301001861</v>
      </c>
      <c r="AS14" s="2">
        <f ca="1">U14*Sheet2!T$14/_xlfn.STDEV.S(U$2:U$31)</f>
        <v>2.5328833565827562</v>
      </c>
      <c r="AT14" s="2">
        <f ca="1">V14*Sheet2!U$14/_xlfn.STDEV.S(V$2:V$31)</f>
        <v>3.6585374147561716</v>
      </c>
      <c r="AU14" s="2">
        <f ca="1">W14*Sheet2!V$14/_xlfn.STDEV.S(W$2:W$31)</f>
        <v>0.36556232434348934</v>
      </c>
      <c r="AV14" s="2">
        <f ca="1">X14*Sheet2!W$14/_xlfn.STDEV.S(X$2:X$31)</f>
        <v>2.9004668547550008</v>
      </c>
      <c r="AW14" s="2">
        <f ca="1">Y14*Sheet2!X$14/_xlfn.STDEV.S(Y$2:Y$31)</f>
        <v>1.8434092656107155</v>
      </c>
      <c r="AX14" s="2">
        <f ca="1">Z14*Sheet2!Y$14/_xlfn.STDEV.S(Z$2:Z$31)</f>
        <v>3.9916141050796448</v>
      </c>
      <c r="AY14" s="2">
        <f ca="1">AA14*Sheet2!Z$14/_xlfn.STDEV.S(AA$2:AA$31)</f>
        <v>0.63435816919481736</v>
      </c>
      <c r="AZ14" s="2">
        <f ca="1">AB14-AVERAGE(AB$2:AB$31)+Sheet2!C$13</f>
        <v>3.1653947444131272</v>
      </c>
      <c r="BA14" s="2">
        <f ca="1">AC14-AVERAGE(AC$2:AC$31)+Sheet2!D$13</f>
        <v>9.4067051018769092</v>
      </c>
      <c r="BB14" s="2">
        <f ca="1">AD14-AVERAGE(AD$2:AD$31)+Sheet2!E$13</f>
        <v>18.741715353743498</v>
      </c>
      <c r="BC14" s="2">
        <f ca="1">AE14-AVERAGE(AE$2:AE$31)+Sheet2!F$13</f>
        <v>19.40615419773129</v>
      </c>
      <c r="BD14" s="2">
        <f ca="1">AF14-AVERAGE(AF$2:AF$31)+Sheet2!G$13</f>
        <v>22.227398907735456</v>
      </c>
      <c r="BE14" s="2">
        <f ca="1">AG14-AVERAGE(AG$2:AG$31)+Sheet2!H$13</f>
        <v>25.318055858339232</v>
      </c>
      <c r="BF14" s="2">
        <f ca="1">AH14-AVERAGE(AH$2:AH$31)+Sheet2!I$13</f>
        <v>12.238209694361078</v>
      </c>
      <c r="BG14" s="2">
        <f ca="1">AI14-AVERAGE(AI$2:AI$31)+Sheet2!J$13</f>
        <v>19.269089247224567</v>
      </c>
      <c r="BH14" s="2">
        <f ca="1">AJ14-AVERAGE(AJ$2:AJ$31)+Sheet2!K$13</f>
        <v>28.133810942291607</v>
      </c>
      <c r="BI14" s="2">
        <f ca="1">AK14-AVERAGE(AK$2:AK$31)+Sheet2!L$13</f>
        <v>18.276522351760597</v>
      </c>
      <c r="BJ14" s="2">
        <f ca="1">AL14-AVERAGE(AL$2:AL$31)+Sheet2!M$13</f>
        <v>19.446453860852582</v>
      </c>
      <c r="BK14" s="2">
        <f ca="1">AM14-AVERAGE(AM$2:AM$31)+Sheet2!N$13</f>
        <v>8.7258093422265404</v>
      </c>
      <c r="BL14" s="2">
        <f ca="1">AN14-AVERAGE(AN$2:AN$31)+Sheet2!O$13</f>
        <v>7.5910302764094499</v>
      </c>
      <c r="BM14" s="2">
        <f ca="1">AO14-AVERAGE(AO$2:AO$31)+Sheet2!P$13</f>
        <v>23.270472601013537</v>
      </c>
      <c r="BN14" s="2">
        <f ca="1">AP14-AVERAGE(AP$2:AP$31)+Sheet2!Q$13</f>
        <v>12.873831680448291</v>
      </c>
      <c r="BO14" s="2">
        <f ca="1">AQ14-AVERAGE(AQ$2:AQ$31)+Sheet2!R$13</f>
        <v>11.222295618851684</v>
      </c>
      <c r="BP14" s="2">
        <f ca="1">AR14-AVERAGE(AR$2:AR$31)+Sheet2!S$13</f>
        <v>2.8692865316976572</v>
      </c>
      <c r="BQ14" s="2">
        <f ca="1">AS14-AVERAGE(AS$2:AS$31)+Sheet2!T$13</f>
        <v>13.207442777878969</v>
      </c>
      <c r="BR14" s="2">
        <f ca="1">AT14-AVERAGE(AT$2:AT$31)+Sheet2!U$13</f>
        <v>25.048712890864007</v>
      </c>
      <c r="BS14" s="2">
        <f ca="1">AU14-AVERAGE(AU$2:AU$31)+Sheet2!V$13</f>
        <v>22.569441055727289</v>
      </c>
      <c r="BT14" s="2">
        <f ca="1">AV14-AVERAGE(AV$2:AV$31)+Sheet2!W$13</f>
        <v>24.714443368625094</v>
      </c>
      <c r="BU14" s="2">
        <f ca="1">AW14-AVERAGE(AW$2:AW$31)+Sheet2!X$13</f>
        <v>22.253437472790274</v>
      </c>
      <c r="BV14" s="2">
        <f ca="1">AX14-AVERAGE(AX$2:AX$31)+Sheet2!Y$13</f>
        <v>23.625058053039336</v>
      </c>
      <c r="BW14" s="2">
        <f ca="1">AY14-AVERAGE(AY$2:AY$31)+Sheet2!Z$13</f>
        <v>7.5195478915799789</v>
      </c>
      <c r="BZ14" s="2">
        <f ca="1">BA14-AVERAGE(BA$2:BA$31)+Sheet2!AB$13</f>
        <v>2.6424935765369444</v>
      </c>
      <c r="CA14" s="2">
        <f ca="1">BB14-AVERAGE(BB$2:BB$31)+Sheet2!AC$13</f>
        <v>0.11776586239607409</v>
      </c>
      <c r="CB14" s="2">
        <f ca="1">BC14-AVERAGE(BC$2:BC$31)+Sheet2!AD$13</f>
        <v>-1.6847069034741411</v>
      </c>
      <c r="CC14" s="2">
        <f ca="1">BD14-AVERAGE(BD$2:BD$31)+Sheet2!AE$13</f>
        <v>3.0656159421913078</v>
      </c>
    </row>
    <row r="15" spans="2:104" x14ac:dyDescent="0.3">
      <c r="B15">
        <v>14</v>
      </c>
      <c r="C15" s="1">
        <v>1</v>
      </c>
      <c r="D15" s="2">
        <f t="shared" ca="1" si="1"/>
        <v>0.81992751607305647</v>
      </c>
      <c r="E15" s="2">
        <f t="shared" ca="1" si="1"/>
        <v>0.57056116964618686</v>
      </c>
      <c r="F15" s="2">
        <f t="shared" ca="1" si="1"/>
        <v>0.69715383155337629</v>
      </c>
      <c r="G15" s="2">
        <f t="shared" ca="1" si="1"/>
        <v>0.41808596348266081</v>
      </c>
      <c r="H15" s="2">
        <f t="shared" ca="1" si="1"/>
        <v>0.60765735419456179</v>
      </c>
      <c r="I15" s="2">
        <f t="shared" ca="1" si="1"/>
        <v>0.52713212323693259</v>
      </c>
      <c r="J15" s="2">
        <f t="shared" ca="1" si="1"/>
        <v>0.1560152275303639</v>
      </c>
      <c r="K15" s="2">
        <f t="shared" ca="1" si="1"/>
        <v>0.99874777276830884</v>
      </c>
      <c r="L15" s="2">
        <f t="shared" ca="1" si="1"/>
        <v>0.6962964891420701</v>
      </c>
      <c r="M15" s="2">
        <f t="shared" ca="1" si="1"/>
        <v>0.32164782250895052</v>
      </c>
      <c r="N15" s="2">
        <f t="shared" ca="1" si="1"/>
        <v>0.9019402360485782</v>
      </c>
      <c r="O15" s="2">
        <f t="shared" ca="1" si="1"/>
        <v>0.13812283290881289</v>
      </c>
      <c r="P15" s="2">
        <f t="shared" ca="1" si="1"/>
        <v>0.88255305999856781</v>
      </c>
      <c r="Q15" s="2">
        <f t="shared" ca="1" si="0"/>
        <v>9.0094118807512169E-3</v>
      </c>
      <c r="R15" s="2">
        <f t="shared" ca="1" si="0"/>
        <v>6.169071539381743E-2</v>
      </c>
      <c r="S15" s="2">
        <f t="shared" ca="1" si="0"/>
        <v>0.37115174105570592</v>
      </c>
      <c r="T15" s="2">
        <f t="shared" ca="1" si="0"/>
        <v>0.50872074391125299</v>
      </c>
      <c r="U15" s="2">
        <f t="shared" ca="1" si="0"/>
        <v>0.25086895342310922</v>
      </c>
      <c r="V15" s="2">
        <f t="shared" ca="1" si="0"/>
        <v>0.45653144387801103</v>
      </c>
      <c r="W15" s="2">
        <f t="shared" ca="1" si="0"/>
        <v>0.29359792569050813</v>
      </c>
      <c r="X15" s="2">
        <f t="shared" ca="1" si="0"/>
        <v>0.37568633446795663</v>
      </c>
      <c r="Y15" s="2">
        <f t="shared" ca="1" si="0"/>
        <v>0.48490107185929621</v>
      </c>
      <c r="Z15" s="2">
        <f t="shared" ca="1" si="0"/>
        <v>0.76118876501304678</v>
      </c>
      <c r="AA15" s="2">
        <f t="shared" ca="1" si="0"/>
        <v>0.79590085962866264</v>
      </c>
      <c r="AB15" s="2">
        <f ca="1">D15*Sheet2!C$14/_xlfn.STDEV.S(D$2:D$31)</f>
        <v>1.6452824590681276</v>
      </c>
      <c r="AC15" s="2">
        <f ca="1">E15*Sheet2!D$14/_xlfn.STDEV.S(E$2:E$31)</f>
        <v>4.1847129215560752</v>
      </c>
      <c r="AD15" s="2">
        <f ca="1">F15*Sheet2!E$14/_xlfn.STDEV.S(F$2:F$31)</f>
        <v>3.254906462913048</v>
      </c>
      <c r="AE15" s="2">
        <f ca="1">G15*Sheet2!F$14/_xlfn.STDEV.S(G$2:G$31)</f>
        <v>3.4091383718362023</v>
      </c>
      <c r="AF15" s="2">
        <f ca="1">H15*Sheet2!G$14/_xlfn.STDEV.S(H$2:H$31)</f>
        <v>3.9024238896568235</v>
      </c>
      <c r="AG15" s="2">
        <f ca="1">I15*Sheet2!H$14/_xlfn.STDEV.S(I$2:I$31)</f>
        <v>5.6822627890525919</v>
      </c>
      <c r="AH15" s="2">
        <f ca="1">J15*Sheet2!I$14/_xlfn.STDEV.S(J$2:J$31)</f>
        <v>0.38028293727235823</v>
      </c>
      <c r="AI15" s="2">
        <f ca="1">K15*Sheet2!J$14/_xlfn.STDEV.S(K$2:K$31)</f>
        <v>2.9338029532472603</v>
      </c>
      <c r="AJ15" s="2">
        <f ca="1">L15*Sheet2!K$14/_xlfn.STDEV.S(L$2:L$31)</f>
        <v>3.1200157775593937</v>
      </c>
      <c r="AK15" s="2">
        <f ca="1">M15*Sheet2!L$14/_xlfn.STDEV.S(M$2:M$31)</f>
        <v>1.9168321962088626</v>
      </c>
      <c r="AL15" s="2">
        <f ca="1">N15*Sheet2!M$14/_xlfn.STDEV.S(N$2:N$31)</f>
        <v>3.4162346212856627</v>
      </c>
      <c r="AM15" s="2">
        <f ca="1">O15*Sheet2!N$14/_xlfn.STDEV.S(O$2:O$31)</f>
        <v>0.46911118234246213</v>
      </c>
      <c r="AN15" s="2">
        <f ca="1">P15*Sheet2!O$14/_xlfn.STDEV.S(P$2:P$31)</f>
        <v>3.3328564878455191</v>
      </c>
      <c r="AO15" s="2">
        <f ca="1">Q15*Sheet2!P$14/_xlfn.STDEV.S(Q$2:Q$31)</f>
        <v>6.9283974039928448E-2</v>
      </c>
      <c r="AP15" s="2">
        <f ca="1">R15*Sheet2!Q$14/_xlfn.STDEV.S(R$2:R$31)</f>
        <v>0.29228242383995157</v>
      </c>
      <c r="AQ15" s="2">
        <f ca="1">S15*Sheet2!R$14/_xlfn.STDEV.S(S$2:S$31)</f>
        <v>1.2399745355094931</v>
      </c>
      <c r="AR15" s="2">
        <f ca="1">T15*Sheet2!S$14/_xlfn.STDEV.S(T$2:T$31)</f>
        <v>1.1886688499447773</v>
      </c>
      <c r="AS15" s="2">
        <f ca="1">U15*Sheet2!T$14/_xlfn.STDEV.S(U$2:U$31)</f>
        <v>1.0873782819057247</v>
      </c>
      <c r="AT15" s="2">
        <f ca="1">V15*Sheet2!U$14/_xlfn.STDEV.S(V$2:V$31)</f>
        <v>1.8474707224244842</v>
      </c>
      <c r="AU15" s="2">
        <f ca="1">W15*Sheet2!V$14/_xlfn.STDEV.S(W$2:W$31)</f>
        <v>0.99585468901138119</v>
      </c>
      <c r="AV15" s="2">
        <f ca="1">X15*Sheet2!W$14/_xlfn.STDEV.S(X$2:X$31)</f>
        <v>2.0411698182450322</v>
      </c>
      <c r="AW15" s="2">
        <f ca="1">Y15*Sheet2!X$14/_xlfn.STDEV.S(Y$2:Y$31)</f>
        <v>1.0818903153012935</v>
      </c>
      <c r="AX15" s="2">
        <f ca="1">Z15*Sheet2!Y$14/_xlfn.STDEV.S(Z$2:Z$31)</f>
        <v>3.3465036207249859</v>
      </c>
      <c r="AY15" s="2">
        <f ca="1">AA15*Sheet2!Z$14/_xlfn.STDEV.S(AA$2:AA$31)</f>
        <v>1.9091320295090395</v>
      </c>
      <c r="AZ15" s="2">
        <f ca="1">AB15-AVERAGE(AB$2:AB$31)+Sheet2!C$13</f>
        <v>3.9035002771777512</v>
      </c>
      <c r="BA15" s="2">
        <f ca="1">AC15-AVERAGE(AC$2:AC$31)+Sheet2!D$13</f>
        <v>7.1892474174087582</v>
      </c>
      <c r="BB15" s="2">
        <f ca="1">AD15-AVERAGE(AD$2:AD$31)+Sheet2!E$13</f>
        <v>18.929259934048151</v>
      </c>
      <c r="BC15" s="2">
        <f ca="1">AE15-AVERAGE(AE$2:AE$31)+Sheet2!F$13</f>
        <v>20.385353682799924</v>
      </c>
      <c r="BD15" s="2">
        <f ca="1">AF15-AVERAGE(AF$2:AF$31)+Sheet2!G$13</f>
        <v>19.989306547753387</v>
      </c>
      <c r="BE15" s="2">
        <f ca="1">AG15-AVERAGE(AG$2:AG$31)+Sheet2!H$13</f>
        <v>29.303077752220361</v>
      </c>
      <c r="BF15" s="2">
        <f ca="1">AH15-AVERAGE(AH$2:AH$31)+Sheet2!I$13</f>
        <v>11.165468329258537</v>
      </c>
      <c r="BG15" s="2">
        <f ca="1">AI15-AVERAGE(AI$2:AI$31)+Sheet2!J$13</f>
        <v>21.175171746852893</v>
      </c>
      <c r="BH15" s="2">
        <f ca="1">AJ15-AVERAGE(AJ$2:AJ$31)+Sheet2!K$13</f>
        <v>29.354803970297432</v>
      </c>
      <c r="BI15" s="2">
        <f ca="1">AK15-AVERAGE(AK$2:AK$31)+Sheet2!L$13</f>
        <v>18.85661610608555</v>
      </c>
      <c r="BJ15" s="2">
        <f ca="1">AL15-AVERAGE(AL$2:AL$31)+Sheet2!M$13</f>
        <v>21.55317541151323</v>
      </c>
      <c r="BK15" s="2">
        <f ca="1">AM15-AVERAGE(AM$2:AM$31)+Sheet2!N$13</f>
        <v>7.0122293328245906</v>
      </c>
      <c r="BL15" s="2">
        <f ca="1">AN15-AVERAGE(AN$2:AN$31)+Sheet2!O$13</f>
        <v>7.4423454754650997</v>
      </c>
      <c r="BM15" s="2">
        <f ca="1">AO15-AVERAGE(AO$2:AO$31)+Sheet2!P$13</f>
        <v>18.769892919613508</v>
      </c>
      <c r="BN15" s="2">
        <f ca="1">AP15-AVERAGE(AP$2:AP$31)+Sheet2!Q$13</f>
        <v>11.582834592102245</v>
      </c>
      <c r="BO15" s="2">
        <f ca="1">AQ15-AVERAGE(AQ$2:AQ$31)+Sheet2!R$13</f>
        <v>9.3446042954220765</v>
      </c>
      <c r="BP15" s="2">
        <f ca="1">AR15-AVERAGE(AR$2:AR$31)+Sheet2!S$13</f>
        <v>3.829773948632416</v>
      </c>
      <c r="BQ15" s="2">
        <f ca="1">AS15-AVERAGE(AS$2:AS$31)+Sheet2!T$13</f>
        <v>11.761937703201937</v>
      </c>
      <c r="BR15" s="2">
        <f ca="1">AT15-AVERAGE(AT$2:AT$31)+Sheet2!U$13</f>
        <v>23.237646198532321</v>
      </c>
      <c r="BS15" s="2">
        <f ca="1">AU15-AVERAGE(AU$2:AU$31)+Sheet2!V$13</f>
        <v>23.19973342039518</v>
      </c>
      <c r="BT15" s="2">
        <f ca="1">AV15-AVERAGE(AV$2:AV$31)+Sheet2!W$13</f>
        <v>23.855146332115126</v>
      </c>
      <c r="BU15" s="2">
        <f ca="1">AW15-AVERAGE(AW$2:AW$31)+Sheet2!X$13</f>
        <v>21.491918522480855</v>
      </c>
      <c r="BV15" s="2">
        <f ca="1">AX15-AVERAGE(AX$2:AX$31)+Sheet2!Y$13</f>
        <v>22.979947568684675</v>
      </c>
      <c r="BW15" s="2">
        <f ca="1">AY15-AVERAGE(AY$2:AY$31)+Sheet2!Z$13</f>
        <v>8.7943217518942003</v>
      </c>
      <c r="BZ15" s="2">
        <f ca="1">BA15-AVERAGE(BA$2:BA$31)+Sheet2!AB$13</f>
        <v>0.42503589206879316</v>
      </c>
      <c r="CA15" s="2">
        <f ca="1">BB15-AVERAGE(BB$2:BB$31)+Sheet2!AC$13</f>
        <v>0.30531044270072727</v>
      </c>
      <c r="CB15" s="2">
        <f ca="1">BC15-AVERAGE(BC$2:BC$31)+Sheet2!AD$13</f>
        <v>-0.70550741840550746</v>
      </c>
      <c r="CC15" s="2">
        <f ca="1">BD15-AVERAGE(BD$2:BD$31)+Sheet2!AE$13</f>
        <v>0.82752358220923894</v>
      </c>
    </row>
    <row r="16" spans="2:104" x14ac:dyDescent="0.3">
      <c r="B16">
        <v>15</v>
      </c>
      <c r="C16" s="1">
        <v>1</v>
      </c>
      <c r="D16" s="2">
        <f t="shared" ca="1" si="1"/>
        <v>8.3251066561352616E-2</v>
      </c>
      <c r="E16" s="2">
        <f t="shared" ca="1" si="1"/>
        <v>0.43060489313315509</v>
      </c>
      <c r="F16" s="2">
        <f t="shared" ca="1" si="1"/>
        <v>0.72544337659225688</v>
      </c>
      <c r="G16" s="2">
        <f t="shared" ca="1" si="1"/>
        <v>0.87448307678730097</v>
      </c>
      <c r="H16" s="2">
        <f t="shared" ca="1" si="1"/>
        <v>0.69544612558726537</v>
      </c>
      <c r="I16" s="2">
        <f t="shared" ca="1" si="1"/>
        <v>0.51903660590115319</v>
      </c>
      <c r="J16" s="2">
        <f t="shared" ca="1" si="1"/>
        <v>0.99712565505115036</v>
      </c>
      <c r="K16" s="2">
        <f t="shared" ca="1" si="1"/>
        <v>0.61751181488782414</v>
      </c>
      <c r="L16" s="2">
        <f t="shared" ca="1" si="1"/>
        <v>0.59407406175213284</v>
      </c>
      <c r="M16" s="2">
        <f t="shared" ca="1" si="1"/>
        <v>0.64922021508611949</v>
      </c>
      <c r="N16" s="2">
        <f t="shared" ca="1" si="1"/>
        <v>0.72046686196638554</v>
      </c>
      <c r="O16" s="2">
        <f t="shared" ca="1" si="1"/>
        <v>0.365657960967958</v>
      </c>
      <c r="P16" s="2">
        <f t="shared" ca="1" si="1"/>
        <v>0.26361344248333651</v>
      </c>
      <c r="Q16" s="2">
        <f t="shared" ca="1" si="0"/>
        <v>0.82864212278808713</v>
      </c>
      <c r="R16" s="2">
        <f t="shared" ca="1" si="0"/>
        <v>0.5218782898075317</v>
      </c>
      <c r="S16" s="2">
        <f t="shared" ca="1" si="0"/>
        <v>0.55018949156400332</v>
      </c>
      <c r="T16" s="2">
        <f t="shared" ca="1" si="0"/>
        <v>7.3222448496448767E-2</v>
      </c>
      <c r="U16" s="2">
        <f t="shared" ca="1" si="0"/>
        <v>0.86554856229288124</v>
      </c>
      <c r="V16" s="2">
        <f t="shared" ca="1" si="0"/>
        <v>0.29335572307465119</v>
      </c>
      <c r="W16" s="2">
        <f t="shared" ca="1" si="0"/>
        <v>8.7141875371980038E-2</v>
      </c>
      <c r="X16" s="2">
        <f t="shared" ca="1" si="0"/>
        <v>0.77244206323451803</v>
      </c>
      <c r="Y16" s="2">
        <f t="shared" ca="1" si="0"/>
        <v>0.45167539850134919</v>
      </c>
      <c r="Z16" s="2">
        <f t="shared" ca="1" si="0"/>
        <v>0.18589925956265985</v>
      </c>
      <c r="AA16" s="2">
        <f t="shared" ca="1" si="0"/>
        <v>0.35109522874518539</v>
      </c>
      <c r="AB16" s="2">
        <f ca="1">D16*Sheet2!C$14/_xlfn.STDEV.S(D$2:D$31)</f>
        <v>0.16705320510295241</v>
      </c>
      <c r="AC16" s="2">
        <f ca="1">E16*Sheet2!D$14/_xlfn.STDEV.S(E$2:E$31)</f>
        <v>3.1582202859984436</v>
      </c>
      <c r="AD16" s="2">
        <f ca="1">F16*Sheet2!E$14/_xlfn.STDEV.S(F$2:F$31)</f>
        <v>3.3869860970086578</v>
      </c>
      <c r="AE16" s="2">
        <f ca="1">G16*Sheet2!F$14/_xlfn.STDEV.S(G$2:G$31)</f>
        <v>7.1306718545709122</v>
      </c>
      <c r="AF16" s="2">
        <f ca="1">H16*Sheet2!G$14/_xlfn.STDEV.S(H$2:H$31)</f>
        <v>4.4662103662980934</v>
      </c>
      <c r="AG16" s="2">
        <f ca="1">I16*Sheet2!H$14/_xlfn.STDEV.S(I$2:I$31)</f>
        <v>5.5949965138865965</v>
      </c>
      <c r="AH16" s="2">
        <f ca="1">J16*Sheet2!I$14/_xlfn.STDEV.S(J$2:J$31)</f>
        <v>2.4304670700087736</v>
      </c>
      <c r="AI16" s="2">
        <f ca="1">K16*Sheet2!J$14/_xlfn.STDEV.S(K$2:K$31)</f>
        <v>1.8139294380216309</v>
      </c>
      <c r="AJ16" s="2">
        <f ca="1">L16*Sheet2!K$14/_xlfn.STDEV.S(L$2:L$31)</f>
        <v>2.6619701156173168</v>
      </c>
      <c r="AK16" s="2">
        <f ca="1">M16*Sheet2!L$14/_xlfn.STDEV.S(M$2:M$31)</f>
        <v>3.8689713519577378</v>
      </c>
      <c r="AL16" s="2">
        <f ca="1">N16*Sheet2!M$14/_xlfn.STDEV.S(N$2:N$31)</f>
        <v>2.7288768578742517</v>
      </c>
      <c r="AM16" s="2">
        <f ca="1">O16*Sheet2!N$14/_xlfn.STDEV.S(O$2:O$31)</f>
        <v>1.2418963236574909</v>
      </c>
      <c r="AN16" s="2">
        <f ca="1">P16*Sheet2!O$14/_xlfn.STDEV.S(P$2:P$31)</f>
        <v>0.99550475986713527</v>
      </c>
      <c r="AO16" s="2">
        <f ca="1">Q16*Sheet2!P$14/_xlfn.STDEV.S(Q$2:Q$31)</f>
        <v>6.3724047788626548</v>
      </c>
      <c r="AP16" s="2">
        <f ca="1">R16*Sheet2!Q$14/_xlfn.STDEV.S(R$2:R$31)</f>
        <v>2.4725900894590862</v>
      </c>
      <c r="AQ16" s="2">
        <f ca="1">S16*Sheet2!R$14/_xlfn.STDEV.S(S$2:S$31)</f>
        <v>1.83811870935528</v>
      </c>
      <c r="AR16" s="2">
        <f ca="1">T16*Sheet2!S$14/_xlfn.STDEV.S(T$2:T$31)</f>
        <v>0.17109041588364676</v>
      </c>
      <c r="AS16" s="2">
        <f ca="1">U16*Sheet2!T$14/_xlfn.STDEV.S(U$2:U$31)</f>
        <v>3.7516747119546321</v>
      </c>
      <c r="AT16" s="2">
        <f ca="1">V16*Sheet2!U$14/_xlfn.STDEV.S(V$2:V$31)</f>
        <v>1.1871386229880381</v>
      </c>
      <c r="AU16" s="2">
        <f ca="1">W16*Sheet2!V$14/_xlfn.STDEV.S(W$2:W$31)</f>
        <v>0.29557649290039684</v>
      </c>
      <c r="AV16" s="2">
        <f ca="1">X16*Sheet2!W$14/_xlfn.STDEV.S(X$2:X$31)</f>
        <v>4.196813355082786</v>
      </c>
      <c r="AW16" s="2">
        <f ca="1">Y16*Sheet2!X$14/_xlfn.STDEV.S(Y$2:Y$31)</f>
        <v>1.0077586288368887</v>
      </c>
      <c r="AX16" s="2">
        <f ca="1">Z16*Sheet2!Y$14/_xlfn.STDEV.S(Z$2:Z$31)</f>
        <v>0.81729076125535316</v>
      </c>
      <c r="AY16" s="2">
        <f ca="1">AA16*Sheet2!Z$14/_xlfn.STDEV.S(AA$2:AA$31)</f>
        <v>0.84217417093627345</v>
      </c>
      <c r="AZ16" s="2">
        <f ca="1">AB16-AVERAGE(AB$2:AB$31)+Sheet2!C$13</f>
        <v>2.4252710232125758</v>
      </c>
      <c r="BA16" s="2">
        <f ca="1">AC16-AVERAGE(AC$2:AC$31)+Sheet2!D$13</f>
        <v>6.1627547818511275</v>
      </c>
      <c r="BB16" s="2">
        <f ca="1">AD16-AVERAGE(AD$2:AD$31)+Sheet2!E$13</f>
        <v>19.061339568143762</v>
      </c>
      <c r="BC16" s="2">
        <f ca="1">AE16-AVERAGE(AE$2:AE$31)+Sheet2!F$13</f>
        <v>24.106887165534634</v>
      </c>
      <c r="BD16" s="2">
        <f ca="1">AF16-AVERAGE(AF$2:AF$31)+Sheet2!G$13</f>
        <v>20.553093024394659</v>
      </c>
      <c r="BE16" s="2">
        <f ca="1">AG16-AVERAGE(AG$2:AG$31)+Sheet2!H$13</f>
        <v>29.215811477054366</v>
      </c>
      <c r="BF16" s="2">
        <f ca="1">AH16-AVERAGE(AH$2:AH$31)+Sheet2!I$13</f>
        <v>13.215652461994953</v>
      </c>
      <c r="BG16" s="2">
        <f ca="1">AI16-AVERAGE(AI$2:AI$31)+Sheet2!J$13</f>
        <v>20.055298231627265</v>
      </c>
      <c r="BH16" s="2">
        <f ca="1">AJ16-AVERAGE(AJ$2:AJ$31)+Sheet2!K$13</f>
        <v>28.896758308355352</v>
      </c>
      <c r="BI16" s="2">
        <f ca="1">AK16-AVERAGE(AK$2:AK$31)+Sheet2!L$13</f>
        <v>20.808755261834424</v>
      </c>
      <c r="BJ16" s="2">
        <f ca="1">AL16-AVERAGE(AL$2:AL$31)+Sheet2!M$13</f>
        <v>20.865817648101817</v>
      </c>
      <c r="BK16" s="2">
        <f ca="1">AM16-AVERAGE(AM$2:AM$31)+Sheet2!N$13</f>
        <v>7.7850144741396186</v>
      </c>
      <c r="BL16" s="2">
        <f ca="1">AN16-AVERAGE(AN$2:AN$31)+Sheet2!O$13</f>
        <v>5.1049937474867155</v>
      </c>
      <c r="BM16" s="2">
        <f ca="1">AO16-AVERAGE(AO$2:AO$31)+Sheet2!P$13</f>
        <v>25.073013724436233</v>
      </c>
      <c r="BN16" s="2">
        <f ca="1">AP16-AVERAGE(AP$2:AP$31)+Sheet2!Q$13</f>
        <v>13.76314225772138</v>
      </c>
      <c r="BO16" s="2">
        <f ca="1">AQ16-AVERAGE(AQ$2:AQ$31)+Sheet2!R$13</f>
        <v>9.9427484692678636</v>
      </c>
      <c r="BP16" s="2">
        <f ca="1">AR16-AVERAGE(AR$2:AR$31)+Sheet2!S$13</f>
        <v>2.8121955145712856</v>
      </c>
      <c r="BQ16" s="2">
        <f ca="1">AS16-AVERAGE(AS$2:AS$31)+Sheet2!T$13</f>
        <v>14.426234133250844</v>
      </c>
      <c r="BR16" s="2">
        <f ca="1">AT16-AVERAGE(AT$2:AT$31)+Sheet2!U$13</f>
        <v>22.577314099095872</v>
      </c>
      <c r="BS16" s="2">
        <f ca="1">AU16-AVERAGE(AU$2:AU$31)+Sheet2!V$13</f>
        <v>22.499455224284198</v>
      </c>
      <c r="BT16" s="2">
        <f ca="1">AV16-AVERAGE(AV$2:AV$31)+Sheet2!W$13</f>
        <v>26.010789868952877</v>
      </c>
      <c r="BU16" s="2">
        <f ca="1">AW16-AVERAGE(AW$2:AW$31)+Sheet2!X$13</f>
        <v>21.41778683601645</v>
      </c>
      <c r="BV16" s="2">
        <f ca="1">AX16-AVERAGE(AX$2:AX$31)+Sheet2!Y$13</f>
        <v>20.450734709215041</v>
      </c>
      <c r="BW16" s="2">
        <f ca="1">AY16-AVERAGE(AY$2:AY$31)+Sheet2!Z$13</f>
        <v>7.727363893321435</v>
      </c>
      <c r="BZ16" s="2">
        <f ca="1">BA16-AVERAGE(BA$2:BA$31)+Sheet2!AB$13</f>
        <v>-0.6014567434888376</v>
      </c>
      <c r="CA16" s="2">
        <f ca="1">BB16-AVERAGE(BB$2:BB$31)+Sheet2!AC$13</f>
        <v>0.43739007679633801</v>
      </c>
      <c r="CB16" s="2">
        <f ca="1">BC16-AVERAGE(BC$2:BC$31)+Sheet2!AD$13</f>
        <v>3.0160260643292025</v>
      </c>
      <c r="CC16" s="2">
        <f ca="1">BD16-AVERAGE(BD$2:BD$31)+Sheet2!AE$13</f>
        <v>1.3913100588505114</v>
      </c>
    </row>
    <row r="17" spans="2:81" x14ac:dyDescent="0.3">
      <c r="B17">
        <v>16</v>
      </c>
      <c r="C17" s="1">
        <v>1</v>
      </c>
      <c r="D17" s="2">
        <f t="shared" ca="1" si="1"/>
        <v>0.83073323491526085</v>
      </c>
      <c r="E17" s="2">
        <f t="shared" ca="1" si="0"/>
        <v>0.51889208008411081</v>
      </c>
      <c r="F17" s="2">
        <f t="shared" ca="1" si="0"/>
        <v>0.40885090629272947</v>
      </c>
      <c r="G17" s="2">
        <f t="shared" ca="1" si="0"/>
        <v>0.45577961582828019</v>
      </c>
      <c r="H17" s="2">
        <f t="shared" ca="1" si="0"/>
        <v>7.5489665147966956E-2</v>
      </c>
      <c r="I17" s="2">
        <f t="shared" ca="1" si="0"/>
        <v>0.49119042225356768</v>
      </c>
      <c r="J17" s="2">
        <f t="shared" ca="1" si="0"/>
        <v>0.39693935639957445</v>
      </c>
      <c r="K17" s="2">
        <f t="shared" ca="1" si="0"/>
        <v>0.73905154471584422</v>
      </c>
      <c r="L17" s="2">
        <f t="shared" ca="1" si="0"/>
        <v>0.9729250666139535</v>
      </c>
      <c r="M17" s="2">
        <f t="shared" ca="1" si="0"/>
        <v>0.10385051716259763</v>
      </c>
      <c r="N17" s="2">
        <f t="shared" ca="1" si="0"/>
        <v>0.8044112934909694</v>
      </c>
      <c r="O17" s="2">
        <f t="shared" ca="1" si="0"/>
        <v>0.55820354679377782</v>
      </c>
      <c r="P17" s="2">
        <f t="shared" ca="1" si="0"/>
        <v>0.23524459174867152</v>
      </c>
      <c r="Q17" s="2">
        <f t="shared" ca="1" si="0"/>
        <v>0.48569235110185638</v>
      </c>
      <c r="R17" s="2">
        <f t="shared" ca="1" si="0"/>
        <v>0.3597918917614874</v>
      </c>
      <c r="S17" s="2">
        <f t="shared" ca="1" si="0"/>
        <v>0.89800715276498533</v>
      </c>
      <c r="T17" s="2">
        <f t="shared" ca="1" si="0"/>
        <v>0.89468871869915523</v>
      </c>
      <c r="U17" s="2">
        <f t="shared" ca="1" si="0"/>
        <v>3.7482725109712067E-3</v>
      </c>
      <c r="V17" s="2">
        <f t="shared" ca="1" si="0"/>
        <v>0.64379233763461219</v>
      </c>
      <c r="W17" s="2">
        <f t="shared" ca="1" si="0"/>
        <v>0.24926498444008149</v>
      </c>
      <c r="X17" s="2">
        <f t="shared" ca="1" si="0"/>
        <v>0.43990559734244727</v>
      </c>
      <c r="Y17" s="2">
        <f t="shared" ca="1" si="0"/>
        <v>0.27071532070022764</v>
      </c>
      <c r="Z17" s="2">
        <f t="shared" ca="1" si="0"/>
        <v>0.27626173723931935</v>
      </c>
      <c r="AA17" s="2">
        <f t="shared" ca="1" si="0"/>
        <v>0.45782949191253386</v>
      </c>
      <c r="AB17" s="2">
        <f ca="1">D17*Sheet2!C$14/_xlfn.STDEV.S(D$2:D$31)</f>
        <v>1.6669654241109995</v>
      </c>
      <c r="AC17" s="2">
        <f ca="1">E17*Sheet2!D$14/_xlfn.STDEV.S(E$2:E$31)</f>
        <v>3.8057521400687206</v>
      </c>
      <c r="AD17" s="2">
        <f ca="1">F17*Sheet2!E$14/_xlfn.STDEV.S(F$2:F$31)</f>
        <v>1.9088634344802766</v>
      </c>
      <c r="AE17" s="2">
        <f ca="1">G17*Sheet2!F$14/_xlfn.STDEV.S(G$2:G$31)</f>
        <v>3.7164983116812862</v>
      </c>
      <c r="AF17" s="2">
        <f ca="1">H17*Sheet2!G$14/_xlfn.STDEV.S(H$2:H$31)</f>
        <v>0.48480063750087798</v>
      </c>
      <c r="AG17" s="2">
        <f ca="1">I17*Sheet2!H$14/_xlfn.STDEV.S(I$2:I$31)</f>
        <v>5.2948263550539894</v>
      </c>
      <c r="AH17" s="2">
        <f ca="1">J17*Sheet2!I$14/_xlfn.STDEV.S(J$2:J$31)</f>
        <v>0.96752904674802753</v>
      </c>
      <c r="AI17" s="2">
        <f ca="1">K17*Sheet2!J$14/_xlfn.STDEV.S(K$2:K$31)</f>
        <v>2.1709501273574139</v>
      </c>
      <c r="AJ17" s="2">
        <f ca="1">L17*Sheet2!K$14/_xlfn.STDEV.S(L$2:L$31)</f>
        <v>4.3595531581076195</v>
      </c>
      <c r="AK17" s="2">
        <f ca="1">M17*Sheet2!L$14/_xlfn.STDEV.S(M$2:M$31)</f>
        <v>0.61888811600665772</v>
      </c>
      <c r="AL17" s="2">
        <f ca="1">N17*Sheet2!M$14/_xlfn.STDEV.S(N$2:N$31)</f>
        <v>3.0468290478051392</v>
      </c>
      <c r="AM17" s="2">
        <f ca="1">O17*Sheet2!N$14/_xlfn.STDEV.S(O$2:O$31)</f>
        <v>1.8958453161546551</v>
      </c>
      <c r="AN17" s="2">
        <f ca="1">P17*Sheet2!O$14/_xlfn.STDEV.S(P$2:P$31)</f>
        <v>0.88837317479971423</v>
      </c>
      <c r="AO17" s="2">
        <f ca="1">Q17*Sheet2!P$14/_xlfn.STDEV.S(Q$2:Q$31)</f>
        <v>3.7350602559339303</v>
      </c>
      <c r="AP17" s="2">
        <f ca="1">R17*Sheet2!Q$14/_xlfn.STDEV.S(R$2:R$31)</f>
        <v>1.7046462426426674</v>
      </c>
      <c r="AQ17" s="2">
        <f ca="1">S17*Sheet2!R$14/_xlfn.STDEV.S(S$2:S$31)</f>
        <v>3.0001368145726675</v>
      </c>
      <c r="AR17" s="2">
        <f ca="1">T17*Sheet2!S$14/_xlfn.STDEV.S(T$2:T$31)</f>
        <v>2.0905155196506358</v>
      </c>
      <c r="AS17" s="2">
        <f ca="1">U17*Sheet2!T$14/_xlfn.STDEV.S(U$2:U$31)</f>
        <v>1.6246690024732568E-2</v>
      </c>
      <c r="AT17" s="2">
        <f ca="1">V17*Sheet2!U$14/_xlfn.STDEV.S(V$2:V$31)</f>
        <v>2.6052696063997263</v>
      </c>
      <c r="AU17" s="2">
        <f ca="1">W17*Sheet2!V$14/_xlfn.STDEV.S(W$2:W$31)</f>
        <v>0.8454818029697998</v>
      </c>
      <c r="AV17" s="2">
        <f ca="1">X17*Sheet2!W$14/_xlfn.STDEV.S(X$2:X$31)</f>
        <v>2.3900843490729677</v>
      </c>
      <c r="AW17" s="2">
        <f ca="1">Y17*Sheet2!X$14/_xlfn.STDEV.S(Y$2:Y$31)</f>
        <v>0.60400832389631487</v>
      </c>
      <c r="AX17" s="2">
        <f ca="1">Z17*Sheet2!Y$14/_xlfn.STDEV.S(Z$2:Z$31)</f>
        <v>1.2145619410492885</v>
      </c>
      <c r="AY17" s="2">
        <f ca="1">AA17*Sheet2!Z$14/_xlfn.STDEV.S(AA$2:AA$31)</f>
        <v>1.0981982699099861</v>
      </c>
      <c r="AZ17" s="2">
        <f ca="1">AB17-AVERAGE(AB$2:AB$31)+Sheet2!C$13</f>
        <v>3.9251832422206228</v>
      </c>
      <c r="BA17" s="2">
        <f ca="1">AC17-AVERAGE(AC$2:AC$31)+Sheet2!D$13</f>
        <v>6.810286635921404</v>
      </c>
      <c r="BB17" s="2">
        <f ca="1">AD17-AVERAGE(AD$2:AD$31)+Sheet2!E$13</f>
        <v>17.58321690561538</v>
      </c>
      <c r="BC17" s="2">
        <f ca="1">AE17-AVERAGE(AE$2:AE$31)+Sheet2!F$13</f>
        <v>20.692713622645009</v>
      </c>
      <c r="BD17" s="2">
        <f ca="1">AF17-AVERAGE(AF$2:AF$31)+Sheet2!G$13</f>
        <v>16.571683295597442</v>
      </c>
      <c r="BE17" s="2">
        <f ca="1">AG17-AVERAGE(AG$2:AG$31)+Sheet2!H$13</f>
        <v>28.915641318221759</v>
      </c>
      <c r="BF17" s="2">
        <f ca="1">AH17-AVERAGE(AH$2:AH$31)+Sheet2!I$13</f>
        <v>11.752714438734207</v>
      </c>
      <c r="BG17" s="2">
        <f ca="1">AI17-AVERAGE(AI$2:AI$31)+Sheet2!J$13</f>
        <v>20.412318920963049</v>
      </c>
      <c r="BH17" s="2">
        <f ca="1">AJ17-AVERAGE(AJ$2:AJ$31)+Sheet2!K$13</f>
        <v>30.594341350845657</v>
      </c>
      <c r="BI17" s="2">
        <f ca="1">AK17-AVERAGE(AK$2:AK$31)+Sheet2!L$13</f>
        <v>17.558672025883343</v>
      </c>
      <c r="BJ17" s="2">
        <f ca="1">AL17-AVERAGE(AL$2:AL$31)+Sheet2!M$13</f>
        <v>21.183769838032706</v>
      </c>
      <c r="BK17" s="2">
        <f ca="1">AM17-AVERAGE(AM$2:AM$31)+Sheet2!N$13</f>
        <v>8.4389634666367837</v>
      </c>
      <c r="BL17" s="2">
        <f ca="1">AN17-AVERAGE(AN$2:AN$31)+Sheet2!O$13</f>
        <v>4.9978621624192954</v>
      </c>
      <c r="BM17" s="2">
        <f ca="1">AO17-AVERAGE(AO$2:AO$31)+Sheet2!P$13</f>
        <v>22.435669201507508</v>
      </c>
      <c r="BN17" s="2">
        <f ca="1">AP17-AVERAGE(AP$2:AP$31)+Sheet2!Q$13</f>
        <v>12.99519841090496</v>
      </c>
      <c r="BO17" s="2">
        <f ca="1">AQ17-AVERAGE(AQ$2:AQ$31)+Sheet2!R$13</f>
        <v>11.104766574485252</v>
      </c>
      <c r="BP17" s="2">
        <f ca="1">AR17-AVERAGE(AR$2:AR$31)+Sheet2!S$13</f>
        <v>4.7316206183382743</v>
      </c>
      <c r="BQ17" s="2">
        <f ca="1">AS17-AVERAGE(AS$2:AS$31)+Sheet2!T$13</f>
        <v>10.690806111320946</v>
      </c>
      <c r="BR17" s="2">
        <f ca="1">AT17-AVERAGE(AT$2:AT$31)+Sheet2!U$13</f>
        <v>23.995445082507562</v>
      </c>
      <c r="BS17" s="2">
        <f ca="1">AU17-AVERAGE(AU$2:AU$31)+Sheet2!V$13</f>
        <v>23.0493605343536</v>
      </c>
      <c r="BT17" s="2">
        <f ca="1">AV17-AVERAGE(AV$2:AV$31)+Sheet2!W$13</f>
        <v>24.204060862943059</v>
      </c>
      <c r="BU17" s="2">
        <f ca="1">AW17-AVERAGE(AW$2:AW$31)+Sheet2!X$13</f>
        <v>21.014036531075874</v>
      </c>
      <c r="BV17" s="2">
        <f ca="1">AX17-AVERAGE(AX$2:AX$31)+Sheet2!Y$13</f>
        <v>20.848005889008977</v>
      </c>
      <c r="BW17" s="2">
        <f ca="1">AY17-AVERAGE(AY$2:AY$31)+Sheet2!Z$13</f>
        <v>7.9833879922951478</v>
      </c>
      <c r="BZ17" s="2">
        <f ca="1">BA17-AVERAGE(BA$2:BA$31)+Sheet2!AB$13</f>
        <v>4.6075110581439038E-2</v>
      </c>
      <c r="CA17" s="2">
        <f ca="1">BB17-AVERAGE(BB$2:BB$31)+Sheet2!AC$13</f>
        <v>-1.0407325857320435</v>
      </c>
      <c r="CB17" s="2">
        <f ca="1">BC17-AVERAGE(BC$2:BC$31)+Sheet2!AD$13</f>
        <v>-0.39814747856042221</v>
      </c>
      <c r="CC17" s="2">
        <f ca="1">BD17-AVERAGE(BD$2:BD$31)+Sheet2!AE$13</f>
        <v>-2.590099669946706</v>
      </c>
    </row>
    <row r="18" spans="2:81" x14ac:dyDescent="0.3">
      <c r="B18">
        <v>17</v>
      </c>
      <c r="C18" s="1">
        <v>1</v>
      </c>
      <c r="D18" s="2">
        <f t="shared" ca="1" si="1"/>
        <v>0.40988218977860358</v>
      </c>
      <c r="E18" s="2">
        <f t="shared" ca="1" si="1"/>
        <v>0.76939058130924509</v>
      </c>
      <c r="F18" s="2">
        <f t="shared" ca="1" si="1"/>
        <v>0.67275073456972634</v>
      </c>
      <c r="G18" s="2">
        <f t="shared" ca="1" si="1"/>
        <v>0.49354476521202795</v>
      </c>
      <c r="H18" s="2">
        <f t="shared" ca="1" si="1"/>
        <v>0.93429146193420709</v>
      </c>
      <c r="I18" s="2">
        <f t="shared" ca="1" si="1"/>
        <v>0.58138962750857803</v>
      </c>
      <c r="J18" s="2">
        <f t="shared" ca="1" si="1"/>
        <v>0.60756979584984472</v>
      </c>
      <c r="K18" s="2">
        <f t="shared" ca="1" si="1"/>
        <v>0.62441593151367414</v>
      </c>
      <c r="L18" s="2">
        <f t="shared" ca="1" si="1"/>
        <v>0.34056747012500443</v>
      </c>
      <c r="M18" s="2">
        <f t="shared" ca="1" si="1"/>
        <v>8.1049468477562003E-2</v>
      </c>
      <c r="N18" s="2">
        <f t="shared" ca="1" si="1"/>
        <v>0.87291533245274544</v>
      </c>
      <c r="O18" s="2">
        <f t="shared" ca="1" si="1"/>
        <v>0.96496883689757595</v>
      </c>
      <c r="P18" s="2">
        <f t="shared" ca="1" si="1"/>
        <v>0.88610101774478012</v>
      </c>
      <c r="Q18" s="2">
        <f t="shared" ca="1" si="1"/>
        <v>0.20736715040627873</v>
      </c>
      <c r="R18" s="2">
        <f t="shared" ca="1" si="1"/>
        <v>0.60195925283784535</v>
      </c>
      <c r="S18" s="2">
        <f t="shared" ca="1" si="1"/>
        <v>0.91406317150313221</v>
      </c>
      <c r="T18" s="2">
        <f t="shared" ref="Q18:AA33" ca="1" si="2">RAND()</f>
        <v>0.18897643337781189</v>
      </c>
      <c r="U18" s="2">
        <f t="shared" ca="1" si="2"/>
        <v>0.86414339387766426</v>
      </c>
      <c r="V18" s="2">
        <f t="shared" ca="1" si="2"/>
        <v>0.41706539502670337</v>
      </c>
      <c r="W18" s="2">
        <f t="shared" ca="1" si="2"/>
        <v>0.6281621475285899</v>
      </c>
      <c r="X18" s="2">
        <f t="shared" ca="1" si="2"/>
        <v>0.88355222718218773</v>
      </c>
      <c r="Y18" s="2">
        <f t="shared" ca="1" si="2"/>
        <v>0.70260402149833623</v>
      </c>
      <c r="Z18" s="2">
        <f t="shared" ca="1" si="2"/>
        <v>0.38148995808259178</v>
      </c>
      <c r="AA18" s="2">
        <f t="shared" ca="1" si="2"/>
        <v>0.75560605652322865</v>
      </c>
      <c r="AB18" s="2">
        <f ca="1">D18*Sheet2!C$14/_xlfn.STDEV.S(D$2:D$31)</f>
        <v>0.82247755308541515</v>
      </c>
      <c r="AC18" s="2">
        <f ca="1">E18*Sheet2!D$14/_xlfn.STDEV.S(E$2:E$31)</f>
        <v>5.6430035526688691</v>
      </c>
      <c r="AD18" s="2">
        <f ca="1">F18*Sheet2!E$14/_xlfn.STDEV.S(F$2:F$31)</f>
        <v>3.1409720706854483</v>
      </c>
      <c r="AE18" s="2">
        <f ca="1">G18*Sheet2!F$14/_xlfn.STDEV.S(G$2:G$31)</f>
        <v>4.0244412495637256</v>
      </c>
      <c r="AF18" s="2">
        <f ca="1">H18*Sheet2!G$14/_xlfn.STDEV.S(H$2:H$31)</f>
        <v>6.000094125063546</v>
      </c>
      <c r="AG18" s="2">
        <f ca="1">I18*Sheet2!H$14/_xlfn.STDEV.S(I$2:I$31)</f>
        <v>6.2671358862496254</v>
      </c>
      <c r="AH18" s="2">
        <f ca="1">J18*Sheet2!I$14/_xlfn.STDEV.S(J$2:J$31)</f>
        <v>1.4809350998688831</v>
      </c>
      <c r="AI18" s="2">
        <f ca="1">K18*Sheet2!J$14/_xlfn.STDEV.S(K$2:K$31)</f>
        <v>1.8342101518302223</v>
      </c>
      <c r="AJ18" s="2">
        <f ca="1">L18*Sheet2!K$14/_xlfn.STDEV.S(L$2:L$31)</f>
        <v>1.526039405171691</v>
      </c>
      <c r="AK18" s="2">
        <f ca="1">M18*Sheet2!L$14/_xlfn.STDEV.S(M$2:M$31)</f>
        <v>0.48300725138309619</v>
      </c>
      <c r="AL18" s="2">
        <f ca="1">N18*Sheet2!M$14/_xlfn.STDEV.S(N$2:N$31)</f>
        <v>3.3062984230981121</v>
      </c>
      <c r="AM18" s="2">
        <f ca="1">O18*Sheet2!N$14/_xlfn.STDEV.S(O$2:O$31)</f>
        <v>3.2773558322504504</v>
      </c>
      <c r="AN18" s="2">
        <f ca="1">P18*Sheet2!O$14/_xlfn.STDEV.S(P$2:P$31)</f>
        <v>3.3462549275870175</v>
      </c>
      <c r="AO18" s="2">
        <f ca="1">Q18*Sheet2!P$14/_xlfn.STDEV.S(Q$2:Q$31)</f>
        <v>1.5946901368976591</v>
      </c>
      <c r="AP18" s="2">
        <f ca="1">R18*Sheet2!Q$14/_xlfn.STDEV.S(R$2:R$31)</f>
        <v>2.8520030664122338</v>
      </c>
      <c r="AQ18" s="2">
        <f ca="1">S18*Sheet2!R$14/_xlfn.STDEV.S(S$2:S$31)</f>
        <v>3.0537780943369386</v>
      </c>
      <c r="AR18" s="2">
        <f ca="1">T18*Sheet2!S$14/_xlfn.STDEV.S(T$2:T$31)</f>
        <v>0.44155934747779135</v>
      </c>
      <c r="AS18" s="2">
        <f ca="1">U18*Sheet2!T$14/_xlfn.STDEV.S(U$2:U$31)</f>
        <v>3.745584083376333</v>
      </c>
      <c r="AT18" s="2">
        <f ca="1">V18*Sheet2!U$14/_xlfn.STDEV.S(V$2:V$31)</f>
        <v>1.6877613075302758</v>
      </c>
      <c r="AU18" s="2">
        <f ca="1">W18*Sheet2!V$14/_xlfn.STDEV.S(W$2:W$31)</f>
        <v>2.1306629418602503</v>
      </c>
      <c r="AV18" s="2">
        <f ca="1">X18*Sheet2!W$14/_xlfn.STDEV.S(X$2:X$31)</f>
        <v>4.8004943845549528</v>
      </c>
      <c r="AW18" s="2">
        <f ca="1">Y18*Sheet2!X$14/_xlfn.STDEV.S(Y$2:Y$31)</f>
        <v>1.5676197279501205</v>
      </c>
      <c r="AX18" s="2">
        <f ca="1">Z18*Sheet2!Y$14/_xlfn.STDEV.S(Z$2:Z$31)</f>
        <v>1.67718913451348</v>
      </c>
      <c r="AY18" s="2">
        <f ca="1">AA18*Sheet2!Z$14/_xlfn.STDEV.S(AA$2:AA$31)</f>
        <v>1.8124766505121679</v>
      </c>
      <c r="AZ18" s="2">
        <f ca="1">AB18-AVERAGE(AB$2:AB$31)+Sheet2!C$13</f>
        <v>3.0806953711950387</v>
      </c>
      <c r="BA18" s="2">
        <f ca="1">AC18-AVERAGE(AC$2:AC$31)+Sheet2!D$13</f>
        <v>8.6475380485215521</v>
      </c>
      <c r="BB18" s="2">
        <f ca="1">AD18-AVERAGE(AD$2:AD$31)+Sheet2!E$13</f>
        <v>18.815325541820553</v>
      </c>
      <c r="BC18" s="2">
        <f ca="1">AE18-AVERAGE(AE$2:AE$31)+Sheet2!F$13</f>
        <v>21.000656560527446</v>
      </c>
      <c r="BD18" s="2">
        <f ca="1">AF18-AVERAGE(AF$2:AF$31)+Sheet2!G$13</f>
        <v>22.086976783160111</v>
      </c>
      <c r="BE18" s="2">
        <f ca="1">AG18-AVERAGE(AG$2:AG$31)+Sheet2!H$13</f>
        <v>29.887950849417393</v>
      </c>
      <c r="BF18" s="2">
        <f ca="1">AH18-AVERAGE(AH$2:AH$31)+Sheet2!I$13</f>
        <v>12.266120491855062</v>
      </c>
      <c r="BG18" s="2">
        <f ca="1">AI18-AVERAGE(AI$2:AI$31)+Sheet2!J$13</f>
        <v>20.075578945435858</v>
      </c>
      <c r="BH18" s="2">
        <f ca="1">AJ18-AVERAGE(AJ$2:AJ$31)+Sheet2!K$13</f>
        <v>27.760827597909728</v>
      </c>
      <c r="BI18" s="2">
        <f ca="1">AK18-AVERAGE(AK$2:AK$31)+Sheet2!L$13</f>
        <v>17.422791161259784</v>
      </c>
      <c r="BJ18" s="2">
        <f ca="1">AL18-AVERAGE(AL$2:AL$31)+Sheet2!M$13</f>
        <v>21.443239213325679</v>
      </c>
      <c r="BK18" s="2">
        <f ca="1">AM18-AVERAGE(AM$2:AM$31)+Sheet2!N$13</f>
        <v>9.8204739827325778</v>
      </c>
      <c r="BL18" s="2">
        <f ca="1">AN18-AVERAGE(AN$2:AN$31)+Sheet2!O$13</f>
        <v>7.4557439152065985</v>
      </c>
      <c r="BM18" s="2">
        <f ca="1">AO18-AVERAGE(AO$2:AO$31)+Sheet2!P$13</f>
        <v>20.295299082471239</v>
      </c>
      <c r="BN18" s="2">
        <f ca="1">AP18-AVERAGE(AP$2:AP$31)+Sheet2!Q$13</f>
        <v>14.142555234674527</v>
      </c>
      <c r="BO18" s="2">
        <f ca="1">AQ18-AVERAGE(AQ$2:AQ$31)+Sheet2!R$13</f>
        <v>11.158407854249523</v>
      </c>
      <c r="BP18" s="2">
        <f ca="1">AR18-AVERAGE(AR$2:AR$31)+Sheet2!S$13</f>
        <v>3.0826644461654302</v>
      </c>
      <c r="BQ18" s="2">
        <f ca="1">AS18-AVERAGE(AS$2:AS$31)+Sheet2!T$13</f>
        <v>14.420143504672545</v>
      </c>
      <c r="BR18" s="2">
        <f ca="1">AT18-AVERAGE(AT$2:AT$31)+Sheet2!U$13</f>
        <v>23.077936783638112</v>
      </c>
      <c r="BS18" s="2">
        <f ca="1">AU18-AVERAGE(AU$2:AU$31)+Sheet2!V$13</f>
        <v>24.33454167324405</v>
      </c>
      <c r="BT18" s="2">
        <f ca="1">AV18-AVERAGE(AV$2:AV$31)+Sheet2!W$13</f>
        <v>26.614470898425044</v>
      </c>
      <c r="BU18" s="2">
        <f ca="1">AW18-AVERAGE(AW$2:AW$31)+Sheet2!X$13</f>
        <v>21.977647935129681</v>
      </c>
      <c r="BV18" s="2">
        <f ca="1">AX18-AVERAGE(AX$2:AX$31)+Sheet2!Y$13</f>
        <v>21.310633082473171</v>
      </c>
      <c r="BW18" s="2">
        <f ca="1">AY18-AVERAGE(AY$2:AY$31)+Sheet2!Z$13</f>
        <v>8.6976663728973289</v>
      </c>
      <c r="BZ18" s="2">
        <f ca="1">BA18-AVERAGE(BA$2:BA$31)+Sheet2!AB$13</f>
        <v>1.883326523181587</v>
      </c>
      <c r="CA18" s="2">
        <f ca="1">BB18-AVERAGE(BB$2:BB$31)+Sheet2!AC$13</f>
        <v>0.19137605047312886</v>
      </c>
      <c r="CB18" s="2">
        <f ca="1">BC18-AVERAGE(BC$2:BC$31)+Sheet2!AD$13</f>
        <v>-9.0204540677985001E-2</v>
      </c>
      <c r="CC18" s="2">
        <f ca="1">BD18-AVERAGE(BD$2:BD$31)+Sheet2!AE$13</f>
        <v>2.9251938176159631</v>
      </c>
    </row>
    <row r="19" spans="2:81" x14ac:dyDescent="0.3">
      <c r="B19">
        <v>18</v>
      </c>
      <c r="C19" s="1">
        <v>1</v>
      </c>
      <c r="D19" s="2">
        <f t="shared" ref="D19:S34" ca="1" si="3">RAND()</f>
        <v>0.37863762715260918</v>
      </c>
      <c r="E19" s="2">
        <f t="shared" ca="1" si="3"/>
        <v>0.62295991824835995</v>
      </c>
      <c r="F19" s="2">
        <f t="shared" ca="1" si="3"/>
        <v>0.54790749467884559</v>
      </c>
      <c r="G19" s="2">
        <f t="shared" ca="1" si="3"/>
        <v>0.3138676993264351</v>
      </c>
      <c r="H19" s="2">
        <f t="shared" ca="1" si="3"/>
        <v>0.67103710720162424</v>
      </c>
      <c r="I19" s="2">
        <f t="shared" ca="1" si="3"/>
        <v>0.44175570291622401</v>
      </c>
      <c r="J19" s="2">
        <f t="shared" ca="1" si="3"/>
        <v>0.55457840391874247</v>
      </c>
      <c r="K19" s="2">
        <f t="shared" ca="1" si="3"/>
        <v>0.31401008387295437</v>
      </c>
      <c r="L19" s="2">
        <f t="shared" ca="1" si="3"/>
        <v>0.9815036885393611</v>
      </c>
      <c r="M19" s="2">
        <f t="shared" ca="1" si="3"/>
        <v>0.69839124809944364</v>
      </c>
      <c r="N19" s="2">
        <f t="shared" ca="1" si="3"/>
        <v>0.5506118779065915</v>
      </c>
      <c r="O19" s="2">
        <f t="shared" ca="1" si="3"/>
        <v>4.4031372789406609E-2</v>
      </c>
      <c r="P19" s="2">
        <f t="shared" ca="1" si="3"/>
        <v>0.27048480142104314</v>
      </c>
      <c r="Q19" s="2">
        <f t="shared" ca="1" si="2"/>
        <v>5.0240605687683626E-3</v>
      </c>
      <c r="R19" s="2">
        <f t="shared" ca="1" si="2"/>
        <v>8.3947671755948416E-3</v>
      </c>
      <c r="S19" s="2">
        <f t="shared" ca="1" si="2"/>
        <v>8.2288342647052537E-2</v>
      </c>
      <c r="T19" s="2">
        <f t="shared" ca="1" si="2"/>
        <v>0.47040478849854861</v>
      </c>
      <c r="U19" s="2">
        <f t="shared" ca="1" si="2"/>
        <v>0.27888013649308829</v>
      </c>
      <c r="V19" s="2">
        <f t="shared" ca="1" si="2"/>
        <v>0.63814040753288026</v>
      </c>
      <c r="W19" s="2">
        <f t="shared" ca="1" si="2"/>
        <v>0.43445920711112029</v>
      </c>
      <c r="X19" s="2">
        <f t="shared" ca="1" si="2"/>
        <v>2.8872022709582112E-2</v>
      </c>
      <c r="Y19" s="2">
        <f t="shared" ca="1" si="2"/>
        <v>0.4688040364854863</v>
      </c>
      <c r="Z19" s="2">
        <f t="shared" ca="1" si="2"/>
        <v>0.51398867647261293</v>
      </c>
      <c r="AA19" s="2">
        <f t="shared" ca="1" si="2"/>
        <v>0.85347238809346693</v>
      </c>
      <c r="AB19" s="2">
        <f ca="1">D19*Sheet2!C$14/_xlfn.STDEV.S(D$2:D$31)</f>
        <v>0.75978160762427527</v>
      </c>
      <c r="AC19" s="2">
        <f ca="1">E19*Sheet2!D$14/_xlfn.STDEV.S(E$2:E$31)</f>
        <v>4.5690253003407308</v>
      </c>
      <c r="AD19" s="2">
        <f ca="1">F19*Sheet2!E$14/_xlfn.STDEV.S(F$2:F$31)</f>
        <v>2.5580977465690502</v>
      </c>
      <c r="AE19" s="2">
        <f ca="1">G19*Sheet2!F$14/_xlfn.STDEV.S(G$2:G$31)</f>
        <v>2.5593263369581511</v>
      </c>
      <c r="AF19" s="2">
        <f ca="1">H19*Sheet2!G$14/_xlfn.STDEV.S(H$2:H$31)</f>
        <v>4.3094537076093227</v>
      </c>
      <c r="AG19" s="2">
        <f ca="1">I19*Sheet2!H$14/_xlfn.STDEV.S(I$2:I$31)</f>
        <v>4.7619408529280092</v>
      </c>
      <c r="AH19" s="2">
        <f ca="1">J19*Sheet2!I$14/_xlfn.STDEV.S(J$2:J$31)</f>
        <v>1.3517700017390333</v>
      </c>
      <c r="AI19" s="2">
        <f ca="1">K19*Sheet2!J$14/_xlfn.STDEV.S(K$2:K$31)</f>
        <v>0.92239876426698686</v>
      </c>
      <c r="AJ19" s="2">
        <f ca="1">L19*Sheet2!K$14/_xlfn.STDEV.S(L$2:L$31)</f>
        <v>4.3979928690272692</v>
      </c>
      <c r="AK19" s="2">
        <f ca="1">M19*Sheet2!L$14/_xlfn.STDEV.S(M$2:M$31)</f>
        <v>4.1620018424662373</v>
      </c>
      <c r="AL19" s="2">
        <f ca="1">N19*Sheet2!M$14/_xlfn.STDEV.S(N$2:N$31)</f>
        <v>2.0855254982707092</v>
      </c>
      <c r="AM19" s="2">
        <f ca="1">O19*Sheet2!N$14/_xlfn.STDEV.S(O$2:O$31)</f>
        <v>0.14954521938481269</v>
      </c>
      <c r="AN19" s="2">
        <f ca="1">P19*Sheet2!O$14/_xlfn.STDEV.S(P$2:P$31)</f>
        <v>1.0214536282738553</v>
      </c>
      <c r="AO19" s="2">
        <f ca="1">Q19*Sheet2!P$14/_xlfn.STDEV.S(Q$2:Q$31)</f>
        <v>3.8635916154002213E-2</v>
      </c>
      <c r="AP19" s="2">
        <f ca="1">R19*Sheet2!Q$14/_xlfn.STDEV.S(R$2:R$31)</f>
        <v>3.9773292982444905E-2</v>
      </c>
      <c r="AQ19" s="2">
        <f ca="1">S19*Sheet2!R$14/_xlfn.STDEV.S(S$2:S$31)</f>
        <v>0.27491572358355326</v>
      </c>
      <c r="AR19" s="2">
        <f ca="1">T19*Sheet2!S$14/_xlfn.STDEV.S(T$2:T$31)</f>
        <v>1.099140394107128</v>
      </c>
      <c r="AS19" s="2">
        <f ca="1">U19*Sheet2!T$14/_xlfn.STDEV.S(U$2:U$31)</f>
        <v>1.2087912814226862</v>
      </c>
      <c r="AT19" s="2">
        <f ca="1">V19*Sheet2!U$14/_xlfn.STDEV.S(V$2:V$31)</f>
        <v>2.5823976322385565</v>
      </c>
      <c r="AU19" s="2">
        <f ca="1">W19*Sheet2!V$14/_xlfn.STDEV.S(W$2:W$31)</f>
        <v>1.473642014221368</v>
      </c>
      <c r="AV19" s="2">
        <f ca="1">X19*Sheet2!W$14/_xlfn.STDEV.S(X$2:X$31)</f>
        <v>0.15686676873659533</v>
      </c>
      <c r="AW19" s="2">
        <f ca="1">Y19*Sheet2!X$14/_xlfn.STDEV.S(Y$2:Y$31)</f>
        <v>1.0459753056495089</v>
      </c>
      <c r="AX19" s="2">
        <f ca="1">Z19*Sheet2!Y$14/_xlfn.STDEV.S(Z$2:Z$31)</f>
        <v>2.2597088211066287</v>
      </c>
      <c r="AY19" s="2">
        <f ca="1">AA19*Sheet2!Z$14/_xlfn.STDEV.S(AA$2:AA$31)</f>
        <v>2.0472291902926449</v>
      </c>
      <c r="AZ19" s="2">
        <f ca="1">AB19-AVERAGE(AB$2:AB$31)+Sheet2!C$13</f>
        <v>3.0179994257338985</v>
      </c>
      <c r="BA19" s="2">
        <f ca="1">AC19-AVERAGE(AC$2:AC$31)+Sheet2!D$13</f>
        <v>7.5735597961934147</v>
      </c>
      <c r="BB19" s="2">
        <f ca="1">AD19-AVERAGE(AD$2:AD$31)+Sheet2!E$13</f>
        <v>18.232451217704153</v>
      </c>
      <c r="BC19" s="2">
        <f ca="1">AE19-AVERAGE(AE$2:AE$31)+Sheet2!F$13</f>
        <v>19.535541647921875</v>
      </c>
      <c r="BD19" s="2">
        <f ca="1">AF19-AVERAGE(AF$2:AF$31)+Sheet2!G$13</f>
        <v>20.396336365705888</v>
      </c>
      <c r="BE19" s="2">
        <f ca="1">AG19-AVERAGE(AG$2:AG$31)+Sheet2!H$13</f>
        <v>28.382755816095777</v>
      </c>
      <c r="BF19" s="2">
        <f ca="1">AH19-AVERAGE(AH$2:AH$31)+Sheet2!I$13</f>
        <v>12.136955393725213</v>
      </c>
      <c r="BG19" s="2">
        <f ca="1">AI19-AVERAGE(AI$2:AI$31)+Sheet2!J$13</f>
        <v>19.163767557872621</v>
      </c>
      <c r="BH19" s="2">
        <f ca="1">AJ19-AVERAGE(AJ$2:AJ$31)+Sheet2!K$13</f>
        <v>30.632781061765307</v>
      </c>
      <c r="BI19" s="2">
        <f ca="1">AK19-AVERAGE(AK$2:AK$31)+Sheet2!L$13</f>
        <v>21.101785752342924</v>
      </c>
      <c r="BJ19" s="2">
        <f ca="1">AL19-AVERAGE(AL$2:AL$31)+Sheet2!M$13</f>
        <v>20.222466288498275</v>
      </c>
      <c r="BK19" s="2">
        <f ca="1">AM19-AVERAGE(AM$2:AM$31)+Sheet2!N$13</f>
        <v>6.6926633698669402</v>
      </c>
      <c r="BL19" s="2">
        <f ca="1">AN19-AVERAGE(AN$2:AN$31)+Sheet2!O$13</f>
        <v>5.1309426158934359</v>
      </c>
      <c r="BM19" s="2">
        <f ca="1">AO19-AVERAGE(AO$2:AO$31)+Sheet2!P$13</f>
        <v>18.739244861727581</v>
      </c>
      <c r="BN19" s="2">
        <f ca="1">AP19-AVERAGE(AP$2:AP$31)+Sheet2!Q$13</f>
        <v>11.330325461244739</v>
      </c>
      <c r="BO19" s="2">
        <f ca="1">AQ19-AVERAGE(AQ$2:AQ$31)+Sheet2!R$13</f>
        <v>8.3795454834961376</v>
      </c>
      <c r="BP19" s="2">
        <f ca="1">AR19-AVERAGE(AR$2:AR$31)+Sheet2!S$13</f>
        <v>3.7402454927947666</v>
      </c>
      <c r="BQ19" s="2">
        <f ca="1">AS19-AVERAGE(AS$2:AS$31)+Sheet2!T$13</f>
        <v>11.883350702718898</v>
      </c>
      <c r="BR19" s="2">
        <f ca="1">AT19-AVERAGE(AT$2:AT$31)+Sheet2!U$13</f>
        <v>23.972573108346392</v>
      </c>
      <c r="BS19" s="2">
        <f ca="1">AU19-AVERAGE(AU$2:AU$31)+Sheet2!V$13</f>
        <v>23.677520745605168</v>
      </c>
      <c r="BT19" s="2">
        <f ca="1">AV19-AVERAGE(AV$2:AV$31)+Sheet2!W$13</f>
        <v>21.970843282606687</v>
      </c>
      <c r="BU19" s="2">
        <f ca="1">AW19-AVERAGE(AW$2:AW$31)+Sheet2!X$13</f>
        <v>21.456003512829071</v>
      </c>
      <c r="BV19" s="2">
        <f ca="1">AX19-AVERAGE(AX$2:AX$31)+Sheet2!Y$13</f>
        <v>21.893152769066319</v>
      </c>
      <c r="BW19" s="2">
        <f ca="1">AY19-AVERAGE(AY$2:AY$31)+Sheet2!Z$13</f>
        <v>8.9324189126778055</v>
      </c>
      <c r="BZ19" s="2">
        <f ca="1">BA19-AVERAGE(BA$2:BA$31)+Sheet2!AB$13</f>
        <v>0.80934827085344963</v>
      </c>
      <c r="CA19" s="2">
        <f ca="1">BB19-AVERAGE(BB$2:BB$31)+Sheet2!AC$13</f>
        <v>-0.39149827364327094</v>
      </c>
      <c r="CB19" s="2">
        <f ca="1">BC19-AVERAGE(BC$2:BC$31)+Sheet2!AD$13</f>
        <v>-1.5553194532835564</v>
      </c>
      <c r="CC19" s="2">
        <f ca="1">BD19-AVERAGE(BD$2:BD$31)+Sheet2!AE$13</f>
        <v>1.2345534001617406</v>
      </c>
    </row>
    <row r="20" spans="2:81" x14ac:dyDescent="0.3">
      <c r="B20">
        <v>19</v>
      </c>
      <c r="C20" s="1">
        <v>1</v>
      </c>
      <c r="D20" s="2">
        <f t="shared" ca="1" si="3"/>
        <v>0.77040009691032119</v>
      </c>
      <c r="E20" s="2">
        <f t="shared" ca="1" si="3"/>
        <v>0.35142758144554875</v>
      </c>
      <c r="F20" s="2">
        <f t="shared" ca="1" si="3"/>
        <v>0.84345986213730706</v>
      </c>
      <c r="G20" s="2">
        <f t="shared" ca="1" si="3"/>
        <v>0.40402579876144651</v>
      </c>
      <c r="H20" s="2">
        <f t="shared" ca="1" si="3"/>
        <v>0.24325150170361709</v>
      </c>
      <c r="I20" s="2">
        <f t="shared" ca="1" si="3"/>
        <v>0.5729450491753878</v>
      </c>
      <c r="J20" s="2">
        <f t="shared" ca="1" si="3"/>
        <v>0.81033919531681786</v>
      </c>
      <c r="K20" s="2">
        <f t="shared" ca="1" si="3"/>
        <v>0.49527479547691244</v>
      </c>
      <c r="L20" s="2">
        <f t="shared" ca="1" si="3"/>
        <v>0.27901949449946006</v>
      </c>
      <c r="M20" s="2">
        <f t="shared" ca="1" si="3"/>
        <v>0.99647504720134572</v>
      </c>
      <c r="N20" s="2">
        <f t="shared" ca="1" si="3"/>
        <v>0.88415330907145673</v>
      </c>
      <c r="O20" s="2">
        <f t="shared" ca="1" si="3"/>
        <v>0.93195365989969059</v>
      </c>
      <c r="P20" s="2">
        <f t="shared" ca="1" si="3"/>
        <v>0.94635727535984748</v>
      </c>
      <c r="Q20" s="2">
        <f t="shared" ca="1" si="2"/>
        <v>0.19925813007652515</v>
      </c>
      <c r="R20" s="2">
        <f t="shared" ca="1" si="2"/>
        <v>0.83844352401149114</v>
      </c>
      <c r="S20" s="2">
        <f t="shared" ca="1" si="2"/>
        <v>0.29259626214524381</v>
      </c>
      <c r="T20" s="2">
        <f t="shared" ca="1" si="2"/>
        <v>0.97407681236398624</v>
      </c>
      <c r="U20" s="2">
        <f t="shared" ca="1" si="2"/>
        <v>0.71834100196969608</v>
      </c>
      <c r="V20" s="2">
        <f t="shared" ca="1" si="2"/>
        <v>0.32181962243590734</v>
      </c>
      <c r="W20" s="2">
        <f t="shared" ca="1" si="2"/>
        <v>0.70386637989126322</v>
      </c>
      <c r="X20" s="2">
        <f t="shared" ca="1" si="2"/>
        <v>0.41453162595553328</v>
      </c>
      <c r="Y20" s="2">
        <f t="shared" ca="1" si="2"/>
        <v>0.10450203911078859</v>
      </c>
      <c r="Z20" s="2">
        <f t="shared" ca="1" si="2"/>
        <v>0.43092158481344955</v>
      </c>
      <c r="AA20" s="2">
        <f t="shared" ca="1" si="2"/>
        <v>0.373627491598297</v>
      </c>
      <c r="AB20" s="2">
        <f ca="1">D20*Sheet2!C$14/_xlfn.STDEV.S(D$2:D$31)</f>
        <v>1.545899779021441</v>
      </c>
      <c r="AC20" s="2">
        <f ca="1">E20*Sheet2!D$14/_xlfn.STDEV.S(E$2:E$31)</f>
        <v>2.5775037266877843</v>
      </c>
      <c r="AD20" s="2">
        <f ca="1">F20*Sheet2!E$14/_xlfn.STDEV.S(F$2:F$31)</f>
        <v>3.9379873310906044</v>
      </c>
      <c r="AE20" s="2">
        <f ca="1">G20*Sheet2!F$14/_xlfn.STDEV.S(G$2:G$31)</f>
        <v>3.2944895884469045</v>
      </c>
      <c r="AF20" s="2">
        <f ca="1">H20*Sheet2!G$14/_xlfn.STDEV.S(H$2:H$31)</f>
        <v>1.5621805033551066</v>
      </c>
      <c r="AG20" s="2">
        <f ca="1">I20*Sheet2!H$14/_xlfn.STDEV.S(I$2:I$31)</f>
        <v>6.1761068802059951</v>
      </c>
      <c r="AH20" s="2">
        <f ca="1">J20*Sheet2!I$14/_xlfn.STDEV.S(J$2:J$31)</f>
        <v>1.9751800786370326</v>
      </c>
      <c r="AI20" s="2">
        <f ca="1">K20*Sheet2!J$14/_xlfn.STDEV.S(K$2:K$31)</f>
        <v>1.4548604735423794</v>
      </c>
      <c r="AJ20" s="2">
        <f ca="1">L20*Sheet2!K$14/_xlfn.STDEV.S(L$2:L$31)</f>
        <v>1.2502507748640086</v>
      </c>
      <c r="AK20" s="2">
        <f ca="1">M20*Sheet2!L$14/_xlfn.STDEV.S(M$2:M$31)</f>
        <v>5.9384062926187973</v>
      </c>
      <c r="AL20" s="2">
        <f ca="1">N20*Sheet2!M$14/_xlfn.STDEV.S(N$2:N$31)</f>
        <v>3.3488639537880776</v>
      </c>
      <c r="AM20" s="2">
        <f ca="1">O20*Sheet2!N$14/_xlfn.STDEV.S(O$2:O$31)</f>
        <v>3.1652252859058896</v>
      </c>
      <c r="AN20" s="2">
        <f ca="1">P20*Sheet2!O$14/_xlfn.STDEV.S(P$2:P$31)</f>
        <v>3.5738055058219325</v>
      </c>
      <c r="AO20" s="2">
        <f ca="1">Q20*Sheet2!P$14/_xlfn.STDEV.S(Q$2:Q$31)</f>
        <v>1.5323303334551892</v>
      </c>
      <c r="AP20" s="2">
        <f ca="1">R20*Sheet2!Q$14/_xlfn.STDEV.S(R$2:R$31)</f>
        <v>3.9724341643077965</v>
      </c>
      <c r="AQ20" s="2">
        <f ca="1">S20*Sheet2!R$14/_xlfn.STDEV.S(S$2:S$31)</f>
        <v>0.97752987285841231</v>
      </c>
      <c r="AR20" s="2">
        <f ca="1">T20*Sheet2!S$14/_xlfn.STDEV.S(T$2:T$31)</f>
        <v>2.2760124845873464</v>
      </c>
      <c r="AS20" s="2">
        <f ca="1">U20*Sheet2!T$14/_xlfn.STDEV.S(U$2:U$31)</f>
        <v>3.1136112854381279</v>
      </c>
      <c r="AT20" s="2">
        <f ca="1">V20*Sheet2!U$14/_xlfn.STDEV.S(V$2:V$31)</f>
        <v>1.3023250387785115</v>
      </c>
      <c r="AU20" s="2">
        <f ca="1">W20*Sheet2!V$14/_xlfn.STDEV.S(W$2:W$31)</f>
        <v>2.3874440979228004</v>
      </c>
      <c r="AV20" s="2">
        <f ca="1">X20*Sheet2!W$14/_xlfn.STDEV.S(X$2:X$31)</f>
        <v>2.2522231073609684</v>
      </c>
      <c r="AW20" s="2">
        <f ca="1">Y20*Sheet2!X$14/_xlfn.STDEV.S(Y$2:Y$31)</f>
        <v>0.23316043334300102</v>
      </c>
      <c r="AX20" s="2">
        <f ca="1">Z20*Sheet2!Y$14/_xlfn.STDEV.S(Z$2:Z$31)</f>
        <v>1.8945112041978718</v>
      </c>
      <c r="AY20" s="2">
        <f ca="1">AA20*Sheet2!Z$14/_xlfn.STDEV.S(AA$2:AA$31)</f>
        <v>0.8962224411319637</v>
      </c>
      <c r="AZ20" s="2">
        <f ca="1">AB20-AVERAGE(AB$2:AB$31)+Sheet2!C$13</f>
        <v>3.8041175971310643</v>
      </c>
      <c r="BA20" s="2">
        <f ca="1">AC20-AVERAGE(AC$2:AC$31)+Sheet2!D$13</f>
        <v>5.5820382225404677</v>
      </c>
      <c r="BB20" s="2">
        <f ca="1">AD20-AVERAGE(AD$2:AD$31)+Sheet2!E$13</f>
        <v>19.61234080222571</v>
      </c>
      <c r="BC20" s="2">
        <f ca="1">AE20-AVERAGE(AE$2:AE$31)+Sheet2!F$13</f>
        <v>20.270704899410628</v>
      </c>
      <c r="BD20" s="2">
        <f ca="1">AF20-AVERAGE(AF$2:AF$31)+Sheet2!G$13</f>
        <v>17.649063161451672</v>
      </c>
      <c r="BE20" s="2">
        <f ca="1">AG20-AVERAGE(AG$2:AG$31)+Sheet2!H$13</f>
        <v>29.796921843373763</v>
      </c>
      <c r="BF20" s="2">
        <f ca="1">AH20-AVERAGE(AH$2:AH$31)+Sheet2!I$13</f>
        <v>12.760365470623212</v>
      </c>
      <c r="BG20" s="2">
        <f ca="1">AI20-AVERAGE(AI$2:AI$31)+Sheet2!J$13</f>
        <v>19.696229267148013</v>
      </c>
      <c r="BH20" s="2">
        <f ca="1">AJ20-AVERAGE(AJ$2:AJ$31)+Sheet2!K$13</f>
        <v>27.485038967602044</v>
      </c>
      <c r="BI20" s="2">
        <f ca="1">AK20-AVERAGE(AK$2:AK$31)+Sheet2!L$13</f>
        <v>22.878190202495485</v>
      </c>
      <c r="BJ20" s="2">
        <f ca="1">AL20-AVERAGE(AL$2:AL$31)+Sheet2!M$13</f>
        <v>21.485804744015645</v>
      </c>
      <c r="BK20" s="2">
        <f ca="1">AM20-AVERAGE(AM$2:AM$31)+Sheet2!N$13</f>
        <v>9.7083434363880183</v>
      </c>
      <c r="BL20" s="2">
        <f ca="1">AN20-AVERAGE(AN$2:AN$31)+Sheet2!O$13</f>
        <v>7.6832944934415135</v>
      </c>
      <c r="BM20" s="2">
        <f ca="1">AO20-AVERAGE(AO$2:AO$31)+Sheet2!P$13</f>
        <v>20.232939279028766</v>
      </c>
      <c r="BN20" s="2">
        <f ca="1">AP20-AVERAGE(AP$2:AP$31)+Sheet2!Q$13</f>
        <v>15.26298633257009</v>
      </c>
      <c r="BO20" s="2">
        <f ca="1">AQ20-AVERAGE(AQ$2:AQ$31)+Sheet2!R$13</f>
        <v>9.0821596327709955</v>
      </c>
      <c r="BP20" s="2">
        <f ca="1">AR20-AVERAGE(AR$2:AR$31)+Sheet2!S$13</f>
        <v>4.9171175832749849</v>
      </c>
      <c r="BQ20" s="2">
        <f ca="1">AS20-AVERAGE(AS$2:AS$31)+Sheet2!T$13</f>
        <v>13.788170706734341</v>
      </c>
      <c r="BR20" s="2">
        <f ca="1">AT20-AVERAGE(AT$2:AT$31)+Sheet2!U$13</f>
        <v>22.692500514886348</v>
      </c>
      <c r="BS20" s="2">
        <f ca="1">AU20-AVERAGE(AU$2:AU$31)+Sheet2!V$13</f>
        <v>24.591322829306602</v>
      </c>
      <c r="BT20" s="2">
        <f ca="1">AV20-AVERAGE(AV$2:AV$31)+Sheet2!W$13</f>
        <v>24.06619962123106</v>
      </c>
      <c r="BU20" s="2">
        <f ca="1">AW20-AVERAGE(AW$2:AW$31)+Sheet2!X$13</f>
        <v>20.64318864052256</v>
      </c>
      <c r="BV20" s="2">
        <f ca="1">AX20-AVERAGE(AX$2:AX$31)+Sheet2!Y$13</f>
        <v>21.52795515215756</v>
      </c>
      <c r="BW20" s="2">
        <f ca="1">AY20-AVERAGE(AY$2:AY$31)+Sheet2!Z$13</f>
        <v>7.7814121635171247</v>
      </c>
      <c r="BZ20" s="2">
        <f ca="1">BA20-AVERAGE(BA$2:BA$31)+Sheet2!AB$13</f>
        <v>-1.1821733027994974</v>
      </c>
      <c r="CA20" s="2">
        <f ca="1">BB20-AVERAGE(BB$2:BB$31)+Sheet2!AC$13</f>
        <v>0.98839131087828591</v>
      </c>
      <c r="CB20" s="2">
        <f ca="1">BC20-AVERAGE(BC$2:BC$31)+Sheet2!AD$13</f>
        <v>-0.82015620179480297</v>
      </c>
      <c r="CC20" s="2">
        <f ca="1">BD20-AVERAGE(BD$2:BD$31)+Sheet2!AE$13</f>
        <v>-1.5127198040924763</v>
      </c>
    </row>
    <row r="21" spans="2:81" x14ac:dyDescent="0.3">
      <c r="B21">
        <v>20</v>
      </c>
      <c r="C21" s="1">
        <v>1</v>
      </c>
      <c r="D21" s="2">
        <f t="shared" ca="1" si="3"/>
        <v>0.56550746010176189</v>
      </c>
      <c r="E21" s="2">
        <f t="shared" ca="1" si="3"/>
        <v>0.74685860922623049</v>
      </c>
      <c r="F21" s="2">
        <f t="shared" ca="1" si="3"/>
        <v>0.38205953556043348</v>
      </c>
      <c r="G21" s="2">
        <f t="shared" ca="1" si="3"/>
        <v>0.60707024150061806</v>
      </c>
      <c r="H21" s="2">
        <f t="shared" ca="1" si="3"/>
        <v>0.32482919708350444</v>
      </c>
      <c r="I21" s="2">
        <f t="shared" ca="1" si="3"/>
        <v>0.61987130470195639</v>
      </c>
      <c r="J21" s="2">
        <f t="shared" ca="1" si="3"/>
        <v>0.54849637673171237</v>
      </c>
      <c r="K21" s="2">
        <f t="shared" ca="1" si="3"/>
        <v>0.11887099072436647</v>
      </c>
      <c r="L21" s="2">
        <f t="shared" ca="1" si="3"/>
        <v>0.97438215746856072</v>
      </c>
      <c r="M21" s="2">
        <f t="shared" ca="1" si="3"/>
        <v>0.50982501188709062</v>
      </c>
      <c r="N21" s="2">
        <f t="shared" ca="1" si="3"/>
        <v>0.59025063085638774</v>
      </c>
      <c r="O21" s="2">
        <f t="shared" ca="1" si="3"/>
        <v>0.93846831493024885</v>
      </c>
      <c r="P21" s="2">
        <f t="shared" ca="1" si="3"/>
        <v>0.75687944112517591</v>
      </c>
      <c r="Q21" s="2">
        <f t="shared" ca="1" si="2"/>
        <v>0.3078846669682479</v>
      </c>
      <c r="R21" s="2">
        <f t="shared" ca="1" si="2"/>
        <v>0.28867238461905043</v>
      </c>
      <c r="S21" s="2">
        <f t="shared" ca="1" si="2"/>
        <v>0.33658221058168258</v>
      </c>
      <c r="T21" s="2">
        <f t="shared" ca="1" si="2"/>
        <v>0.59180978134634921</v>
      </c>
      <c r="U21" s="2">
        <f t="shared" ca="1" si="2"/>
        <v>0.43609462826800871</v>
      </c>
      <c r="V21" s="2">
        <f t="shared" ca="1" si="2"/>
        <v>0.87007618494829519</v>
      </c>
      <c r="W21" s="2">
        <f t="shared" ca="1" si="2"/>
        <v>0.92269556353434967</v>
      </c>
      <c r="X21" s="2">
        <f t="shared" ca="1" si="2"/>
        <v>0.27018159260460739</v>
      </c>
      <c r="Y21" s="2">
        <f t="shared" ca="1" si="2"/>
        <v>0.3713323591645854</v>
      </c>
      <c r="Z21" s="2">
        <f t="shared" ca="1" si="2"/>
        <v>0.73929933763036138</v>
      </c>
      <c r="AA21" s="2">
        <f t="shared" ca="1" si="2"/>
        <v>0.41819737023070236</v>
      </c>
      <c r="AB21" s="2">
        <f ca="1">D21*Sheet2!C$14/_xlfn.STDEV.S(D$2:D$31)</f>
        <v>1.1347582394035627</v>
      </c>
      <c r="AC21" s="2">
        <f ca="1">E21*Sheet2!D$14/_xlfn.STDEV.S(E$2:E$31)</f>
        <v>5.4777454879071144</v>
      </c>
      <c r="AD21" s="2">
        <f ca="1">F21*Sheet2!E$14/_xlfn.STDEV.S(F$2:F$31)</f>
        <v>1.7837785510585706</v>
      </c>
      <c r="AE21" s="2">
        <f ca="1">G21*Sheet2!F$14/_xlfn.STDEV.S(G$2:G$31)</f>
        <v>4.9501457486397014</v>
      </c>
      <c r="AF21" s="2">
        <f ca="1">H21*Sheet2!G$14/_xlfn.STDEV.S(H$2:H$31)</f>
        <v>2.0860789555273631</v>
      </c>
      <c r="AG21" s="2">
        <f ca="1">I21*Sheet2!H$14/_xlfn.STDEV.S(I$2:I$31)</f>
        <v>6.6819521965012854</v>
      </c>
      <c r="AH21" s="2">
        <f ca="1">J21*Sheet2!I$14/_xlfn.STDEV.S(J$2:J$31)</f>
        <v>1.336945223415366</v>
      </c>
      <c r="AI21" s="2">
        <f ca="1">K21*Sheet2!J$14/_xlfn.STDEV.S(K$2:K$31)</f>
        <v>0.34918131799776864</v>
      </c>
      <c r="AJ21" s="2">
        <f ca="1">L21*Sheet2!K$14/_xlfn.STDEV.S(L$2:L$31)</f>
        <v>4.3660821964219059</v>
      </c>
      <c r="AK21" s="2">
        <f ca="1">M21*Sheet2!L$14/_xlfn.STDEV.S(M$2:M$31)</f>
        <v>3.0382577739681338</v>
      </c>
      <c r="AL21" s="2">
        <f ca="1">N21*Sheet2!M$14/_xlfn.STDEV.S(N$2:N$31)</f>
        <v>2.2356632510390528</v>
      </c>
      <c r="AM21" s="2">
        <f ca="1">O21*Sheet2!N$14/_xlfn.STDEV.S(O$2:O$31)</f>
        <v>3.1873512259809536</v>
      </c>
      <c r="AN21" s="2">
        <f ca="1">P21*Sheet2!O$14/_xlfn.STDEV.S(P$2:P$31)</f>
        <v>2.8582650383366488</v>
      </c>
      <c r="AO21" s="2">
        <f ca="1">Q21*Sheet2!P$14/_xlfn.STDEV.S(Q$2:Q$31)</f>
        <v>2.3676876532967941</v>
      </c>
      <c r="AP21" s="2">
        <f ca="1">R21*Sheet2!Q$14/_xlfn.STDEV.S(R$2:R$31)</f>
        <v>1.3676914545972449</v>
      </c>
      <c r="AQ21" s="2">
        <f ca="1">S21*Sheet2!R$14/_xlfn.STDEV.S(S$2:S$31)</f>
        <v>1.1244817794459436</v>
      </c>
      <c r="AR21" s="2">
        <f ca="1">T21*Sheet2!S$14/_xlfn.STDEV.S(T$2:T$31)</f>
        <v>1.3828133816020594</v>
      </c>
      <c r="AS21" s="2">
        <f ca="1">U21*Sheet2!T$14/_xlfn.STDEV.S(U$2:U$31)</f>
        <v>1.8902292259122619</v>
      </c>
      <c r="AT21" s="2">
        <f ca="1">V21*Sheet2!U$14/_xlfn.STDEV.S(V$2:V$31)</f>
        <v>3.5209848073472187</v>
      </c>
      <c r="AU21" s="2">
        <f ca="1">W21*Sheet2!V$14/_xlfn.STDEV.S(W$2:W$31)</f>
        <v>3.1296907201050685</v>
      </c>
      <c r="AV21" s="2">
        <f ca="1">X21*Sheet2!W$14/_xlfn.STDEV.S(X$2:X$31)</f>
        <v>1.4679440311580927</v>
      </c>
      <c r="AW21" s="2">
        <f ca="1">Y21*Sheet2!X$14/_xlfn.STDEV.S(Y$2:Y$31)</f>
        <v>0.82850071169716788</v>
      </c>
      <c r="AX21" s="2">
        <f ca="1">Z21*Sheet2!Y$14/_xlfn.STDEV.S(Z$2:Z$31)</f>
        <v>3.250268558728902</v>
      </c>
      <c r="AY21" s="2">
        <f ca="1">AA21*Sheet2!Z$14/_xlfn.STDEV.S(AA$2:AA$31)</f>
        <v>1.003132468705191</v>
      </c>
      <c r="AZ21" s="2">
        <f ca="1">AB21-AVERAGE(AB$2:AB$31)+Sheet2!C$13</f>
        <v>3.3929760575131862</v>
      </c>
      <c r="BA21" s="2">
        <f ca="1">AC21-AVERAGE(AC$2:AC$31)+Sheet2!D$13</f>
        <v>8.4822799837597973</v>
      </c>
      <c r="BB21" s="2">
        <f ca="1">AD21-AVERAGE(AD$2:AD$31)+Sheet2!E$13</f>
        <v>17.458132022193674</v>
      </c>
      <c r="BC21" s="2">
        <f ca="1">AE21-AVERAGE(AE$2:AE$31)+Sheet2!F$13</f>
        <v>21.926361059603423</v>
      </c>
      <c r="BD21" s="2">
        <f ca="1">AF21-AVERAGE(AF$2:AF$31)+Sheet2!G$13</f>
        <v>18.172961613623926</v>
      </c>
      <c r="BE21" s="2">
        <f ca="1">AG21-AVERAGE(AG$2:AG$31)+Sheet2!H$13</f>
        <v>30.302767159669052</v>
      </c>
      <c r="BF21" s="2">
        <f ca="1">AH21-AVERAGE(AH$2:AH$31)+Sheet2!I$13</f>
        <v>12.122130615401545</v>
      </c>
      <c r="BG21" s="2">
        <f ca="1">AI21-AVERAGE(AI$2:AI$31)+Sheet2!J$13</f>
        <v>18.590550111603402</v>
      </c>
      <c r="BH21" s="2">
        <f ca="1">AJ21-AVERAGE(AJ$2:AJ$31)+Sheet2!K$13</f>
        <v>30.600870389159944</v>
      </c>
      <c r="BI21" s="2">
        <f ca="1">AK21-AVERAGE(AK$2:AK$31)+Sheet2!L$13</f>
        <v>19.978041683844822</v>
      </c>
      <c r="BJ21" s="2">
        <f ca="1">AL21-AVERAGE(AL$2:AL$31)+Sheet2!M$13</f>
        <v>20.372604041266619</v>
      </c>
      <c r="BK21" s="2">
        <f ca="1">AM21-AVERAGE(AM$2:AM$31)+Sheet2!N$13</f>
        <v>9.7304693764630823</v>
      </c>
      <c r="BL21" s="2">
        <f ca="1">AN21-AVERAGE(AN$2:AN$31)+Sheet2!O$13</f>
        <v>6.9677540259562294</v>
      </c>
      <c r="BM21" s="2">
        <f ca="1">AO21-AVERAGE(AO$2:AO$31)+Sheet2!P$13</f>
        <v>21.068296598870372</v>
      </c>
      <c r="BN21" s="2">
        <f ca="1">AP21-AVERAGE(AP$2:AP$31)+Sheet2!Q$13</f>
        <v>12.658243622859539</v>
      </c>
      <c r="BO21" s="2">
        <f ca="1">AQ21-AVERAGE(AQ$2:AQ$31)+Sheet2!R$13</f>
        <v>9.2291115393585272</v>
      </c>
      <c r="BP21" s="2">
        <f ca="1">AR21-AVERAGE(AR$2:AR$31)+Sheet2!S$13</f>
        <v>4.0239184802896979</v>
      </c>
      <c r="BQ21" s="2">
        <f ca="1">AS21-AVERAGE(AS$2:AS$31)+Sheet2!T$13</f>
        <v>12.564788647208474</v>
      </c>
      <c r="BR21" s="2">
        <f ca="1">AT21-AVERAGE(AT$2:AT$31)+Sheet2!U$13</f>
        <v>24.911160283455054</v>
      </c>
      <c r="BS21" s="2">
        <f ca="1">AU21-AVERAGE(AU$2:AU$31)+Sheet2!V$13</f>
        <v>25.33356945148887</v>
      </c>
      <c r="BT21" s="2">
        <f ca="1">AV21-AVERAGE(AV$2:AV$31)+Sheet2!W$13</f>
        <v>23.281920545028186</v>
      </c>
      <c r="BU21" s="2">
        <f ca="1">AW21-AVERAGE(AW$2:AW$31)+Sheet2!X$13</f>
        <v>21.238528918876728</v>
      </c>
      <c r="BV21" s="2">
        <f ca="1">AX21-AVERAGE(AX$2:AX$31)+Sheet2!Y$13</f>
        <v>22.883712506688592</v>
      </c>
      <c r="BW21" s="2">
        <f ca="1">AY21-AVERAGE(AY$2:AY$31)+Sheet2!Z$13</f>
        <v>7.888322191090352</v>
      </c>
      <c r="BZ21" s="2">
        <f ca="1">BA21-AVERAGE(BA$2:BA$31)+Sheet2!AB$13</f>
        <v>1.7180684584198322</v>
      </c>
      <c r="CA21" s="2">
        <f ca="1">BB21-AVERAGE(BB$2:BB$31)+Sheet2!AC$13</f>
        <v>-1.1658174691537502</v>
      </c>
      <c r="CB21" s="2">
        <f ca="1">BC21-AVERAGE(BC$2:BC$31)+Sheet2!AD$13</f>
        <v>0.83549995839799163</v>
      </c>
      <c r="CC21" s="2">
        <f ca="1">BD21-AVERAGE(BD$2:BD$31)+Sheet2!AE$13</f>
        <v>-0.98882135192022191</v>
      </c>
    </row>
    <row r="22" spans="2:81" x14ac:dyDescent="0.3">
      <c r="B22">
        <v>21</v>
      </c>
      <c r="C22" s="1">
        <v>1</v>
      </c>
      <c r="D22" s="2">
        <f t="shared" ca="1" si="3"/>
        <v>0.77506783633852738</v>
      </c>
      <c r="E22" s="2">
        <f t="shared" ca="1" si="3"/>
        <v>0.39820576473196378</v>
      </c>
      <c r="F22" s="2">
        <f t="shared" ca="1" si="3"/>
        <v>0.32328990652194156</v>
      </c>
      <c r="G22" s="2">
        <f t="shared" ca="1" si="3"/>
        <v>0.74911105995539762</v>
      </c>
      <c r="H22" s="2">
        <f t="shared" ca="1" si="3"/>
        <v>0.31265091859341299</v>
      </c>
      <c r="I22" s="2">
        <f t="shared" ca="1" si="3"/>
        <v>0.60288329863363033</v>
      </c>
      <c r="J22" s="2">
        <f t="shared" ca="1" si="3"/>
        <v>0.75825296996729408</v>
      </c>
      <c r="K22" s="2">
        <f t="shared" ca="1" si="3"/>
        <v>0.5869408708079572</v>
      </c>
      <c r="L22" s="2">
        <f t="shared" ca="1" si="3"/>
        <v>0.27658081017025038</v>
      </c>
      <c r="M22" s="2">
        <f t="shared" ca="1" si="3"/>
        <v>0.53049068820463607</v>
      </c>
      <c r="N22" s="2">
        <f t="shared" ca="1" si="3"/>
        <v>0.3390923119944601</v>
      </c>
      <c r="O22" s="2">
        <f t="shared" ca="1" si="3"/>
        <v>0.83762528601012332</v>
      </c>
      <c r="P22" s="2">
        <f t="shared" ca="1" si="3"/>
        <v>0.80775725124419573</v>
      </c>
      <c r="Q22" s="2">
        <f t="shared" ca="1" si="3"/>
        <v>0.1404880634806317</v>
      </c>
      <c r="R22" s="2">
        <f t="shared" ca="1" si="3"/>
        <v>0.21270501571894962</v>
      </c>
      <c r="S22" s="2">
        <f t="shared" ca="1" si="3"/>
        <v>0.11715315856867714</v>
      </c>
      <c r="T22" s="2">
        <f t="shared" ca="1" si="2"/>
        <v>0.92620084726675278</v>
      </c>
      <c r="U22" s="2">
        <f t="shared" ca="1" si="2"/>
        <v>1.3158421988555991E-2</v>
      </c>
      <c r="V22" s="2">
        <f t="shared" ca="1" si="2"/>
        <v>0.8537410079640092</v>
      </c>
      <c r="W22" s="2">
        <f t="shared" ca="1" si="2"/>
        <v>0.86925000503967442</v>
      </c>
      <c r="X22" s="2">
        <f t="shared" ca="1" si="2"/>
        <v>0.61836801831400001</v>
      </c>
      <c r="Y22" s="2">
        <f t="shared" ca="1" si="2"/>
        <v>0.3565903732458594</v>
      </c>
      <c r="Z22" s="2">
        <f t="shared" ca="1" si="2"/>
        <v>0.73608401892804842</v>
      </c>
      <c r="AA22" s="2">
        <f t="shared" ca="1" si="2"/>
        <v>0.85973384053231205</v>
      </c>
      <c r="AB22" s="2">
        <f ca="1">D22*Sheet2!C$14/_xlfn.STDEV.S(D$2:D$31)</f>
        <v>1.5552661555049496</v>
      </c>
      <c r="AC22" s="2">
        <f ca="1">E22*Sheet2!D$14/_xlfn.STDEV.S(E$2:E$31)</f>
        <v>2.9205927388036437</v>
      </c>
      <c r="AD22" s="2">
        <f ca="1">F22*Sheet2!E$14/_xlfn.STDEV.S(F$2:F$31)</f>
        <v>1.5093919856800742</v>
      </c>
      <c r="AE22" s="2">
        <f ca="1">G22*Sheet2!F$14/_xlfn.STDEV.S(G$2:G$31)</f>
        <v>6.1083688100587237</v>
      </c>
      <c r="AF22" s="2">
        <f ca="1">H22*Sheet2!G$14/_xlfn.STDEV.S(H$2:H$31)</f>
        <v>2.0078690818435008</v>
      </c>
      <c r="AG22" s="2">
        <f ca="1">I22*Sheet2!H$14/_xlfn.STDEV.S(I$2:I$31)</f>
        <v>6.4988286293972912</v>
      </c>
      <c r="AH22" s="2">
        <f ca="1">J22*Sheet2!I$14/_xlfn.STDEV.S(J$2:J$31)</f>
        <v>1.8482212997992942</v>
      </c>
      <c r="AI22" s="2">
        <f ca="1">K22*Sheet2!J$14/_xlfn.STDEV.S(K$2:K$31)</f>
        <v>1.7241278600151317</v>
      </c>
      <c r="AJ22" s="2">
        <f ca="1">L22*Sheet2!K$14/_xlfn.STDEV.S(L$2:L$31)</f>
        <v>1.2393233413607949</v>
      </c>
      <c r="AK22" s="2">
        <f ca="1">M22*Sheet2!L$14/_xlfn.STDEV.S(M$2:M$31)</f>
        <v>3.1614130728689989</v>
      </c>
      <c r="AL22" s="2">
        <f ca="1">N22*Sheet2!M$14/_xlfn.STDEV.S(N$2:N$31)</f>
        <v>1.2843632535148173</v>
      </c>
      <c r="AM22" s="2">
        <f ca="1">O22*Sheet2!N$14/_xlfn.STDEV.S(O$2:O$31)</f>
        <v>2.8448546848120762</v>
      </c>
      <c r="AN22" s="2">
        <f ca="1">P22*Sheet2!O$14/_xlfn.STDEV.S(P$2:P$31)</f>
        <v>3.0503990269070616</v>
      </c>
      <c r="AO22" s="2">
        <f ca="1">Q22*Sheet2!P$14/_xlfn.STDEV.S(Q$2:Q$31)</f>
        <v>1.0803781059125368</v>
      </c>
      <c r="AP22" s="2">
        <f ca="1">R22*Sheet2!Q$14/_xlfn.STDEV.S(R$2:R$31)</f>
        <v>1.0077681408032464</v>
      </c>
      <c r="AQ22" s="2">
        <f ca="1">S22*Sheet2!R$14/_xlfn.STDEV.S(S$2:S$31)</f>
        <v>0.39139499377388726</v>
      </c>
      <c r="AR22" s="2">
        <f ca="1">T22*Sheet2!S$14/_xlfn.STDEV.S(T$2:T$31)</f>
        <v>2.1641462612157816</v>
      </c>
      <c r="AS22" s="2">
        <f ca="1">U22*Sheet2!T$14/_xlfn.STDEV.S(U$2:U$31)</f>
        <v>5.7034487923958876E-2</v>
      </c>
      <c r="AT22" s="2">
        <f ca="1">V22*Sheet2!U$14/_xlfn.STDEV.S(V$2:V$31)</f>
        <v>3.4548803546774596</v>
      </c>
      <c r="AU22" s="2">
        <f ca="1">W22*Sheet2!V$14/_xlfn.STDEV.S(W$2:W$31)</f>
        <v>2.9484087512063524</v>
      </c>
      <c r="AV22" s="2">
        <f ca="1">X22*Sheet2!W$14/_xlfn.STDEV.S(X$2:X$31)</f>
        <v>3.3597020166784488</v>
      </c>
      <c r="AW22" s="2">
        <f ca="1">Y22*Sheet2!X$14/_xlfn.STDEV.S(Y$2:Y$31)</f>
        <v>0.79560902982766346</v>
      </c>
      <c r="AX22" s="2">
        <f ca="1">Z22*Sheet2!Y$14/_xlfn.STDEV.S(Z$2:Z$31)</f>
        <v>3.2361326752612962</v>
      </c>
      <c r="AY22" s="2">
        <f ca="1">AA22*Sheet2!Z$14/_xlfn.STDEV.S(AA$2:AA$31)</f>
        <v>2.0622485727416398</v>
      </c>
      <c r="AZ22" s="2">
        <f ca="1">AB22-AVERAGE(AB$2:AB$31)+Sheet2!C$13</f>
        <v>3.8134839736145731</v>
      </c>
      <c r="BA22" s="2">
        <f ca="1">AC22-AVERAGE(AC$2:AC$31)+Sheet2!D$13</f>
        <v>5.9251272346563271</v>
      </c>
      <c r="BB22" s="2">
        <f ca="1">AD22-AVERAGE(AD$2:AD$31)+Sheet2!E$13</f>
        <v>17.183745456815178</v>
      </c>
      <c r="BC22" s="2">
        <f ca="1">AE22-AVERAGE(AE$2:AE$31)+Sheet2!F$13</f>
        <v>23.084584121022445</v>
      </c>
      <c r="BD22" s="2">
        <f ca="1">AF22-AVERAGE(AF$2:AF$31)+Sheet2!G$13</f>
        <v>18.094751739940065</v>
      </c>
      <c r="BE22" s="2">
        <f ca="1">AG22-AVERAGE(AG$2:AG$31)+Sheet2!H$13</f>
        <v>30.119643592565058</v>
      </c>
      <c r="BF22" s="2">
        <f ca="1">AH22-AVERAGE(AH$2:AH$31)+Sheet2!I$13</f>
        <v>12.633406691785474</v>
      </c>
      <c r="BG22" s="2">
        <f ca="1">AI22-AVERAGE(AI$2:AI$31)+Sheet2!J$13</f>
        <v>19.965496653620765</v>
      </c>
      <c r="BH22" s="2">
        <f ca="1">AJ22-AVERAGE(AJ$2:AJ$31)+Sheet2!K$13</f>
        <v>27.474111534098832</v>
      </c>
      <c r="BI22" s="2">
        <f ca="1">AK22-AVERAGE(AK$2:AK$31)+Sheet2!L$13</f>
        <v>20.101196982745684</v>
      </c>
      <c r="BJ22" s="2">
        <f ca="1">AL22-AVERAGE(AL$2:AL$31)+Sheet2!M$13</f>
        <v>19.421304043742385</v>
      </c>
      <c r="BK22" s="2">
        <f ca="1">AM22-AVERAGE(AM$2:AM$31)+Sheet2!N$13</f>
        <v>9.3879728352942049</v>
      </c>
      <c r="BL22" s="2">
        <f ca="1">AN22-AVERAGE(AN$2:AN$31)+Sheet2!O$13</f>
        <v>7.1598880145266417</v>
      </c>
      <c r="BM22" s="2">
        <f ca="1">AO22-AVERAGE(AO$2:AO$31)+Sheet2!P$13</f>
        <v>19.780987051486115</v>
      </c>
      <c r="BN22" s="2">
        <f ca="1">AP22-AVERAGE(AP$2:AP$31)+Sheet2!Q$13</f>
        <v>12.29832030906554</v>
      </c>
      <c r="BO22" s="2">
        <f ca="1">AQ22-AVERAGE(AQ$2:AQ$31)+Sheet2!R$13</f>
        <v>8.4960247536864717</v>
      </c>
      <c r="BP22" s="2">
        <f ca="1">AR22-AVERAGE(AR$2:AR$31)+Sheet2!S$13</f>
        <v>4.8052513599034201</v>
      </c>
      <c r="BQ22" s="2">
        <f ca="1">AS22-AVERAGE(AS$2:AS$31)+Sheet2!T$13</f>
        <v>10.731593909220171</v>
      </c>
      <c r="BR22" s="2">
        <f ca="1">AT22-AVERAGE(AT$2:AT$31)+Sheet2!U$13</f>
        <v>24.845055830785295</v>
      </c>
      <c r="BS22" s="2">
        <f ca="1">AU22-AVERAGE(AU$2:AU$31)+Sheet2!V$13</f>
        <v>25.152287482590154</v>
      </c>
      <c r="BT22" s="2">
        <f ca="1">AV22-AVERAGE(AV$2:AV$31)+Sheet2!W$13</f>
        <v>25.173678530548543</v>
      </c>
      <c r="BU22" s="2">
        <f ca="1">AW22-AVERAGE(AW$2:AW$31)+Sheet2!X$13</f>
        <v>21.205637237007224</v>
      </c>
      <c r="BV22" s="2">
        <f ca="1">AX22-AVERAGE(AX$2:AX$31)+Sheet2!Y$13</f>
        <v>22.869576623220986</v>
      </c>
      <c r="BW22" s="2">
        <f ca="1">AY22-AVERAGE(AY$2:AY$31)+Sheet2!Z$13</f>
        <v>8.9474382951268012</v>
      </c>
      <c r="BZ22" s="2">
        <f ca="1">BA22-AVERAGE(BA$2:BA$31)+Sheet2!AB$13</f>
        <v>-0.83908429068363799</v>
      </c>
      <c r="CA22" s="2">
        <f ca="1">BB22-AVERAGE(BB$2:BB$31)+Sheet2!AC$13</f>
        <v>-1.440204034532246</v>
      </c>
      <c r="CB22" s="2">
        <f ca="1">BC22-AVERAGE(BC$2:BC$31)+Sheet2!AD$13</f>
        <v>1.9937230198170139</v>
      </c>
      <c r="CC22" s="2">
        <f ca="1">BD22-AVERAGE(BD$2:BD$31)+Sheet2!AE$13</f>
        <v>-1.0670312256040826</v>
      </c>
    </row>
    <row r="23" spans="2:81" x14ac:dyDescent="0.3">
      <c r="B23">
        <v>22</v>
      </c>
      <c r="C23" s="1">
        <v>1</v>
      </c>
      <c r="D23" s="2">
        <f t="shared" ca="1" si="3"/>
        <v>0.64336657896577087</v>
      </c>
      <c r="E23" s="2">
        <f t="shared" ca="1" si="3"/>
        <v>0.19556454732709416</v>
      </c>
      <c r="F23" s="2">
        <f t="shared" ca="1" si="3"/>
        <v>0.16576331473622063</v>
      </c>
      <c r="G23" s="2">
        <f t="shared" ca="1" si="3"/>
        <v>0.15466308777271187</v>
      </c>
      <c r="H23" s="2">
        <f t="shared" ca="1" si="3"/>
        <v>0.63615298724892411</v>
      </c>
      <c r="I23" s="2">
        <f t="shared" ca="1" si="3"/>
        <v>0.37107203047062309</v>
      </c>
      <c r="J23" s="2">
        <f t="shared" ca="1" si="3"/>
        <v>0.38998649684872277</v>
      </c>
      <c r="K23" s="2">
        <f t="shared" ca="1" si="3"/>
        <v>0.39268515509347557</v>
      </c>
      <c r="L23" s="2">
        <f t="shared" ca="1" si="3"/>
        <v>0.46059557668784823</v>
      </c>
      <c r="M23" s="2">
        <f t="shared" ca="1" si="3"/>
        <v>0.21916166851802277</v>
      </c>
      <c r="N23" s="2">
        <f t="shared" ca="1" si="3"/>
        <v>0.82935731353633513</v>
      </c>
      <c r="O23" s="2">
        <f t="shared" ca="1" si="3"/>
        <v>0.75430459097777469</v>
      </c>
      <c r="P23" s="2">
        <f t="shared" ca="1" si="3"/>
        <v>0.33937171096220464</v>
      </c>
      <c r="Q23" s="2">
        <f t="shared" ca="1" si="3"/>
        <v>0.88790622562010935</v>
      </c>
      <c r="R23" s="2">
        <f t="shared" ca="1" si="3"/>
        <v>0.1496383468408643</v>
      </c>
      <c r="S23" s="2">
        <f t="shared" ca="1" si="3"/>
        <v>0.6832125973420482</v>
      </c>
      <c r="T23" s="2">
        <f t="shared" ca="1" si="2"/>
        <v>0.94037835980040396</v>
      </c>
      <c r="U23" s="2">
        <f t="shared" ca="1" si="2"/>
        <v>0.95822862988861812</v>
      </c>
      <c r="V23" s="2">
        <f t="shared" ca="1" si="2"/>
        <v>0.48073171266640591</v>
      </c>
      <c r="W23" s="2">
        <f t="shared" ca="1" si="2"/>
        <v>0.7717851771015678</v>
      </c>
      <c r="X23" s="2">
        <f t="shared" ca="1" si="2"/>
        <v>0.39594213757180585</v>
      </c>
      <c r="Y23" s="2">
        <f t="shared" ca="1" si="2"/>
        <v>0.57235109910378545</v>
      </c>
      <c r="Z23" s="2">
        <f t="shared" ca="1" si="2"/>
        <v>0.17620993556726983</v>
      </c>
      <c r="AA23" s="2">
        <f t="shared" ca="1" si="2"/>
        <v>0.29784819814372221</v>
      </c>
      <c r="AB23" s="2">
        <f ca="1">D23*Sheet2!C$14/_xlfn.STDEV.S(D$2:D$31)</f>
        <v>1.2909918576616435</v>
      </c>
      <c r="AC23" s="2">
        <f ca="1">E23*Sheet2!D$14/_xlfn.STDEV.S(E$2:E$31)</f>
        <v>1.4343448726197849</v>
      </c>
      <c r="AD23" s="2">
        <f ca="1">F23*Sheet2!E$14/_xlfn.STDEV.S(F$2:F$31)</f>
        <v>0.77392400361139668</v>
      </c>
      <c r="AE23" s="2">
        <f ca="1">G23*Sheet2!F$14/_xlfn.STDEV.S(G$2:G$31)</f>
        <v>1.2611470206760238</v>
      </c>
      <c r="AF23" s="2">
        <f ca="1">H23*Sheet2!G$14/_xlfn.STDEV.S(H$2:H$31)</f>
        <v>4.0854251129854458</v>
      </c>
      <c r="AG23" s="2">
        <f ca="1">I23*Sheet2!H$14/_xlfn.STDEV.S(I$2:I$31)</f>
        <v>4.000000565045589</v>
      </c>
      <c r="AH23" s="2">
        <f ca="1">J23*Sheet2!I$14/_xlfn.STDEV.S(J$2:J$31)</f>
        <v>0.95058163786817662</v>
      </c>
      <c r="AI23" s="2">
        <f ca="1">K23*Sheet2!J$14/_xlfn.STDEV.S(K$2:K$31)</f>
        <v>1.1535053184813</v>
      </c>
      <c r="AJ23" s="2">
        <f ca="1">L23*Sheet2!K$14/_xlfn.STDEV.S(L$2:L$31)</f>
        <v>2.0638700449442307</v>
      </c>
      <c r="AK23" s="2">
        <f ca="1">M23*Sheet2!L$14/_xlfn.STDEV.S(M$2:M$31)</f>
        <v>1.3060748837449703</v>
      </c>
      <c r="AL23" s="2">
        <f ca="1">N23*Sheet2!M$14/_xlfn.STDEV.S(N$2:N$31)</f>
        <v>3.1413158596094575</v>
      </c>
      <c r="AM23" s="2">
        <f ca="1">O23*Sheet2!N$14/_xlfn.STDEV.S(O$2:O$31)</f>
        <v>2.5618698304105929</v>
      </c>
      <c r="AN23" s="2">
        <f ca="1">P23*Sheet2!O$14/_xlfn.STDEV.S(P$2:P$31)</f>
        <v>1.2815968352922074</v>
      </c>
      <c r="AO23" s="2">
        <f ca="1">Q23*Sheet2!P$14/_xlfn.STDEV.S(Q$2:Q$31)</f>
        <v>6.8281562326158278</v>
      </c>
      <c r="AP23" s="2">
        <f ca="1">R23*Sheet2!Q$14/_xlfn.STDEV.S(R$2:R$31)</f>
        <v>0.70896663192909604</v>
      </c>
      <c r="AQ23" s="2">
        <f ca="1">S23*Sheet2!R$14/_xlfn.STDEV.S(S$2:S$31)</f>
        <v>2.2825333396894667</v>
      </c>
      <c r="AR23" s="2">
        <f ca="1">T23*Sheet2!S$14/_xlfn.STDEV.S(T$2:T$31)</f>
        <v>2.1972732129278052</v>
      </c>
      <c r="AS23" s="2">
        <f ca="1">U23*Sheet2!T$14/_xlfn.STDEV.S(U$2:U$31)</f>
        <v>4.1533915896074385</v>
      </c>
      <c r="AT23" s="2">
        <f ca="1">V23*Sheet2!U$14/_xlfn.STDEV.S(V$2:V$31)</f>
        <v>1.9454032715640992</v>
      </c>
      <c r="AU23" s="2">
        <f ca="1">W23*Sheet2!V$14/_xlfn.STDEV.S(W$2:W$31)</f>
        <v>2.6178178395451908</v>
      </c>
      <c r="AV23" s="2">
        <f ca="1">X23*Sheet2!W$14/_xlfn.STDEV.S(X$2:X$31)</f>
        <v>2.151223153026145</v>
      </c>
      <c r="AW23" s="2">
        <f ca="1">Y23*Sheet2!X$14/_xlfn.STDEV.S(Y$2:Y$31)</f>
        <v>1.2770050367142018</v>
      </c>
      <c r="AX23" s="2">
        <f ca="1">Z23*Sheet2!Y$14/_xlfn.STDEV.S(Z$2:Z$31)</f>
        <v>0.77469244750804722</v>
      </c>
      <c r="AY23" s="2">
        <f ca="1">AA23*Sheet2!Z$14/_xlfn.STDEV.S(AA$2:AA$31)</f>
        <v>0.71445020837524542</v>
      </c>
      <c r="AZ23" s="2">
        <f ca="1">AB23-AVERAGE(AB$2:AB$31)+Sheet2!C$13</f>
        <v>3.5492096757712668</v>
      </c>
      <c r="BA23" s="2">
        <f ca="1">AC23-AVERAGE(AC$2:AC$31)+Sheet2!D$13</f>
        <v>4.4388793684724686</v>
      </c>
      <c r="BB23" s="2">
        <f ca="1">AD23-AVERAGE(AD$2:AD$31)+Sheet2!E$13</f>
        <v>16.448277474746501</v>
      </c>
      <c r="BC23" s="2">
        <f ca="1">AE23-AVERAGE(AE$2:AE$31)+Sheet2!F$13</f>
        <v>18.237362331639744</v>
      </c>
      <c r="BD23" s="2">
        <f ca="1">AF23-AVERAGE(AF$2:AF$31)+Sheet2!G$13</f>
        <v>20.172307771082011</v>
      </c>
      <c r="BE23" s="2">
        <f ca="1">AG23-AVERAGE(AG$2:AG$31)+Sheet2!H$13</f>
        <v>27.620815528213356</v>
      </c>
      <c r="BF23" s="2">
        <f ca="1">AH23-AVERAGE(AH$2:AH$31)+Sheet2!I$13</f>
        <v>11.735767029854356</v>
      </c>
      <c r="BG23" s="2">
        <f ca="1">AI23-AVERAGE(AI$2:AI$31)+Sheet2!J$13</f>
        <v>19.394874112086935</v>
      </c>
      <c r="BH23" s="2">
        <f ca="1">AJ23-AVERAGE(AJ$2:AJ$31)+Sheet2!K$13</f>
        <v>28.298658237682268</v>
      </c>
      <c r="BI23" s="2">
        <f ca="1">AK23-AVERAGE(AK$2:AK$31)+Sheet2!L$13</f>
        <v>18.245858793621657</v>
      </c>
      <c r="BJ23" s="2">
        <f ca="1">AL23-AVERAGE(AL$2:AL$31)+Sheet2!M$13</f>
        <v>21.278256649837026</v>
      </c>
      <c r="BK23" s="2">
        <f ca="1">AM23-AVERAGE(AM$2:AM$31)+Sheet2!N$13</f>
        <v>9.1049879808927212</v>
      </c>
      <c r="BL23" s="2">
        <f ca="1">AN23-AVERAGE(AN$2:AN$31)+Sheet2!O$13</f>
        <v>5.391085822911788</v>
      </c>
      <c r="BM23" s="2">
        <f ca="1">AO23-AVERAGE(AO$2:AO$31)+Sheet2!P$13</f>
        <v>25.528765178189406</v>
      </c>
      <c r="BN23" s="2">
        <f ca="1">AP23-AVERAGE(AP$2:AP$31)+Sheet2!Q$13</f>
        <v>11.999518800191389</v>
      </c>
      <c r="BO23" s="2">
        <f ca="1">AQ23-AVERAGE(AQ$2:AQ$31)+Sheet2!R$13</f>
        <v>10.38716309960205</v>
      </c>
      <c r="BP23" s="2">
        <f ca="1">AR23-AVERAGE(AR$2:AR$31)+Sheet2!S$13</f>
        <v>4.8383783116154442</v>
      </c>
      <c r="BQ23" s="2">
        <f ca="1">AS23-AVERAGE(AS$2:AS$31)+Sheet2!T$13</f>
        <v>14.82795101090365</v>
      </c>
      <c r="BR23" s="2">
        <f ca="1">AT23-AVERAGE(AT$2:AT$31)+Sheet2!U$13</f>
        <v>23.335578747671935</v>
      </c>
      <c r="BS23" s="2">
        <f ca="1">AU23-AVERAGE(AU$2:AU$31)+Sheet2!V$13</f>
        <v>24.821696570928992</v>
      </c>
      <c r="BT23" s="2">
        <f ca="1">AV23-AVERAGE(AV$2:AV$31)+Sheet2!W$13</f>
        <v>23.965199666896236</v>
      </c>
      <c r="BU23" s="2">
        <f ca="1">AW23-AVERAGE(AW$2:AW$31)+Sheet2!X$13</f>
        <v>21.687033243893762</v>
      </c>
      <c r="BV23" s="2">
        <f ca="1">AX23-AVERAGE(AX$2:AX$31)+Sheet2!Y$13</f>
        <v>20.408136395467736</v>
      </c>
      <c r="BW23" s="2">
        <f ca="1">AY23-AVERAGE(AY$2:AY$31)+Sheet2!Z$13</f>
        <v>7.5996399307604063</v>
      </c>
      <c r="BZ23" s="2">
        <f ca="1">BA23-AVERAGE(BA$2:BA$31)+Sheet2!AB$13</f>
        <v>-2.3253321568674963</v>
      </c>
      <c r="CA23" s="2">
        <f ca="1">BB23-AVERAGE(BB$2:BB$31)+Sheet2!AC$13</f>
        <v>-2.1756720166009229</v>
      </c>
      <c r="CB23" s="2">
        <f ca="1">BC23-AVERAGE(BC$2:BC$31)+Sheet2!AD$13</f>
        <v>-2.8534987695656868</v>
      </c>
      <c r="CC23" s="2">
        <f ca="1">BD23-AVERAGE(BD$2:BD$31)+Sheet2!AE$13</f>
        <v>1.0105248055378628</v>
      </c>
    </row>
    <row r="24" spans="2:81" x14ac:dyDescent="0.3">
      <c r="B24">
        <v>23</v>
      </c>
      <c r="C24" s="1">
        <v>1</v>
      </c>
      <c r="D24" s="2">
        <f t="shared" ca="1" si="3"/>
        <v>0.40163643677519356</v>
      </c>
      <c r="E24" s="2">
        <f t="shared" ca="1" si="3"/>
        <v>0.26842730509428514</v>
      </c>
      <c r="F24" s="2">
        <f t="shared" ca="1" si="3"/>
        <v>0.50340844361654058</v>
      </c>
      <c r="G24" s="2">
        <f t="shared" ca="1" si="3"/>
        <v>0.55077885336540877</v>
      </c>
      <c r="H24" s="2">
        <f t="shared" ca="1" si="3"/>
        <v>0.63006053266486062</v>
      </c>
      <c r="I24" s="2">
        <f t="shared" ca="1" si="3"/>
        <v>0.98071002593728773</v>
      </c>
      <c r="J24" s="2">
        <f t="shared" ca="1" si="3"/>
        <v>0.49375250180262975</v>
      </c>
      <c r="K24" s="2">
        <f t="shared" ca="1" si="3"/>
        <v>0.89127764684609001</v>
      </c>
      <c r="L24" s="2">
        <f t="shared" ca="1" si="3"/>
        <v>4.221463950781601E-2</v>
      </c>
      <c r="M24" s="2">
        <f t="shared" ca="1" si="3"/>
        <v>0.80842975835115805</v>
      </c>
      <c r="N24" s="2">
        <f t="shared" ca="1" si="3"/>
        <v>4.3467639070703945E-2</v>
      </c>
      <c r="O24" s="2">
        <f t="shared" ca="1" si="3"/>
        <v>0.26397565057540451</v>
      </c>
      <c r="P24" s="2">
        <f t="shared" ca="1" si="3"/>
        <v>0.20718114887118844</v>
      </c>
      <c r="Q24" s="2">
        <f t="shared" ca="1" si="2"/>
        <v>1.8540989273238551E-2</v>
      </c>
      <c r="R24" s="2">
        <f t="shared" ca="1" si="2"/>
        <v>0.81800063043964499</v>
      </c>
      <c r="S24" s="2">
        <f t="shared" ca="1" si="2"/>
        <v>0.49043406248191335</v>
      </c>
      <c r="T24" s="2">
        <f t="shared" ca="1" si="2"/>
        <v>0.5856918145890998</v>
      </c>
      <c r="U24" s="2">
        <f t="shared" ca="1" si="2"/>
        <v>0.65796715250199533</v>
      </c>
      <c r="V24" s="2">
        <f t="shared" ca="1" si="2"/>
        <v>0.89017629362137685</v>
      </c>
      <c r="W24" s="2">
        <f t="shared" ca="1" si="2"/>
        <v>0.21586788639056742</v>
      </c>
      <c r="X24" s="2">
        <f t="shared" ca="1" si="2"/>
        <v>9.3664749451292106E-3</v>
      </c>
      <c r="Y24" s="2">
        <f t="shared" ca="1" si="2"/>
        <v>4.8747930752820468E-2</v>
      </c>
      <c r="Z24" s="2">
        <f t="shared" ca="1" si="2"/>
        <v>3.4661346460237441E-3</v>
      </c>
      <c r="AA24" s="2">
        <f t="shared" ca="1" si="2"/>
        <v>0.2123501887127589</v>
      </c>
      <c r="AB24" s="2">
        <f ca="1">D24*Sheet2!C$14/_xlfn.STDEV.S(D$2:D$31)</f>
        <v>0.80593146515401548</v>
      </c>
      <c r="AC24" s="2">
        <f ca="1">E24*Sheet2!D$14/_xlfn.STDEV.S(E$2:E$31)</f>
        <v>1.9687480885232669</v>
      </c>
      <c r="AD24" s="2">
        <f ca="1">F24*Sheet2!E$14/_xlfn.STDEV.S(F$2:F$31)</f>
        <v>2.3503383650083607</v>
      </c>
      <c r="AE24" s="2">
        <f ca="1">G24*Sheet2!F$14/_xlfn.STDEV.S(G$2:G$31)</f>
        <v>4.4911369608366023</v>
      </c>
      <c r="AF24" s="2">
        <f ca="1">H24*Sheet2!G$14/_xlfn.STDEV.S(H$2:H$31)</f>
        <v>4.0462988847724874</v>
      </c>
      <c r="AG24" s="2">
        <f ca="1">I24*Sheet2!H$14/_xlfn.STDEV.S(I$2:I$31)</f>
        <v>10.571641987998303</v>
      </c>
      <c r="AH24" s="2">
        <f ca="1">J24*Sheet2!I$14/_xlfn.STDEV.S(J$2:J$31)</f>
        <v>1.203508494929036</v>
      </c>
      <c r="AI24" s="2">
        <f ca="1">K24*Sheet2!J$14/_xlfn.STDEV.S(K$2:K$31)</f>
        <v>2.6181114629498361</v>
      </c>
      <c r="AJ24" s="2">
        <f ca="1">L24*Sheet2!K$14/_xlfn.STDEV.S(L$2:L$31)</f>
        <v>0.18915841651112264</v>
      </c>
      <c r="AK24" s="2">
        <f ca="1">M24*Sheet2!L$14/_xlfn.STDEV.S(M$2:M$31)</f>
        <v>4.8177667645728546</v>
      </c>
      <c r="AL24" s="2">
        <f ca="1">N24*Sheet2!M$14/_xlfn.STDEV.S(N$2:N$31)</f>
        <v>0.16464023619730192</v>
      </c>
      <c r="AM24" s="2">
        <f ca="1">O24*Sheet2!N$14/_xlfn.STDEV.S(O$2:O$31)</f>
        <v>0.89654930284265444</v>
      </c>
      <c r="AN24" s="2">
        <f ca="1">P24*Sheet2!O$14/_xlfn.STDEV.S(P$2:P$31)</f>
        <v>0.78239492612007855</v>
      </c>
      <c r="AO24" s="2">
        <f ca="1">Q24*Sheet2!P$14/_xlfn.STDEV.S(Q$2:Q$31)</f>
        <v>0.14258349340495913</v>
      </c>
      <c r="AP24" s="2">
        <f ca="1">R24*Sheet2!Q$14/_xlfn.STDEV.S(R$2:R$31)</f>
        <v>3.8755784471170025</v>
      </c>
      <c r="AQ24" s="2">
        <f ca="1">S24*Sheet2!R$14/_xlfn.STDEV.S(S$2:S$31)</f>
        <v>1.6384828132404505</v>
      </c>
      <c r="AR24" s="2">
        <f ca="1">T24*Sheet2!S$14/_xlfn.STDEV.S(T$2:T$31)</f>
        <v>1.3685182371708964</v>
      </c>
      <c r="AS24" s="2">
        <f ca="1">U24*Sheet2!T$14/_xlfn.STDEV.S(U$2:U$31)</f>
        <v>2.8519240108254702</v>
      </c>
      <c r="AT24" s="2">
        <f ca="1">V24*Sheet2!U$14/_xlfn.STDEV.S(V$2:V$31)</f>
        <v>3.6023250146626897</v>
      </c>
      <c r="AU24" s="2">
        <f ca="1">W24*Sheet2!V$14/_xlfn.STDEV.S(W$2:W$31)</f>
        <v>0.73220219919276019</v>
      </c>
      <c r="AV24" s="2">
        <f ca="1">X24*Sheet2!W$14/_xlfn.STDEV.S(X$2:X$31)</f>
        <v>5.0889702944403252E-2</v>
      </c>
      <c r="AW24" s="2">
        <f ca="1">Y24*Sheet2!X$14/_xlfn.STDEV.S(Y$2:Y$31)</f>
        <v>0.10876427633007606</v>
      </c>
      <c r="AX24" s="2">
        <f ca="1">Z24*Sheet2!Y$14/_xlfn.STDEV.S(Z$2:Z$31)</f>
        <v>1.5238575076236133E-2</v>
      </c>
      <c r="AY24" s="2">
        <f ca="1">AA24*Sheet2!Z$14/_xlfn.STDEV.S(AA$2:AA$31)</f>
        <v>0.50936563497740583</v>
      </c>
      <c r="AZ24" s="2">
        <f ca="1">AB24-AVERAGE(AB$2:AB$31)+Sheet2!C$13</f>
        <v>3.0641492832636388</v>
      </c>
      <c r="BA24" s="2">
        <f ca="1">AC24-AVERAGE(AC$2:AC$31)+Sheet2!D$13</f>
        <v>4.9732825843759505</v>
      </c>
      <c r="BB24" s="2">
        <f ca="1">AD24-AVERAGE(AD$2:AD$31)+Sheet2!E$13</f>
        <v>18.024691836143464</v>
      </c>
      <c r="BC24" s="2">
        <f ca="1">AE24-AVERAGE(AE$2:AE$31)+Sheet2!F$13</f>
        <v>21.467352271800323</v>
      </c>
      <c r="BD24" s="2">
        <f ca="1">AF24-AVERAGE(AF$2:AF$31)+Sheet2!G$13</f>
        <v>20.133181542869053</v>
      </c>
      <c r="BE24" s="2">
        <f ca="1">AG24-AVERAGE(AG$2:AG$31)+Sheet2!H$13</f>
        <v>34.192456951166072</v>
      </c>
      <c r="BF24" s="2">
        <f ca="1">AH24-AVERAGE(AH$2:AH$31)+Sheet2!I$13</f>
        <v>11.988693886915216</v>
      </c>
      <c r="BG24" s="2">
        <f ca="1">AI24-AVERAGE(AI$2:AI$31)+Sheet2!J$13</f>
        <v>20.859480256555472</v>
      </c>
      <c r="BH24" s="2">
        <f ca="1">AJ24-AVERAGE(AJ$2:AJ$31)+Sheet2!K$13</f>
        <v>26.42394660924916</v>
      </c>
      <c r="BI24" s="2">
        <f ca="1">AK24-AVERAGE(AK$2:AK$31)+Sheet2!L$13</f>
        <v>21.75755067444954</v>
      </c>
      <c r="BJ24" s="2">
        <f ca="1">AL24-AVERAGE(AL$2:AL$31)+Sheet2!M$13</f>
        <v>18.30158102642487</v>
      </c>
      <c r="BK24" s="2">
        <f ca="1">AM24-AVERAGE(AM$2:AM$31)+Sheet2!N$13</f>
        <v>7.4396674533247822</v>
      </c>
      <c r="BL24" s="2">
        <f ca="1">AN24-AVERAGE(AN$2:AN$31)+Sheet2!O$13</f>
        <v>4.891883913739659</v>
      </c>
      <c r="BM24" s="2">
        <f ca="1">AO24-AVERAGE(AO$2:AO$31)+Sheet2!P$13</f>
        <v>18.843192438978537</v>
      </c>
      <c r="BN24" s="2">
        <f ca="1">AP24-AVERAGE(AP$2:AP$31)+Sheet2!Q$13</f>
        <v>15.166130615379295</v>
      </c>
      <c r="BO24" s="2">
        <f ca="1">AQ24-AVERAGE(AQ$2:AQ$31)+Sheet2!R$13</f>
        <v>9.7431125731530344</v>
      </c>
      <c r="BP24" s="2">
        <f ca="1">AR24-AVERAGE(AR$2:AR$31)+Sheet2!S$13</f>
        <v>4.0096233358585351</v>
      </c>
      <c r="BQ24" s="2">
        <f ca="1">AS24-AVERAGE(AS$2:AS$31)+Sheet2!T$13</f>
        <v>13.526483432121683</v>
      </c>
      <c r="BR24" s="2">
        <f ca="1">AT24-AVERAGE(AT$2:AT$31)+Sheet2!U$13</f>
        <v>24.992500490770524</v>
      </c>
      <c r="BS24" s="2">
        <f ca="1">AU24-AVERAGE(AU$2:AU$31)+Sheet2!V$13</f>
        <v>22.936080930576562</v>
      </c>
      <c r="BT24" s="2">
        <f ca="1">AV24-AVERAGE(AV$2:AV$31)+Sheet2!W$13</f>
        <v>21.864866216814494</v>
      </c>
      <c r="BU24" s="2">
        <f ca="1">AW24-AVERAGE(AW$2:AW$31)+Sheet2!X$13</f>
        <v>20.518792483509635</v>
      </c>
      <c r="BV24" s="2">
        <f ca="1">AX24-AVERAGE(AX$2:AX$31)+Sheet2!Y$13</f>
        <v>19.648682523035927</v>
      </c>
      <c r="BW24" s="2">
        <f ca="1">AY24-AVERAGE(AY$2:AY$31)+Sheet2!Z$13</f>
        <v>7.3945553573625666</v>
      </c>
      <c r="BZ24" s="2">
        <f ca="1">BA24-AVERAGE(BA$2:BA$31)+Sheet2!AB$13</f>
        <v>-1.7909289409640146</v>
      </c>
      <c r="CA24" s="2">
        <f ca="1">BB24-AVERAGE(BB$2:BB$31)+Sheet2!AC$13</f>
        <v>-0.59925765520395913</v>
      </c>
      <c r="CB24" s="2">
        <f ca="1">BC24-AVERAGE(BC$2:BC$31)+Sheet2!AD$13</f>
        <v>0.37649117059489168</v>
      </c>
      <c r="CC24" s="2">
        <f ca="1">BD24-AVERAGE(BD$2:BD$31)+Sheet2!AE$13</f>
        <v>0.97139857732490553</v>
      </c>
    </row>
    <row r="25" spans="2:81" x14ac:dyDescent="0.3">
      <c r="B25">
        <v>24</v>
      </c>
      <c r="C25" s="1">
        <v>1</v>
      </c>
      <c r="D25" s="2">
        <f t="shared" ca="1" si="3"/>
        <v>0.58906480416554863</v>
      </c>
      <c r="E25" s="2">
        <f t="shared" ca="1" si="3"/>
        <v>0.5852313795825016</v>
      </c>
      <c r="F25" s="2">
        <f t="shared" ca="1" si="3"/>
        <v>0.57659190889129452</v>
      </c>
      <c r="G25" s="2">
        <f t="shared" ca="1" si="3"/>
        <v>0.67204684890913535</v>
      </c>
      <c r="H25" s="2">
        <f t="shared" ca="1" si="3"/>
        <v>0.58539326172116624</v>
      </c>
      <c r="I25" s="2">
        <f t="shared" ca="1" si="3"/>
        <v>0.3030464910609334</v>
      </c>
      <c r="J25" s="2">
        <f t="shared" ca="1" si="3"/>
        <v>0.96402218593008948</v>
      </c>
      <c r="K25" s="2">
        <f t="shared" ca="1" si="3"/>
        <v>0.15630976599006041</v>
      </c>
      <c r="L25" s="2">
        <f t="shared" ca="1" si="3"/>
        <v>0.3690136077575652</v>
      </c>
      <c r="M25" s="2">
        <f t="shared" ca="1" si="3"/>
        <v>0.1516338460712896</v>
      </c>
      <c r="N25" s="2">
        <f t="shared" ca="1" si="3"/>
        <v>0.22573819823842067</v>
      </c>
      <c r="O25" s="2">
        <f t="shared" ca="1" si="3"/>
        <v>0.26612813408134284</v>
      </c>
      <c r="P25" s="2">
        <f t="shared" ca="1" si="3"/>
        <v>0.59704293999241231</v>
      </c>
      <c r="Q25" s="2">
        <f t="shared" ca="1" si="2"/>
        <v>0.59537962823111423</v>
      </c>
      <c r="R25" s="2">
        <f t="shared" ca="1" si="2"/>
        <v>0.11574952268959771</v>
      </c>
      <c r="S25" s="2">
        <f t="shared" ca="1" si="2"/>
        <v>0.42182202204077968</v>
      </c>
      <c r="T25" s="2">
        <f t="shared" ca="1" si="2"/>
        <v>0.86099771793327062</v>
      </c>
      <c r="U25" s="2">
        <f t="shared" ca="1" si="2"/>
        <v>0.45424760588456869</v>
      </c>
      <c r="V25" s="2">
        <f t="shared" ca="1" si="2"/>
        <v>0.67723657475869703</v>
      </c>
      <c r="W25" s="2">
        <f t="shared" ca="1" si="2"/>
        <v>0.78406419936565497</v>
      </c>
      <c r="X25" s="2">
        <f t="shared" ca="1" si="2"/>
        <v>0.60855754174731602</v>
      </c>
      <c r="Y25" s="2">
        <f t="shared" ca="1" si="2"/>
        <v>2.7617133255835036E-3</v>
      </c>
      <c r="Z25" s="2">
        <f t="shared" ca="1" si="2"/>
        <v>0.9742426598341698</v>
      </c>
      <c r="AA25" s="2">
        <f t="shared" ca="1" si="2"/>
        <v>0.39811276787203842</v>
      </c>
      <c r="AB25" s="2">
        <f ca="1">D25*Sheet2!C$14/_xlfn.STDEV.S(D$2:D$31)</f>
        <v>1.1820288629777171</v>
      </c>
      <c r="AC25" s="2">
        <f ca="1">E25*Sheet2!D$14/_xlfn.STDEV.S(E$2:E$31)</f>
        <v>4.2923098285108638</v>
      </c>
      <c r="AD25" s="2">
        <f ca="1">F25*Sheet2!E$14/_xlfn.STDEV.S(F$2:F$31)</f>
        <v>2.6920209654903915</v>
      </c>
      <c r="AE25" s="2">
        <f ca="1">G25*Sheet2!F$14/_xlfn.STDEV.S(G$2:G$31)</f>
        <v>5.4799751735333206</v>
      </c>
      <c r="AF25" s="2">
        <f ca="1">H25*Sheet2!G$14/_xlfn.STDEV.S(H$2:H$31)</f>
        <v>3.759442115882571</v>
      </c>
      <c r="AG25" s="2">
        <f ca="1">I25*Sheet2!H$14/_xlfn.STDEV.S(I$2:I$31)</f>
        <v>3.2667138343502353</v>
      </c>
      <c r="AH25" s="2">
        <f ca="1">J25*Sheet2!I$14/_xlfn.STDEV.S(J$2:J$31)</f>
        <v>2.3497782509073697</v>
      </c>
      <c r="AI25" s="2">
        <f ca="1">K25*Sheet2!J$14/_xlfn.STDEV.S(K$2:K$31)</f>
        <v>0.45915702200961001</v>
      </c>
      <c r="AJ25" s="2">
        <f ca="1">L25*Sheet2!K$14/_xlfn.STDEV.S(L$2:L$31)</f>
        <v>1.6535029205106384</v>
      </c>
      <c r="AK25" s="2">
        <f ca="1">M25*Sheet2!L$14/_xlfn.STDEV.S(M$2:M$31)</f>
        <v>0.9036487047144196</v>
      </c>
      <c r="AL25" s="2">
        <f ca="1">N25*Sheet2!M$14/_xlfn.STDEV.S(N$2:N$31)</f>
        <v>0.85501745830441434</v>
      </c>
      <c r="AM25" s="2">
        <f ca="1">O25*Sheet2!N$14/_xlfn.STDEV.S(O$2:O$31)</f>
        <v>0.90385985433641081</v>
      </c>
      <c r="AN25" s="2">
        <f ca="1">P25*Sheet2!O$14/_xlfn.STDEV.S(P$2:P$31)</f>
        <v>2.2546615339810883</v>
      </c>
      <c r="AO25" s="2">
        <f ca="1">Q25*Sheet2!P$14/_xlfn.STDEV.S(Q$2:Q$31)</f>
        <v>4.5785748561899764</v>
      </c>
      <c r="AP25" s="2">
        <f ca="1">R25*Sheet2!Q$14/_xlfn.STDEV.S(R$2:R$31)</f>
        <v>0.54840587978371291</v>
      </c>
      <c r="AQ25" s="2">
        <f ca="1">S25*Sheet2!R$14/_xlfn.STDEV.S(S$2:S$31)</f>
        <v>1.4092580149561711</v>
      </c>
      <c r="AR25" s="2">
        <f ca="1">T25*Sheet2!S$14/_xlfn.STDEV.S(T$2:T$31)</f>
        <v>2.0117936597438204</v>
      </c>
      <c r="AS25" s="2">
        <f ca="1">U25*Sheet2!T$14/_xlfn.STDEV.S(U$2:U$31)</f>
        <v>1.9689123524722729</v>
      </c>
      <c r="AT25" s="2">
        <f ca="1">V25*Sheet2!U$14/_xlfn.STDEV.S(V$2:V$31)</f>
        <v>2.740610226961842</v>
      </c>
      <c r="AU25" s="2">
        <f ca="1">W25*Sheet2!V$14/_xlfn.STDEV.S(W$2:W$31)</f>
        <v>2.6594670503473696</v>
      </c>
      <c r="AV25" s="2">
        <f ca="1">X25*Sheet2!W$14/_xlfn.STDEV.S(X$2:X$31)</f>
        <v>3.3063999749662458</v>
      </c>
      <c r="AW25" s="2">
        <f ca="1">Y25*Sheet2!X$14/_xlfn.STDEV.S(Y$2:Y$31)</f>
        <v>6.1618154175875108E-3</v>
      </c>
      <c r="AX25" s="2">
        <f ca="1">Z25*Sheet2!Y$14/_xlfn.STDEV.S(Z$2:Z$31)</f>
        <v>4.2831774961154458</v>
      </c>
      <c r="AY25" s="2">
        <f ca="1">AA25*Sheet2!Z$14/_xlfn.STDEV.S(AA$2:AA$31)</f>
        <v>0.95495541599944556</v>
      </c>
      <c r="AZ25" s="2">
        <f ca="1">AB25-AVERAGE(AB$2:AB$31)+Sheet2!C$13</f>
        <v>3.4402466810873404</v>
      </c>
      <c r="BA25" s="2">
        <f ca="1">AC25-AVERAGE(AC$2:AC$31)+Sheet2!D$13</f>
        <v>7.2968443243635477</v>
      </c>
      <c r="BB25" s="2">
        <f ca="1">AD25-AVERAGE(AD$2:AD$31)+Sheet2!E$13</f>
        <v>18.366374436625495</v>
      </c>
      <c r="BC25" s="2">
        <f ca="1">AE25-AVERAGE(AE$2:AE$31)+Sheet2!F$13</f>
        <v>22.456190484497043</v>
      </c>
      <c r="BD25" s="2">
        <f ca="1">AF25-AVERAGE(AF$2:AF$31)+Sheet2!G$13</f>
        <v>19.846324773979134</v>
      </c>
      <c r="BE25" s="2">
        <f ca="1">AG25-AVERAGE(AG$2:AG$31)+Sheet2!H$13</f>
        <v>26.887528797518002</v>
      </c>
      <c r="BF25" s="2">
        <f ca="1">AH25-AVERAGE(AH$2:AH$31)+Sheet2!I$13</f>
        <v>13.134963642893549</v>
      </c>
      <c r="BG25" s="2">
        <f ca="1">AI25-AVERAGE(AI$2:AI$31)+Sheet2!J$13</f>
        <v>18.700525815615244</v>
      </c>
      <c r="BH25" s="2">
        <f ca="1">AJ25-AVERAGE(AJ$2:AJ$31)+Sheet2!K$13</f>
        <v>27.888291113248677</v>
      </c>
      <c r="BI25" s="2">
        <f ca="1">AK25-AVERAGE(AK$2:AK$31)+Sheet2!L$13</f>
        <v>17.843432614591105</v>
      </c>
      <c r="BJ25" s="2">
        <f ca="1">AL25-AVERAGE(AL$2:AL$31)+Sheet2!M$13</f>
        <v>18.991958248531979</v>
      </c>
      <c r="BK25" s="2">
        <f ca="1">AM25-AVERAGE(AM$2:AM$31)+Sheet2!N$13</f>
        <v>7.446978004818539</v>
      </c>
      <c r="BL25" s="2">
        <f ca="1">AN25-AVERAGE(AN$2:AN$31)+Sheet2!O$13</f>
        <v>6.3641505216006689</v>
      </c>
      <c r="BM25" s="2">
        <f ca="1">AO25-AVERAGE(AO$2:AO$31)+Sheet2!P$13</f>
        <v>23.279183801763555</v>
      </c>
      <c r="BN25" s="2">
        <f ca="1">AP25-AVERAGE(AP$2:AP$31)+Sheet2!Q$13</f>
        <v>11.838958048046006</v>
      </c>
      <c r="BO25" s="2">
        <f ca="1">AQ25-AVERAGE(AQ$2:AQ$31)+Sheet2!R$13</f>
        <v>9.5138877748687545</v>
      </c>
      <c r="BP25" s="2">
        <f ca="1">AR25-AVERAGE(AR$2:AR$31)+Sheet2!S$13</f>
        <v>4.6528987584314594</v>
      </c>
      <c r="BQ25" s="2">
        <f ca="1">AS25-AVERAGE(AS$2:AS$31)+Sheet2!T$13</f>
        <v>12.643471773768486</v>
      </c>
      <c r="BR25" s="2">
        <f ca="1">AT25-AVERAGE(AT$2:AT$31)+Sheet2!U$13</f>
        <v>24.130785703069677</v>
      </c>
      <c r="BS25" s="2">
        <f ca="1">AU25-AVERAGE(AU$2:AU$31)+Sheet2!V$13</f>
        <v>24.863345781731169</v>
      </c>
      <c r="BT25" s="2">
        <f ca="1">AV25-AVERAGE(AV$2:AV$31)+Sheet2!W$13</f>
        <v>25.120376488836339</v>
      </c>
      <c r="BU25" s="2">
        <f ca="1">AW25-AVERAGE(AW$2:AW$31)+Sheet2!X$13</f>
        <v>20.416190022597149</v>
      </c>
      <c r="BV25" s="2">
        <f ca="1">AX25-AVERAGE(AX$2:AX$31)+Sheet2!Y$13</f>
        <v>23.916621444075137</v>
      </c>
      <c r="BW25" s="2">
        <f ca="1">AY25-AVERAGE(AY$2:AY$31)+Sheet2!Z$13</f>
        <v>7.8401451383846066</v>
      </c>
      <c r="BZ25" s="2">
        <f ca="1">BA25-AVERAGE(BA$2:BA$31)+Sheet2!AB$13</f>
        <v>0.53263279902358263</v>
      </c>
      <c r="CA25" s="2">
        <f ca="1">BB25-AVERAGE(BB$2:BB$31)+Sheet2!AC$13</f>
        <v>-0.25757505472192832</v>
      </c>
      <c r="CB25" s="2">
        <f ca="1">BC25-AVERAGE(BC$2:BC$31)+Sheet2!AD$13</f>
        <v>1.3653293832916118</v>
      </c>
      <c r="CC25" s="2">
        <f ca="1">BD25-AVERAGE(BD$2:BD$31)+Sheet2!AE$13</f>
        <v>0.68454180843498647</v>
      </c>
    </row>
    <row r="26" spans="2:81" x14ac:dyDescent="0.3">
      <c r="B26">
        <v>25</v>
      </c>
      <c r="C26" s="1">
        <v>1</v>
      </c>
      <c r="D26" s="2">
        <f t="shared" ca="1" si="3"/>
        <v>0.28923108345830462</v>
      </c>
      <c r="E26" s="2">
        <f t="shared" ca="1" si="3"/>
        <v>0.4104200832452618</v>
      </c>
      <c r="F26" s="2">
        <f t="shared" ca="1" si="3"/>
        <v>0.87792003447979716</v>
      </c>
      <c r="G26" s="2">
        <f t="shared" ca="1" si="3"/>
        <v>0.46993646402484079</v>
      </c>
      <c r="H26" s="2">
        <f t="shared" ca="1" si="3"/>
        <v>0.10308820971996324</v>
      </c>
      <c r="I26" s="2">
        <f t="shared" ca="1" si="3"/>
        <v>0.16218179864550009</v>
      </c>
      <c r="J26" s="2">
        <f t="shared" ca="1" si="3"/>
        <v>0.28950885421543049</v>
      </c>
      <c r="K26" s="2">
        <f t="shared" ca="1" si="3"/>
        <v>0.25166069568597149</v>
      </c>
      <c r="L26" s="2">
        <f t="shared" ca="1" si="3"/>
        <v>0.86776672011470257</v>
      </c>
      <c r="M26" s="2">
        <f t="shared" ca="1" si="3"/>
        <v>0.61013992346526602</v>
      </c>
      <c r="N26" s="2">
        <f t="shared" ca="1" si="3"/>
        <v>0.55486470402461896</v>
      </c>
      <c r="O26" s="2">
        <f t="shared" ca="1" si="3"/>
        <v>0.64470802176031949</v>
      </c>
      <c r="P26" s="2">
        <f t="shared" ca="1" si="3"/>
        <v>0.22094866296141213</v>
      </c>
      <c r="Q26" s="2">
        <f t="shared" ca="1" si="2"/>
        <v>0.87644497555725476</v>
      </c>
      <c r="R26" s="2">
        <f t="shared" ca="1" si="2"/>
        <v>0.28250831095072271</v>
      </c>
      <c r="S26" s="2">
        <f t="shared" ca="1" si="2"/>
        <v>0.42368813906948743</v>
      </c>
      <c r="T26" s="2">
        <f t="shared" ca="1" si="2"/>
        <v>0.58784362084243658</v>
      </c>
      <c r="U26" s="2">
        <f t="shared" ca="1" si="2"/>
        <v>0.30310626549990061</v>
      </c>
      <c r="V26" s="2">
        <f t="shared" ca="1" si="2"/>
        <v>0.82193059701741789</v>
      </c>
      <c r="W26" s="2">
        <f t="shared" ca="1" si="2"/>
        <v>0.84723363219192738</v>
      </c>
      <c r="X26" s="2">
        <f t="shared" ca="1" si="2"/>
        <v>0.36859506553031729</v>
      </c>
      <c r="Y26" s="2">
        <f t="shared" ca="1" si="2"/>
        <v>0.64334925091281592</v>
      </c>
      <c r="Z26" s="2">
        <f t="shared" ca="1" si="2"/>
        <v>0.59318029851614495</v>
      </c>
      <c r="AA26" s="2">
        <f t="shared" ca="1" si="2"/>
        <v>0.53930142327971153</v>
      </c>
      <c r="AB26" s="2">
        <f ca="1">D26*Sheet2!C$14/_xlfn.STDEV.S(D$2:D$31)</f>
        <v>0.58037670269967867</v>
      </c>
      <c r="AC26" s="2">
        <f ca="1">E26*Sheet2!D$14/_xlfn.STDEV.S(E$2:E$31)</f>
        <v>3.0101772027136149</v>
      </c>
      <c r="AD26" s="2">
        <f ca="1">F26*Sheet2!E$14/_xlfn.STDEV.S(F$2:F$31)</f>
        <v>4.098876696671149</v>
      </c>
      <c r="AE26" s="2">
        <f ca="1">G26*Sheet2!F$14/_xlfn.STDEV.S(G$2:G$31)</f>
        <v>3.8319354672583987</v>
      </c>
      <c r="AF26" s="2">
        <f ca="1">H26*Sheet2!G$14/_xlfn.STDEV.S(H$2:H$31)</f>
        <v>0.66204068720005893</v>
      </c>
      <c r="AG26" s="2">
        <f ca="1">I26*Sheet2!H$14/_xlfn.STDEV.S(I$2:I$31)</f>
        <v>1.7482516410610163</v>
      </c>
      <c r="AH26" s="2">
        <f ca="1">J26*Sheet2!I$14/_xlfn.STDEV.S(J$2:J$31)</f>
        <v>0.70567007586469055</v>
      </c>
      <c r="AI26" s="2">
        <f ca="1">K26*Sheet2!J$14/_xlfn.STDEV.S(K$2:K$31)</f>
        <v>0.73924859944698029</v>
      </c>
      <c r="AJ26" s="2">
        <f ca="1">L26*Sheet2!K$14/_xlfn.STDEV.S(L$2:L$31)</f>
        <v>3.8883520170190318</v>
      </c>
      <c r="AK26" s="2">
        <f ca="1">M26*Sheet2!L$14/_xlfn.STDEV.S(M$2:M$31)</f>
        <v>3.636075756297366</v>
      </c>
      <c r="AL26" s="2">
        <f ca="1">N26*Sheet2!M$14/_xlfn.STDEV.S(N$2:N$31)</f>
        <v>2.1016337183523008</v>
      </c>
      <c r="AM26" s="2">
        <f ca="1">O26*Sheet2!N$14/_xlfn.STDEV.S(O$2:O$31)</f>
        <v>2.1896433484919942</v>
      </c>
      <c r="AN26" s="2">
        <f ca="1">P26*Sheet2!O$14/_xlfn.STDEV.S(P$2:P$31)</f>
        <v>0.8343863028846451</v>
      </c>
      <c r="AO26" s="2">
        <f ca="1">Q26*Sheet2!P$14/_xlfn.STDEV.S(Q$2:Q$31)</f>
        <v>6.7400171884328755</v>
      </c>
      <c r="AP26" s="2">
        <f ca="1">R26*Sheet2!Q$14/_xlfn.STDEV.S(R$2:R$31)</f>
        <v>1.33848689146314</v>
      </c>
      <c r="AQ26" s="2">
        <f ca="1">S26*Sheet2!R$14/_xlfn.STDEV.S(S$2:S$31)</f>
        <v>1.4154924935801876</v>
      </c>
      <c r="AR26" s="2">
        <f ca="1">T26*Sheet2!S$14/_xlfn.STDEV.S(T$2:T$31)</f>
        <v>1.3735461136533698</v>
      </c>
      <c r="AS26" s="2">
        <f ca="1">U26*Sheet2!T$14/_xlfn.STDEV.S(U$2:U$31)</f>
        <v>1.3137981632117794</v>
      </c>
      <c r="AT26" s="2">
        <f ca="1">V26*Sheet2!U$14/_xlfn.STDEV.S(V$2:V$31)</f>
        <v>3.3261514277213959</v>
      </c>
      <c r="AU26" s="2">
        <f ca="1">W26*Sheet2!V$14/_xlfn.STDEV.S(W$2:W$31)</f>
        <v>2.8737314247780863</v>
      </c>
      <c r="AV26" s="2">
        <f ca="1">X26*Sheet2!W$14/_xlfn.STDEV.S(X$2:X$31)</f>
        <v>2.0026417090204407</v>
      </c>
      <c r="AW26" s="2">
        <f ca="1">Y26*Sheet2!X$14/_xlfn.STDEV.S(Y$2:Y$31)</f>
        <v>1.4354130446650888</v>
      </c>
      <c r="AX26" s="2">
        <f ca="1">Z26*Sheet2!Y$14/_xlfn.STDEV.S(Z$2:Z$31)</f>
        <v>2.6078682555081891</v>
      </c>
      <c r="AY26" s="2">
        <f ca="1">AA26*Sheet2!Z$14/_xlfn.STDEV.S(AA$2:AA$31)</f>
        <v>1.2936254663972606</v>
      </c>
      <c r="AZ26" s="2">
        <f ca="1">AB26-AVERAGE(AB$2:AB$31)+Sheet2!C$13</f>
        <v>2.838594520809302</v>
      </c>
      <c r="BA26" s="2">
        <f ca="1">AC26-AVERAGE(AC$2:AC$31)+Sheet2!D$13</f>
        <v>6.0147116985662983</v>
      </c>
      <c r="BB26" s="2">
        <f ca="1">AD26-AVERAGE(AD$2:AD$31)+Sheet2!E$13</f>
        <v>19.773230167806254</v>
      </c>
      <c r="BC26" s="2">
        <f ca="1">AE26-AVERAGE(AE$2:AE$31)+Sheet2!F$13</f>
        <v>20.808150778222121</v>
      </c>
      <c r="BD26" s="2">
        <f ca="1">AF26-AVERAGE(AF$2:AF$31)+Sheet2!G$13</f>
        <v>16.748923345296625</v>
      </c>
      <c r="BE26" s="2">
        <f ca="1">AG26-AVERAGE(AG$2:AG$31)+Sheet2!H$13</f>
        <v>25.369066604228784</v>
      </c>
      <c r="BF26" s="2">
        <f ca="1">AH26-AVERAGE(AH$2:AH$31)+Sheet2!I$13</f>
        <v>11.490855467850871</v>
      </c>
      <c r="BG26" s="2">
        <f ca="1">AI26-AVERAGE(AI$2:AI$31)+Sheet2!J$13</f>
        <v>18.980617393052615</v>
      </c>
      <c r="BH26" s="2">
        <f ca="1">AJ26-AVERAGE(AJ$2:AJ$31)+Sheet2!K$13</f>
        <v>30.123140209757068</v>
      </c>
      <c r="BI26" s="2">
        <f ca="1">AK26-AVERAGE(AK$2:AK$31)+Sheet2!L$13</f>
        <v>20.575859666174054</v>
      </c>
      <c r="BJ26" s="2">
        <f ca="1">AL26-AVERAGE(AL$2:AL$31)+Sheet2!M$13</f>
        <v>20.238574508579866</v>
      </c>
      <c r="BK26" s="2">
        <f ca="1">AM26-AVERAGE(AM$2:AM$31)+Sheet2!N$13</f>
        <v>8.7327614989741225</v>
      </c>
      <c r="BL26" s="2">
        <f ca="1">AN26-AVERAGE(AN$2:AN$31)+Sheet2!O$13</f>
        <v>4.9438752905042254</v>
      </c>
      <c r="BM26" s="2">
        <f ca="1">AO26-AVERAGE(AO$2:AO$31)+Sheet2!P$13</f>
        <v>25.440626134006454</v>
      </c>
      <c r="BN26" s="2">
        <f ca="1">AP26-AVERAGE(AP$2:AP$31)+Sheet2!Q$13</f>
        <v>12.629039059725434</v>
      </c>
      <c r="BO26" s="2">
        <f ca="1">AQ26-AVERAGE(AQ$2:AQ$31)+Sheet2!R$13</f>
        <v>9.5201222534927723</v>
      </c>
      <c r="BP26" s="2">
        <f ca="1">AR26-AVERAGE(AR$2:AR$31)+Sheet2!S$13</f>
        <v>4.0146512123410085</v>
      </c>
      <c r="BQ26" s="2">
        <f ca="1">AS26-AVERAGE(AS$2:AS$31)+Sheet2!T$13</f>
        <v>11.988357584507991</v>
      </c>
      <c r="BR26" s="2">
        <f ca="1">AT26-AVERAGE(AT$2:AT$31)+Sheet2!U$13</f>
        <v>24.716326903829231</v>
      </c>
      <c r="BS26" s="2">
        <f ca="1">AU26-AVERAGE(AU$2:AU$31)+Sheet2!V$13</f>
        <v>25.077610156161885</v>
      </c>
      <c r="BT26" s="2">
        <f ca="1">AV26-AVERAGE(AV$2:AV$31)+Sheet2!W$13</f>
        <v>23.816618222890533</v>
      </c>
      <c r="BU26" s="2">
        <f ca="1">AW26-AVERAGE(AW$2:AW$31)+Sheet2!X$13</f>
        <v>21.845441251844647</v>
      </c>
      <c r="BV26" s="2">
        <f ca="1">AX26-AVERAGE(AX$2:AX$31)+Sheet2!Y$13</f>
        <v>22.241312203467878</v>
      </c>
      <c r="BW26" s="2">
        <f ca="1">AY26-AVERAGE(AY$2:AY$31)+Sheet2!Z$13</f>
        <v>8.1788151887824228</v>
      </c>
      <c r="BZ26" s="2">
        <f ca="1">BA26-AVERAGE(BA$2:BA$31)+Sheet2!AB$13</f>
        <v>-0.74949982677366678</v>
      </c>
      <c r="CA26" s="2">
        <f ca="1">BB26-AVERAGE(BB$2:BB$31)+Sheet2!AC$13</f>
        <v>1.1492806764588304</v>
      </c>
      <c r="CB26" s="2">
        <f ca="1">BC26-AVERAGE(BC$2:BC$31)+Sheet2!AD$13</f>
        <v>-0.28271032298331011</v>
      </c>
      <c r="CC26" s="2">
        <f ca="1">BD26-AVERAGE(BD$2:BD$31)+Sheet2!AE$13</f>
        <v>-2.4128596202475232</v>
      </c>
    </row>
    <row r="27" spans="2:81" x14ac:dyDescent="0.3">
      <c r="B27">
        <v>26</v>
      </c>
      <c r="C27" s="1">
        <v>1</v>
      </c>
      <c r="D27" s="2">
        <f t="shared" ca="1" si="3"/>
        <v>0.37436690710639886</v>
      </c>
      <c r="E27" s="2">
        <f t="shared" ca="1" si="3"/>
        <v>0.3622935960472351</v>
      </c>
      <c r="F27" s="2">
        <f t="shared" ca="1" si="3"/>
        <v>0.87527314511652721</v>
      </c>
      <c r="G27" s="2">
        <f t="shared" ca="1" si="3"/>
        <v>0.86007837318721214</v>
      </c>
      <c r="H27" s="2">
        <f t="shared" ca="1" si="3"/>
        <v>0.65161335543834187</v>
      </c>
      <c r="I27" s="2">
        <f t="shared" ca="1" si="3"/>
        <v>0.28898676750794938</v>
      </c>
      <c r="J27" s="2">
        <f t="shared" ca="1" si="3"/>
        <v>0.22610441408884752</v>
      </c>
      <c r="K27" s="2">
        <f t="shared" ca="1" si="3"/>
        <v>0.46073203286335607</v>
      </c>
      <c r="L27" s="2">
        <f t="shared" ca="1" si="3"/>
        <v>0.42936260614029864</v>
      </c>
      <c r="M27" s="2">
        <f t="shared" ca="1" si="3"/>
        <v>0.77212471553155249</v>
      </c>
      <c r="N27" s="2">
        <f t="shared" ca="1" si="3"/>
        <v>0.74354548334033532</v>
      </c>
      <c r="O27" s="2">
        <f t="shared" ca="1" si="3"/>
        <v>0.90077308857368432</v>
      </c>
      <c r="P27" s="2">
        <f t="shared" ca="1" si="3"/>
        <v>0.76343045362276807</v>
      </c>
      <c r="Q27" s="2">
        <f t="shared" ca="1" si="3"/>
        <v>0.85722004831308041</v>
      </c>
      <c r="R27" s="2">
        <f t="shared" ca="1" si="3"/>
        <v>0.25490611463057566</v>
      </c>
      <c r="S27" s="2">
        <f t="shared" ca="1" si="3"/>
        <v>0.15055718762826742</v>
      </c>
      <c r="T27" s="2">
        <f t="shared" ca="1" si="2"/>
        <v>0.60353324234515426</v>
      </c>
      <c r="U27" s="2">
        <f t="shared" ca="1" si="2"/>
        <v>0.51170246910549355</v>
      </c>
      <c r="V27" s="2">
        <f t="shared" ca="1" si="2"/>
        <v>0.13294648836817857</v>
      </c>
      <c r="W27" s="2">
        <f t="shared" ca="1" si="2"/>
        <v>0.18485696423048315</v>
      </c>
      <c r="X27" s="2">
        <f t="shared" ca="1" si="2"/>
        <v>0.19798505997468807</v>
      </c>
      <c r="Y27" s="2">
        <f t="shared" ca="1" si="2"/>
        <v>0.5017491008885796</v>
      </c>
      <c r="Z27" s="2">
        <f t="shared" ca="1" si="2"/>
        <v>0.53183608560020368</v>
      </c>
      <c r="AA27" s="2">
        <f t="shared" ca="1" si="2"/>
        <v>0.74156551617742394</v>
      </c>
      <c r="AB27" s="2">
        <f ca="1">D27*Sheet2!C$14/_xlfn.STDEV.S(D$2:D$31)</f>
        <v>0.75121189793423682</v>
      </c>
      <c r="AC27" s="2">
        <f ca="1">E27*Sheet2!D$14/_xlfn.STDEV.S(E$2:E$31)</f>
        <v>2.6571992161962821</v>
      </c>
      <c r="AD27" s="2">
        <f ca="1">F27*Sheet2!E$14/_xlfn.STDEV.S(F$2:F$31)</f>
        <v>4.0865187680402082</v>
      </c>
      <c r="AE27" s="2">
        <f ca="1">G27*Sheet2!F$14/_xlfn.STDEV.S(G$2:G$31)</f>
        <v>7.0132136472469373</v>
      </c>
      <c r="AF27" s="2">
        <f ca="1">H27*Sheet2!G$14/_xlfn.STDEV.S(H$2:H$31)</f>
        <v>4.184712827926778</v>
      </c>
      <c r="AG27" s="2">
        <f ca="1">I27*Sheet2!H$14/_xlfn.STDEV.S(I$2:I$31)</f>
        <v>3.1151559223055196</v>
      </c>
      <c r="AH27" s="2">
        <f ca="1">J27*Sheet2!I$14/_xlfn.STDEV.S(J$2:J$31)</f>
        <v>0.55112345173626232</v>
      </c>
      <c r="AI27" s="2">
        <f ca="1">K27*Sheet2!J$14/_xlfn.STDEV.S(K$2:K$31)</f>
        <v>1.3533917526779773</v>
      </c>
      <c r="AJ27" s="2">
        <f ca="1">L27*Sheet2!K$14/_xlfn.STDEV.S(L$2:L$31)</f>
        <v>1.9239190866843796</v>
      </c>
      <c r="AK27" s="2">
        <f ca="1">M27*Sheet2!L$14/_xlfn.STDEV.S(M$2:M$31)</f>
        <v>4.601410022535763</v>
      </c>
      <c r="AL27" s="2">
        <f ca="1">N27*Sheet2!M$14/_xlfn.STDEV.S(N$2:N$31)</f>
        <v>2.8162906156800229</v>
      </c>
      <c r="AM27" s="2">
        <f ca="1">O27*Sheet2!N$14/_xlfn.STDEV.S(O$2:O$31)</f>
        <v>3.0593256719694093</v>
      </c>
      <c r="AN27" s="2">
        <f ca="1">P27*Sheet2!O$14/_xlfn.STDEV.S(P$2:P$31)</f>
        <v>2.8830041565768512</v>
      </c>
      <c r="AO27" s="2">
        <f ca="1">Q27*Sheet2!P$14/_xlfn.STDEV.S(Q$2:Q$31)</f>
        <v>6.5921740908217332</v>
      </c>
      <c r="AP27" s="2">
        <f ca="1">R27*Sheet2!Q$14/_xlfn.STDEV.S(R$2:R$31)</f>
        <v>1.2077113478135473</v>
      </c>
      <c r="AQ27" s="2">
        <f ca="1">S27*Sheet2!R$14/_xlfn.STDEV.S(S$2:S$31)</f>
        <v>0.50299394599621927</v>
      </c>
      <c r="AR27" s="2">
        <f ca="1">T27*Sheet2!S$14/_xlfn.STDEV.S(T$2:T$31)</f>
        <v>1.4102062352837899</v>
      </c>
      <c r="AS27" s="2">
        <f ca="1">U27*Sheet2!T$14/_xlfn.STDEV.S(U$2:U$31)</f>
        <v>2.2179474347485906</v>
      </c>
      <c r="AT27" s="2">
        <f ca="1">V27*Sheet2!U$14/_xlfn.STDEV.S(V$2:V$31)</f>
        <v>0.53800181390131685</v>
      </c>
      <c r="AU27" s="2">
        <f ca="1">W27*Sheet2!V$14/_xlfn.STDEV.S(W$2:W$31)</f>
        <v>0.62701626447930781</v>
      </c>
      <c r="AV27" s="2">
        <f ca="1">X27*Sheet2!W$14/_xlfn.STDEV.S(X$2:X$31)</f>
        <v>1.0756875930983176</v>
      </c>
      <c r="AW27" s="2">
        <f ca="1">Y27*Sheet2!X$14/_xlfn.STDEV.S(Y$2:Y$31)</f>
        <v>1.1194809095410725</v>
      </c>
      <c r="AX27" s="2">
        <f ca="1">Z27*Sheet2!Y$14/_xlfn.STDEV.S(Z$2:Z$31)</f>
        <v>2.3381734832394425</v>
      </c>
      <c r="AY27" s="2">
        <f ca="1">AA27*Sheet2!Z$14/_xlfn.STDEV.S(AA$2:AA$31)</f>
        <v>1.7787975245739247</v>
      </c>
      <c r="AZ27" s="2">
        <f ca="1">AB27-AVERAGE(AB$2:AB$31)+Sheet2!C$13</f>
        <v>3.0094297160438601</v>
      </c>
      <c r="BA27" s="2">
        <f ca="1">AC27-AVERAGE(AC$2:AC$31)+Sheet2!D$13</f>
        <v>5.6617337120489655</v>
      </c>
      <c r="BB27" s="2">
        <f ca="1">AD27-AVERAGE(AD$2:AD$31)+Sheet2!E$13</f>
        <v>19.760872239175313</v>
      </c>
      <c r="BC27" s="2">
        <f ca="1">AE27-AVERAGE(AE$2:AE$31)+Sheet2!F$13</f>
        <v>23.989428958210659</v>
      </c>
      <c r="BD27" s="2">
        <f ca="1">AF27-AVERAGE(AF$2:AF$31)+Sheet2!G$13</f>
        <v>20.271595486023344</v>
      </c>
      <c r="BE27" s="2">
        <f ca="1">AG27-AVERAGE(AG$2:AG$31)+Sheet2!H$13</f>
        <v>26.735970885473286</v>
      </c>
      <c r="BF27" s="2">
        <f ca="1">AH27-AVERAGE(AH$2:AH$31)+Sheet2!I$13</f>
        <v>11.336308843722442</v>
      </c>
      <c r="BG27" s="2">
        <f ca="1">AI27-AVERAGE(AI$2:AI$31)+Sheet2!J$13</f>
        <v>19.594760546283613</v>
      </c>
      <c r="BH27" s="2">
        <f ca="1">AJ27-AVERAGE(AJ$2:AJ$31)+Sheet2!K$13</f>
        <v>28.158707279422416</v>
      </c>
      <c r="BI27" s="2">
        <f ca="1">AK27-AVERAGE(AK$2:AK$31)+Sheet2!L$13</f>
        <v>21.541193932412451</v>
      </c>
      <c r="BJ27" s="2">
        <f ca="1">AL27-AVERAGE(AL$2:AL$31)+Sheet2!M$13</f>
        <v>20.953231405907591</v>
      </c>
      <c r="BK27" s="2">
        <f ca="1">AM27-AVERAGE(AM$2:AM$31)+Sheet2!N$13</f>
        <v>9.6024438224515372</v>
      </c>
      <c r="BL27" s="2">
        <f ca="1">AN27-AVERAGE(AN$2:AN$31)+Sheet2!O$13</f>
        <v>6.9924931441964322</v>
      </c>
      <c r="BM27" s="2">
        <f ca="1">AO27-AVERAGE(AO$2:AO$31)+Sheet2!P$13</f>
        <v>25.292783036395313</v>
      </c>
      <c r="BN27" s="2">
        <f ca="1">AP27-AVERAGE(AP$2:AP$31)+Sheet2!Q$13</f>
        <v>12.498263516075841</v>
      </c>
      <c r="BO27" s="2">
        <f ca="1">AQ27-AVERAGE(AQ$2:AQ$31)+Sheet2!R$13</f>
        <v>8.6076237059088037</v>
      </c>
      <c r="BP27" s="2">
        <f ca="1">AR27-AVERAGE(AR$2:AR$31)+Sheet2!S$13</f>
        <v>4.0513113339714284</v>
      </c>
      <c r="BQ27" s="2">
        <f ca="1">AS27-AVERAGE(AS$2:AS$31)+Sheet2!T$13</f>
        <v>12.892506856044804</v>
      </c>
      <c r="BR27" s="2">
        <f ca="1">AT27-AVERAGE(AT$2:AT$31)+Sheet2!U$13</f>
        <v>21.928177290009153</v>
      </c>
      <c r="BS27" s="2">
        <f ca="1">AU27-AVERAGE(AU$2:AU$31)+Sheet2!V$13</f>
        <v>22.830894995863108</v>
      </c>
      <c r="BT27" s="2">
        <f ca="1">AV27-AVERAGE(AV$2:AV$31)+Sheet2!W$13</f>
        <v>22.889664106968411</v>
      </c>
      <c r="BU27" s="2">
        <f ca="1">AW27-AVERAGE(AW$2:AW$31)+Sheet2!X$13</f>
        <v>21.529509116720632</v>
      </c>
      <c r="BV27" s="2">
        <f ca="1">AX27-AVERAGE(AX$2:AX$31)+Sheet2!Y$13</f>
        <v>21.971617431199132</v>
      </c>
      <c r="BW27" s="2">
        <f ca="1">AY27-AVERAGE(AY$2:AY$31)+Sheet2!Z$13</f>
        <v>8.6639872469590866</v>
      </c>
      <c r="BZ27" s="2">
        <f ca="1">BA27-AVERAGE(BA$2:BA$31)+Sheet2!AB$13</f>
        <v>-1.1024778132909996</v>
      </c>
      <c r="CA27" s="2">
        <f ca="1">BB27-AVERAGE(BB$2:BB$31)+Sheet2!AC$13</f>
        <v>1.1369227478278896</v>
      </c>
      <c r="CB27" s="2">
        <f ca="1">BC27-AVERAGE(BC$2:BC$31)+Sheet2!AD$13</f>
        <v>2.8985678570052285</v>
      </c>
      <c r="CC27" s="2">
        <f ca="1">BD27-AVERAGE(BD$2:BD$31)+Sheet2!AE$13</f>
        <v>1.109812520479196</v>
      </c>
    </row>
    <row r="28" spans="2:81" x14ac:dyDescent="0.3">
      <c r="B28">
        <v>27</v>
      </c>
      <c r="C28" s="1">
        <v>1</v>
      </c>
      <c r="D28" s="2">
        <f t="shared" ca="1" si="3"/>
        <v>0.57110979676710161</v>
      </c>
      <c r="E28" s="2">
        <f t="shared" ca="1" si="3"/>
        <v>0.38005904219567432</v>
      </c>
      <c r="F28" s="2">
        <f t="shared" ca="1" si="3"/>
        <v>0.23254227383543291</v>
      </c>
      <c r="G28" s="2">
        <f t="shared" ca="1" si="3"/>
        <v>0.91078956977615466</v>
      </c>
      <c r="H28" s="2">
        <f t="shared" ca="1" si="3"/>
        <v>0.45880474976013152</v>
      </c>
      <c r="I28" s="2">
        <f t="shared" ca="1" si="3"/>
        <v>0.35805472807044947</v>
      </c>
      <c r="J28" s="2">
        <f t="shared" ca="1" si="3"/>
        <v>0.89568031857373032</v>
      </c>
      <c r="K28" s="2">
        <f t="shared" ca="1" si="3"/>
        <v>0.65001889474684615</v>
      </c>
      <c r="L28" s="2">
        <f t="shared" ca="1" si="3"/>
        <v>8.079696146505766E-2</v>
      </c>
      <c r="M28" s="2">
        <f t="shared" ca="1" si="3"/>
        <v>0.39928908794568985</v>
      </c>
      <c r="N28" s="2">
        <f t="shared" ca="1" si="3"/>
        <v>0.68787026968742404</v>
      </c>
      <c r="O28" s="2">
        <f t="shared" ca="1" si="3"/>
        <v>0.61847645643694804</v>
      </c>
      <c r="P28" s="2">
        <f t="shared" ca="1" si="3"/>
        <v>0.6679201425734167</v>
      </c>
      <c r="Q28" s="2">
        <f t="shared" ca="1" si="3"/>
        <v>0.28605845429855914</v>
      </c>
      <c r="R28" s="2">
        <f t="shared" ca="1" si="3"/>
        <v>0.12733974207936083</v>
      </c>
      <c r="S28" s="2">
        <f t="shared" ca="1" si="3"/>
        <v>0.83451085345466491</v>
      </c>
      <c r="T28" s="2">
        <f t="shared" ca="1" si="2"/>
        <v>0.91303268210971134</v>
      </c>
      <c r="U28" s="2">
        <f t="shared" ca="1" si="2"/>
        <v>0.36364523121040837</v>
      </c>
      <c r="V28" s="2">
        <f t="shared" ca="1" si="2"/>
        <v>0.16130755765679838</v>
      </c>
      <c r="W28" s="2">
        <f t="shared" ca="1" si="2"/>
        <v>0.96288078335259708</v>
      </c>
      <c r="X28" s="2">
        <f t="shared" ca="1" si="2"/>
        <v>0.7787600804991216</v>
      </c>
      <c r="Y28" s="2">
        <f t="shared" ca="1" si="2"/>
        <v>7.0125837321612261E-2</v>
      </c>
      <c r="Z28" s="2">
        <f t="shared" ca="1" si="2"/>
        <v>0.50962414187683536</v>
      </c>
      <c r="AA28" s="2">
        <f t="shared" ca="1" si="2"/>
        <v>0.31888232862082688</v>
      </c>
      <c r="AB28" s="2">
        <f ca="1">D28*Sheet2!C$14/_xlfn.STDEV.S(D$2:D$31)</f>
        <v>1.1459999968328332</v>
      </c>
      <c r="AC28" s="2">
        <f ca="1">E28*Sheet2!D$14/_xlfn.STDEV.S(E$2:E$31)</f>
        <v>2.7874977643794394</v>
      </c>
      <c r="AD28" s="2">
        <f ca="1">F28*Sheet2!E$14/_xlfn.STDEV.S(F$2:F$31)</f>
        <v>1.0857049273055532</v>
      </c>
      <c r="AE28" s="2">
        <f ca="1">G28*Sheet2!F$14/_xlfn.STDEV.S(G$2:G$31)</f>
        <v>7.4267206799465972</v>
      </c>
      <c r="AF28" s="2">
        <f ca="1">H28*Sheet2!G$14/_xlfn.STDEV.S(H$2:H$31)</f>
        <v>2.9464806173952525</v>
      </c>
      <c r="AG28" s="2">
        <f ca="1">I28*Sheet2!H$14/_xlfn.STDEV.S(I$2:I$31)</f>
        <v>3.8596795150057202</v>
      </c>
      <c r="AH28" s="2">
        <f ca="1">J28*Sheet2!I$14/_xlfn.STDEV.S(J$2:J$31)</f>
        <v>2.1831967801858911</v>
      </c>
      <c r="AI28" s="2">
        <f ca="1">K28*Sheet2!J$14/_xlfn.STDEV.S(K$2:K$31)</f>
        <v>1.9094183787653989</v>
      </c>
      <c r="AJ28" s="2">
        <f ca="1">L28*Sheet2!K$14/_xlfn.STDEV.S(L$2:L$31)</f>
        <v>0.36204088126373285</v>
      </c>
      <c r="AK28" s="2">
        <f ca="1">M28*Sheet2!L$14/_xlfn.STDEV.S(M$2:M$31)</f>
        <v>2.3795285582816978</v>
      </c>
      <c r="AL28" s="2">
        <f ca="1">N28*Sheet2!M$14/_xlfn.STDEV.S(N$2:N$31)</f>
        <v>2.6054123503286282</v>
      </c>
      <c r="AM28" s="2">
        <f ca="1">O28*Sheet2!N$14/_xlfn.STDEV.S(O$2:O$31)</f>
        <v>2.1005522086392205</v>
      </c>
      <c r="AN28" s="2">
        <f ca="1">P28*Sheet2!O$14/_xlfn.STDEV.S(P$2:P$31)</f>
        <v>2.5223208455502135</v>
      </c>
      <c r="AO28" s="2">
        <f ca="1">Q28*Sheet2!P$14/_xlfn.STDEV.S(Q$2:Q$31)</f>
        <v>2.1998402097552758</v>
      </c>
      <c r="AP28" s="2">
        <f ca="1">R28*Sheet2!Q$14/_xlfn.STDEV.S(R$2:R$31)</f>
        <v>0.60331880135466731</v>
      </c>
      <c r="AQ28" s="2">
        <f ca="1">S28*Sheet2!R$14/_xlfn.STDEV.S(S$2:S$31)</f>
        <v>2.7880031087736983</v>
      </c>
      <c r="AR28" s="2">
        <f ca="1">T28*Sheet2!S$14/_xlfn.STDEV.S(T$2:T$31)</f>
        <v>2.1333777346313143</v>
      </c>
      <c r="AS28" s="2">
        <f ca="1">U28*Sheet2!T$14/_xlfn.STDEV.S(U$2:U$31)</f>
        <v>1.5762011254931121</v>
      </c>
      <c r="AT28" s="2">
        <f ca="1">V28*Sheet2!U$14/_xlfn.STDEV.S(V$2:V$31)</f>
        <v>0.65277210162191035</v>
      </c>
      <c r="AU28" s="2">
        <f ca="1">W28*Sheet2!V$14/_xlfn.STDEV.S(W$2:W$31)</f>
        <v>3.2659949514474245</v>
      </c>
      <c r="AV28" s="2">
        <f ca="1">X28*Sheet2!W$14/_xlfn.STDEV.S(X$2:X$31)</f>
        <v>4.2311402522000927</v>
      </c>
      <c r="AW28" s="2">
        <f ca="1">Y28*Sheet2!X$14/_xlfn.STDEV.S(Y$2:Y$31)</f>
        <v>0.1564617375658453</v>
      </c>
      <c r="AX28" s="2">
        <f ca="1">Z28*Sheet2!Y$14/_xlfn.STDEV.S(Z$2:Z$31)</f>
        <v>2.2405205047534591</v>
      </c>
      <c r="AY28" s="2">
        <f ca="1">AA28*Sheet2!Z$14/_xlfn.STDEV.S(AA$2:AA$31)</f>
        <v>0.76490489971136033</v>
      </c>
      <c r="AZ28" s="2">
        <f ca="1">AB28-AVERAGE(AB$2:AB$31)+Sheet2!C$13</f>
        <v>3.4042178149424567</v>
      </c>
      <c r="BA28" s="2">
        <f ca="1">AC28-AVERAGE(AC$2:AC$31)+Sheet2!D$13</f>
        <v>5.7920322602321228</v>
      </c>
      <c r="BB28" s="2">
        <f ca="1">AD28-AVERAGE(AD$2:AD$31)+Sheet2!E$13</f>
        <v>16.760058398440655</v>
      </c>
      <c r="BC28" s="2">
        <f ca="1">AE28-AVERAGE(AE$2:AE$31)+Sheet2!F$13</f>
        <v>24.402935990910319</v>
      </c>
      <c r="BD28" s="2">
        <f ca="1">AF28-AVERAGE(AF$2:AF$31)+Sheet2!G$13</f>
        <v>19.033363275491816</v>
      </c>
      <c r="BE28" s="2">
        <f ca="1">AG28-AVERAGE(AG$2:AG$31)+Sheet2!H$13</f>
        <v>27.480494478173487</v>
      </c>
      <c r="BF28" s="2">
        <f ca="1">AH28-AVERAGE(AH$2:AH$31)+Sheet2!I$13</f>
        <v>12.96838217217207</v>
      </c>
      <c r="BG28" s="2">
        <f ca="1">AI28-AVERAGE(AI$2:AI$31)+Sheet2!J$13</f>
        <v>20.150787172371032</v>
      </c>
      <c r="BH28" s="2">
        <f ca="1">AJ28-AVERAGE(AJ$2:AJ$31)+Sheet2!K$13</f>
        <v>26.596829074001771</v>
      </c>
      <c r="BI28" s="2">
        <f ca="1">AK28-AVERAGE(AK$2:AK$31)+Sheet2!L$13</f>
        <v>19.319312468158383</v>
      </c>
      <c r="BJ28" s="2">
        <f ca="1">AL28-AVERAGE(AL$2:AL$31)+Sheet2!M$13</f>
        <v>20.742353140556194</v>
      </c>
      <c r="BK28" s="2">
        <f ca="1">AM28-AVERAGE(AM$2:AM$31)+Sheet2!N$13</f>
        <v>8.643670359121348</v>
      </c>
      <c r="BL28" s="2">
        <f ca="1">AN28-AVERAGE(AN$2:AN$31)+Sheet2!O$13</f>
        <v>6.6318098331697941</v>
      </c>
      <c r="BM28" s="2">
        <f ca="1">AO28-AVERAGE(AO$2:AO$31)+Sheet2!P$13</f>
        <v>20.900449155328854</v>
      </c>
      <c r="BN28" s="2">
        <f ca="1">AP28-AVERAGE(AP$2:AP$31)+Sheet2!Q$13</f>
        <v>11.893870969616961</v>
      </c>
      <c r="BO28" s="2">
        <f ca="1">AQ28-AVERAGE(AQ$2:AQ$31)+Sheet2!R$13</f>
        <v>10.892632868686283</v>
      </c>
      <c r="BP28" s="2">
        <f ca="1">AR28-AVERAGE(AR$2:AR$31)+Sheet2!S$13</f>
        <v>4.7744828333189533</v>
      </c>
      <c r="BQ28" s="2">
        <f ca="1">AS28-AVERAGE(AS$2:AS$31)+Sheet2!T$13</f>
        <v>12.250760546789325</v>
      </c>
      <c r="BR28" s="2">
        <f ca="1">AT28-AVERAGE(AT$2:AT$31)+Sheet2!U$13</f>
        <v>22.042947577729745</v>
      </c>
      <c r="BS28" s="2">
        <f ca="1">AU28-AVERAGE(AU$2:AU$31)+Sheet2!V$13</f>
        <v>25.469873682831224</v>
      </c>
      <c r="BT28" s="2">
        <f ca="1">AV28-AVERAGE(AV$2:AV$31)+Sheet2!W$13</f>
        <v>26.045116766070183</v>
      </c>
      <c r="BU28" s="2">
        <f ca="1">AW28-AVERAGE(AW$2:AW$31)+Sheet2!X$13</f>
        <v>20.566489944745406</v>
      </c>
      <c r="BV28" s="2">
        <f ca="1">AX28-AVERAGE(AX$2:AX$31)+Sheet2!Y$13</f>
        <v>21.87396445271315</v>
      </c>
      <c r="BW28" s="2">
        <f ca="1">AY28-AVERAGE(AY$2:AY$31)+Sheet2!Z$13</f>
        <v>7.6500946220965211</v>
      </c>
      <c r="BZ28" s="2">
        <f ca="1">BA28-AVERAGE(BA$2:BA$31)+Sheet2!AB$13</f>
        <v>-0.97217926510784225</v>
      </c>
      <c r="CA28" s="2">
        <f ca="1">BB28-AVERAGE(BB$2:BB$31)+Sheet2!AC$13</f>
        <v>-1.8638910929067682</v>
      </c>
      <c r="CB28" s="2">
        <f ca="1">BC28-AVERAGE(BC$2:BC$31)+Sheet2!AD$13</f>
        <v>3.3120748897048875</v>
      </c>
      <c r="CC28" s="2">
        <f ca="1">BD28-AVERAGE(BD$2:BD$31)+Sheet2!AE$13</f>
        <v>-0.12841969005233214</v>
      </c>
    </row>
    <row r="29" spans="2:81" x14ac:dyDescent="0.3">
      <c r="B29">
        <v>28</v>
      </c>
      <c r="C29" s="1">
        <v>1</v>
      </c>
      <c r="D29" s="2">
        <f t="shared" ca="1" si="3"/>
        <v>0.48272910885910758</v>
      </c>
      <c r="E29" s="2">
        <f t="shared" ca="1" si="3"/>
        <v>3.0363109149424083E-2</v>
      </c>
      <c r="F29" s="2">
        <f t="shared" ca="1" si="3"/>
        <v>0.10807242644073245</v>
      </c>
      <c r="G29" s="2">
        <f t="shared" ca="1" si="3"/>
        <v>0.90669642640628645</v>
      </c>
      <c r="H29" s="2">
        <f t="shared" ca="1" si="3"/>
        <v>9.6002931837036676E-2</v>
      </c>
      <c r="I29" s="2">
        <f t="shared" ca="1" si="3"/>
        <v>0.26664102657129274</v>
      </c>
      <c r="J29" s="2">
        <f t="shared" ca="1" si="3"/>
        <v>0.64973362254581002</v>
      </c>
      <c r="K29" s="2">
        <f t="shared" ca="1" si="3"/>
        <v>0.34868933869850216</v>
      </c>
      <c r="L29" s="2">
        <f t="shared" ca="1" si="3"/>
        <v>6.7707321336221815E-2</v>
      </c>
      <c r="M29" s="2">
        <f t="shared" ca="1" si="3"/>
        <v>0.28469999151901459</v>
      </c>
      <c r="N29" s="2">
        <f t="shared" ca="1" si="3"/>
        <v>0.80266327316293762</v>
      </c>
      <c r="O29" s="2">
        <f t="shared" ca="1" si="3"/>
        <v>0.59129077601323643</v>
      </c>
      <c r="P29" s="2">
        <f t="shared" ca="1" si="3"/>
        <v>0.94548423957382965</v>
      </c>
      <c r="Q29" s="2">
        <f t="shared" ca="1" si="2"/>
        <v>0.71678993744388375</v>
      </c>
      <c r="R29" s="2">
        <f t="shared" ca="1" si="2"/>
        <v>0.41902433600817635</v>
      </c>
      <c r="S29" s="2">
        <f t="shared" ca="1" si="2"/>
        <v>0.39164921154953336</v>
      </c>
      <c r="T29" s="2">
        <f t="shared" ca="1" si="2"/>
        <v>0.33900940995592499</v>
      </c>
      <c r="U29" s="2">
        <f t="shared" ca="1" si="2"/>
        <v>0.61882966934656669</v>
      </c>
      <c r="V29" s="2">
        <f t="shared" ca="1" si="2"/>
        <v>0.33143268592373643</v>
      </c>
      <c r="W29" s="2">
        <f t="shared" ca="1" si="2"/>
        <v>0.20172465422719243</v>
      </c>
      <c r="X29" s="2">
        <f t="shared" ca="1" si="2"/>
        <v>0.27512899176888805</v>
      </c>
      <c r="Y29" s="2">
        <f t="shared" ca="1" si="2"/>
        <v>0.7505597611377135</v>
      </c>
      <c r="Z29" s="2">
        <f t="shared" ca="1" si="2"/>
        <v>0.44028125294148635</v>
      </c>
      <c r="AA29" s="2">
        <f t="shared" ca="1" si="2"/>
        <v>0.56265512206548496</v>
      </c>
      <c r="AB29" s="2">
        <f ca="1">D29*Sheet2!C$14/_xlfn.STDEV.S(D$2:D$31)</f>
        <v>0.96865359402905071</v>
      </c>
      <c r="AC29" s="2">
        <f ca="1">E29*Sheet2!D$14/_xlfn.STDEV.S(E$2:E$31)</f>
        <v>0.22269460656603168</v>
      </c>
      <c r="AD29" s="2">
        <f ca="1">F29*Sheet2!E$14/_xlfn.STDEV.S(F$2:F$31)</f>
        <v>0.50457391663593365</v>
      </c>
      <c r="AE29" s="2">
        <f ca="1">G29*Sheet2!F$14/_xlfn.STDEV.S(G$2:G$31)</f>
        <v>7.3933445483792832</v>
      </c>
      <c r="AF29" s="2">
        <f ca="1">H29*Sheet2!G$14/_xlfn.STDEV.S(H$2:H$31)</f>
        <v>0.61653846874696561</v>
      </c>
      <c r="AG29" s="2">
        <f ca="1">I29*Sheet2!H$14/_xlfn.STDEV.S(I$2:I$31)</f>
        <v>2.8742782246261056</v>
      </c>
      <c r="AH29" s="2">
        <f ca="1">J29*Sheet2!I$14/_xlfn.STDEV.S(J$2:J$31)</f>
        <v>1.5837082978213954</v>
      </c>
      <c r="AI29" s="2">
        <f ca="1">K29*Sheet2!J$14/_xlfn.STDEV.S(K$2:K$31)</f>
        <v>1.0242684284581767</v>
      </c>
      <c r="AJ29" s="2">
        <f ca="1">L29*Sheet2!K$14/_xlfn.STDEV.S(L$2:L$31)</f>
        <v>0.30338787301021919</v>
      </c>
      <c r="AK29" s="2">
        <f ca="1">M29*Sheet2!L$14/_xlfn.STDEV.S(M$2:M$31)</f>
        <v>1.6966448140305737</v>
      </c>
      <c r="AL29" s="2">
        <f ca="1">N29*Sheet2!M$14/_xlfn.STDEV.S(N$2:N$31)</f>
        <v>3.0402081572797366</v>
      </c>
      <c r="AM29" s="2">
        <f ca="1">O29*Sheet2!N$14/_xlfn.STDEV.S(O$2:O$31)</f>
        <v>2.0082205758615239</v>
      </c>
      <c r="AN29" s="2">
        <f ca="1">P29*Sheet2!O$14/_xlfn.STDEV.S(P$2:P$31)</f>
        <v>3.5705085901854319</v>
      </c>
      <c r="AO29" s="2">
        <f ca="1">Q29*Sheet2!P$14/_xlfn.STDEV.S(Q$2:Q$31)</f>
        <v>5.5122416507616796</v>
      </c>
      <c r="AP29" s="2">
        <f ca="1">R29*Sheet2!Q$14/_xlfn.STDEV.S(R$2:R$31)</f>
        <v>1.9852817039737267</v>
      </c>
      <c r="AQ29" s="2">
        <f ca="1">S29*Sheet2!R$14/_xlfn.STDEV.S(S$2:S$31)</f>
        <v>1.3084541858606107</v>
      </c>
      <c r="AR29" s="2">
        <f ca="1">T29*Sheet2!S$14/_xlfn.STDEV.S(T$2:T$31)</f>
        <v>0.79212402929467618</v>
      </c>
      <c r="AS29" s="2">
        <f ca="1">U29*Sheet2!T$14/_xlfn.STDEV.S(U$2:U$31)</f>
        <v>2.6822846488758536</v>
      </c>
      <c r="AT29" s="2">
        <f ca="1">V29*Sheet2!U$14/_xlfn.STDEV.S(V$2:V$31)</f>
        <v>1.3412267477072781</v>
      </c>
      <c r="AU29" s="2">
        <f ca="1">W29*Sheet2!V$14/_xlfn.STDEV.S(W$2:W$31)</f>
        <v>0.68422977556426146</v>
      </c>
      <c r="AV29" s="2">
        <f ca="1">X29*Sheet2!W$14/_xlfn.STDEV.S(X$2:X$31)</f>
        <v>1.4948241194829495</v>
      </c>
      <c r="AW29" s="2">
        <f ca="1">Y29*Sheet2!X$14/_xlfn.STDEV.S(Y$2:Y$31)</f>
        <v>1.6746165017044328</v>
      </c>
      <c r="AX29" s="2">
        <f ca="1">Z29*Sheet2!Y$14/_xlfn.STDEV.S(Z$2:Z$31)</f>
        <v>1.9356602131151572</v>
      </c>
      <c r="AY29" s="2">
        <f ca="1">AA29*Sheet2!Z$14/_xlfn.STDEV.S(AA$2:AA$31)</f>
        <v>1.3496441197509308</v>
      </c>
      <c r="AZ29" s="2">
        <f ca="1">AB29-AVERAGE(AB$2:AB$31)+Sheet2!C$13</f>
        <v>3.2268714121386743</v>
      </c>
      <c r="BA29" s="2">
        <f ca="1">AC29-AVERAGE(AC$2:AC$31)+Sheet2!D$13</f>
        <v>3.2272291024187152</v>
      </c>
      <c r="BB29" s="2">
        <f ca="1">AD29-AVERAGE(AD$2:AD$31)+Sheet2!E$13</f>
        <v>16.178927387771036</v>
      </c>
      <c r="BC29" s="2">
        <f ca="1">AE29-AVERAGE(AE$2:AE$31)+Sheet2!F$13</f>
        <v>24.369559859343006</v>
      </c>
      <c r="BD29" s="2">
        <f ca="1">AF29-AVERAGE(AF$2:AF$31)+Sheet2!G$13</f>
        <v>16.70342112684353</v>
      </c>
      <c r="BE29" s="2">
        <f ca="1">AG29-AVERAGE(AG$2:AG$31)+Sheet2!H$13</f>
        <v>26.495093187793874</v>
      </c>
      <c r="BF29" s="2">
        <f ca="1">AH29-AVERAGE(AH$2:AH$31)+Sheet2!I$13</f>
        <v>12.368893689807575</v>
      </c>
      <c r="BG29" s="2">
        <f ca="1">AI29-AVERAGE(AI$2:AI$31)+Sheet2!J$13</f>
        <v>19.265637222063809</v>
      </c>
      <c r="BH29" s="2">
        <f ca="1">AJ29-AVERAGE(AJ$2:AJ$31)+Sheet2!K$13</f>
        <v>26.538176065748257</v>
      </c>
      <c r="BI29" s="2">
        <f ca="1">AK29-AVERAGE(AK$2:AK$31)+Sheet2!L$13</f>
        <v>18.636428723907262</v>
      </c>
      <c r="BJ29" s="2">
        <f ca="1">AL29-AVERAGE(AL$2:AL$31)+Sheet2!M$13</f>
        <v>21.177148947507302</v>
      </c>
      <c r="BK29" s="2">
        <f ca="1">AM29-AVERAGE(AM$2:AM$31)+Sheet2!N$13</f>
        <v>8.5513387263436513</v>
      </c>
      <c r="BL29" s="2">
        <f ca="1">AN29-AVERAGE(AN$2:AN$31)+Sheet2!O$13</f>
        <v>7.6799975778050129</v>
      </c>
      <c r="BM29" s="2">
        <f ca="1">AO29-AVERAGE(AO$2:AO$31)+Sheet2!P$13</f>
        <v>24.212850596335258</v>
      </c>
      <c r="BN29" s="2">
        <f ca="1">AP29-AVERAGE(AP$2:AP$31)+Sheet2!Q$13</f>
        <v>13.275833872236021</v>
      </c>
      <c r="BO29" s="2">
        <f ca="1">AQ29-AVERAGE(AQ$2:AQ$31)+Sheet2!R$13</f>
        <v>9.4130839457731952</v>
      </c>
      <c r="BP29" s="2">
        <f ca="1">AR29-AVERAGE(AR$2:AR$31)+Sheet2!S$13</f>
        <v>3.4332291279823148</v>
      </c>
      <c r="BQ29" s="2">
        <f ca="1">AS29-AVERAGE(AS$2:AS$31)+Sheet2!T$13</f>
        <v>13.356844070172066</v>
      </c>
      <c r="BR29" s="2">
        <f ca="1">AT29-AVERAGE(AT$2:AT$31)+Sheet2!U$13</f>
        <v>22.731402223815113</v>
      </c>
      <c r="BS29" s="2">
        <f ca="1">AU29-AVERAGE(AU$2:AU$31)+Sheet2!V$13</f>
        <v>22.888108506948061</v>
      </c>
      <c r="BT29" s="2">
        <f ca="1">AV29-AVERAGE(AV$2:AV$31)+Sheet2!W$13</f>
        <v>23.308800633353041</v>
      </c>
      <c r="BU29" s="2">
        <f ca="1">AW29-AVERAGE(AW$2:AW$31)+Sheet2!X$13</f>
        <v>22.084644708883992</v>
      </c>
      <c r="BV29" s="2">
        <f ca="1">AX29-AVERAGE(AX$2:AX$31)+Sheet2!Y$13</f>
        <v>21.569104161074847</v>
      </c>
      <c r="BW29" s="2">
        <f ca="1">AY29-AVERAGE(AY$2:AY$31)+Sheet2!Z$13</f>
        <v>8.2348338421360925</v>
      </c>
      <c r="BZ29" s="2">
        <f ca="1">BA29-AVERAGE(BA$2:BA$31)+Sheet2!AB$13</f>
        <v>-3.5369824229212496</v>
      </c>
      <c r="CA29" s="2">
        <f ca="1">BB29-AVERAGE(BB$2:BB$31)+Sheet2!AC$13</f>
        <v>-2.4450221035763873</v>
      </c>
      <c r="CB29" s="2">
        <f ca="1">BC29-AVERAGE(BC$2:BC$31)+Sheet2!AD$13</f>
        <v>3.2786987581375753</v>
      </c>
      <c r="CC29" s="2">
        <f ca="1">BD29-AVERAGE(BD$2:BD$31)+Sheet2!AE$13</f>
        <v>-2.4583618387006179</v>
      </c>
    </row>
    <row r="30" spans="2:81" x14ac:dyDescent="0.3">
      <c r="B30">
        <v>29</v>
      </c>
      <c r="C30" s="1">
        <v>1</v>
      </c>
      <c r="D30" s="2">
        <f t="shared" ca="1" si="3"/>
        <v>0.10117325748624695</v>
      </c>
      <c r="E30" s="2">
        <f t="shared" ca="1" si="3"/>
        <v>0.68389347467998973</v>
      </c>
      <c r="F30" s="2">
        <f t="shared" ca="1" si="3"/>
        <v>0.9500436876479752</v>
      </c>
      <c r="G30" s="2">
        <f t="shared" ca="1" si="3"/>
        <v>0.83043406668854769</v>
      </c>
      <c r="H30" s="2">
        <f t="shared" ca="1" si="3"/>
        <v>0.67583590063210697</v>
      </c>
      <c r="I30" s="2">
        <f t="shared" ca="1" si="3"/>
        <v>4.320277493455571E-2</v>
      </c>
      <c r="J30" s="2">
        <f t="shared" ca="1" si="3"/>
        <v>0.94077391710413671</v>
      </c>
      <c r="K30" s="2">
        <f t="shared" ca="1" si="3"/>
        <v>0.21677405110826076</v>
      </c>
      <c r="L30" s="2">
        <f t="shared" ca="1" si="3"/>
        <v>0.70348333298030918</v>
      </c>
      <c r="M30" s="2">
        <f t="shared" ca="1" si="3"/>
        <v>0.1141298323783051</v>
      </c>
      <c r="N30" s="2">
        <f t="shared" ca="1" si="3"/>
        <v>0.29359797896500051</v>
      </c>
      <c r="O30" s="2">
        <f t="shared" ca="1" si="3"/>
        <v>0.24533391328911525</v>
      </c>
      <c r="P30" s="2">
        <f t="shared" ca="1" si="3"/>
        <v>0.11988438408403956</v>
      </c>
      <c r="Q30" s="2">
        <f t="shared" ca="1" si="2"/>
        <v>0.62976164004380986</v>
      </c>
      <c r="R30" s="2">
        <f t="shared" ca="1" si="2"/>
        <v>0.81007127611928664</v>
      </c>
      <c r="S30" s="2">
        <f t="shared" ca="1" si="2"/>
        <v>0.99786275151470427</v>
      </c>
      <c r="T30" s="2">
        <f t="shared" ca="1" si="2"/>
        <v>0.19598949294815793</v>
      </c>
      <c r="U30" s="2">
        <f t="shared" ca="1" si="2"/>
        <v>0.74160901425226966</v>
      </c>
      <c r="V30" s="2">
        <f t="shared" ca="1" si="2"/>
        <v>0.49657492236291034</v>
      </c>
      <c r="W30" s="2">
        <f t="shared" ca="1" si="2"/>
        <v>0.73827418576875581</v>
      </c>
      <c r="X30" s="2">
        <f t="shared" ca="1" si="2"/>
        <v>9.3849564802117258E-2</v>
      </c>
      <c r="Y30" s="2">
        <f t="shared" ca="1" si="2"/>
        <v>0.42140301136171388</v>
      </c>
      <c r="Z30" s="2">
        <f t="shared" ca="1" si="2"/>
        <v>0.81160821748013734</v>
      </c>
      <c r="AA30" s="2">
        <f t="shared" ca="1" si="2"/>
        <v>0.35306123031903891</v>
      </c>
      <c r="AB30" s="2">
        <f ca="1">D30*Sheet2!C$14/_xlfn.STDEV.S(D$2:D$31)</f>
        <v>0.20301622107541709</v>
      </c>
      <c r="AC30" s="2">
        <f ca="1">E30*Sheet2!D$14/_xlfn.STDEV.S(E$2:E$31)</f>
        <v>5.0159352103052139</v>
      </c>
      <c r="AD30" s="2">
        <f ca="1">F30*Sheet2!E$14/_xlfn.STDEV.S(F$2:F$31)</f>
        <v>4.4356111937088061</v>
      </c>
      <c r="AE30" s="2">
        <f ca="1">G30*Sheet2!F$14/_xlfn.STDEV.S(G$2:G$31)</f>
        <v>6.7714893330670822</v>
      </c>
      <c r="AF30" s="2">
        <f ca="1">H30*Sheet2!G$14/_xlfn.STDEV.S(H$2:H$31)</f>
        <v>4.3402719409366659</v>
      </c>
      <c r="AG30" s="2">
        <f ca="1">I30*Sheet2!H$14/_xlfn.STDEV.S(I$2:I$31)</f>
        <v>0.46570776010950599</v>
      </c>
      <c r="AH30" s="2">
        <f ca="1">J30*Sheet2!I$14/_xlfn.STDEV.S(J$2:J$31)</f>
        <v>2.2931112184927929</v>
      </c>
      <c r="AI30" s="2">
        <f ca="1">K30*Sheet2!J$14/_xlfn.STDEV.S(K$2:K$31)</f>
        <v>0.63676973172717344</v>
      </c>
      <c r="AJ30" s="2">
        <f ca="1">L30*Sheet2!K$14/_xlfn.STDEV.S(L$2:L$31)</f>
        <v>3.1522191083471012</v>
      </c>
      <c r="AK30" s="2">
        <f ca="1">M30*Sheet2!L$14/_xlfn.STDEV.S(M$2:M$31)</f>
        <v>0.68014680013749595</v>
      </c>
      <c r="AL30" s="2">
        <f ca="1">N30*Sheet2!M$14/_xlfn.STDEV.S(N$2:N$31)</f>
        <v>1.1120466084026805</v>
      </c>
      <c r="AM30" s="2">
        <f ca="1">O30*Sheet2!N$14/_xlfn.STDEV.S(O$2:O$31)</f>
        <v>0.83323574899263975</v>
      </c>
      <c r="AN30" s="2">
        <f ca="1">P30*Sheet2!O$14/_xlfn.STDEV.S(P$2:P$31)</f>
        <v>0.4527290940292063</v>
      </c>
      <c r="AO30" s="2">
        <f ca="1">Q30*Sheet2!P$14/_xlfn.STDEV.S(Q$2:Q$31)</f>
        <v>4.8429786203203262</v>
      </c>
      <c r="AP30" s="2">
        <f ca="1">R30*Sheet2!Q$14/_xlfn.STDEV.S(R$2:R$31)</f>
        <v>3.8380102184873763</v>
      </c>
      <c r="AQ30" s="2">
        <f ca="1">S30*Sheet2!R$14/_xlfn.STDEV.S(S$2:S$31)</f>
        <v>3.3337426851136907</v>
      </c>
      <c r="AR30" s="2">
        <f ca="1">T30*Sheet2!S$14/_xlfn.STDEV.S(T$2:T$31)</f>
        <v>0.45794595162918744</v>
      </c>
      <c r="AS30" s="2">
        <f ca="1">U30*Sheet2!T$14/_xlfn.STDEV.S(U$2:U$31)</f>
        <v>3.214465260686767</v>
      </c>
      <c r="AT30" s="2">
        <f ca="1">V30*Sheet2!U$14/_xlfn.STDEV.S(V$2:V$31)</f>
        <v>2.0095168533469674</v>
      </c>
      <c r="AU30" s="2">
        <f ca="1">W30*Sheet2!V$14/_xlfn.STDEV.S(W$2:W$31)</f>
        <v>2.5041519211851981</v>
      </c>
      <c r="AV30" s="2">
        <f ca="1">X30*Sheet2!W$14/_xlfn.STDEV.S(X$2:X$31)</f>
        <v>0.50990116369498129</v>
      </c>
      <c r="AW30" s="2">
        <f ca="1">Y30*Sheet2!X$14/_xlfn.STDEV.S(Y$2:Y$31)</f>
        <v>0.94021618694901798</v>
      </c>
      <c r="AX30" s="2">
        <f ca="1">Z30*Sheet2!Y$14/_xlfn.STDEV.S(Z$2:Z$31)</f>
        <v>3.5681685847805156</v>
      </c>
      <c r="AY30" s="2">
        <f ca="1">AA30*Sheet2!Z$14/_xlfn.STDEV.S(AA$2:AA$31)</f>
        <v>0.84689003036688149</v>
      </c>
      <c r="AZ30" s="2">
        <f ca="1">AB30-AVERAGE(AB$2:AB$31)+Sheet2!C$13</f>
        <v>2.4612340391850402</v>
      </c>
      <c r="BA30" s="2">
        <f ca="1">AC30-AVERAGE(AC$2:AC$31)+Sheet2!D$13</f>
        <v>8.0204697061578969</v>
      </c>
      <c r="BB30" s="2">
        <f ca="1">AD30-AVERAGE(AD$2:AD$31)+Sheet2!E$13</f>
        <v>20.109964664843911</v>
      </c>
      <c r="BC30" s="2">
        <f ca="1">AE30-AVERAGE(AE$2:AE$31)+Sheet2!F$13</f>
        <v>23.747704644030804</v>
      </c>
      <c r="BD30" s="2">
        <f ca="1">AF30-AVERAGE(AF$2:AF$31)+Sheet2!G$13</f>
        <v>20.42715459903323</v>
      </c>
      <c r="BE30" s="2">
        <f ca="1">AG30-AVERAGE(AG$2:AG$31)+Sheet2!H$13</f>
        <v>24.086522723277273</v>
      </c>
      <c r="BF30" s="2">
        <f ca="1">AH30-AVERAGE(AH$2:AH$31)+Sheet2!I$13</f>
        <v>13.078296610478972</v>
      </c>
      <c r="BG30" s="2">
        <f ca="1">AI30-AVERAGE(AI$2:AI$31)+Sheet2!J$13</f>
        <v>18.878138525332808</v>
      </c>
      <c r="BH30" s="2">
        <f ca="1">AJ30-AVERAGE(AJ$2:AJ$31)+Sheet2!K$13</f>
        <v>29.387007301085138</v>
      </c>
      <c r="BI30" s="2">
        <f ca="1">AK30-AVERAGE(AK$2:AK$31)+Sheet2!L$13</f>
        <v>17.619930710014181</v>
      </c>
      <c r="BJ30" s="2">
        <f ca="1">AL30-AVERAGE(AL$2:AL$31)+Sheet2!M$13</f>
        <v>19.248987398630248</v>
      </c>
      <c r="BK30" s="2">
        <f ca="1">AM30-AVERAGE(AM$2:AM$31)+Sheet2!N$13</f>
        <v>7.3763538994747684</v>
      </c>
      <c r="BL30" s="2">
        <f ca="1">AN30-AVERAGE(AN$2:AN$31)+Sheet2!O$13</f>
        <v>4.5622180816487869</v>
      </c>
      <c r="BM30" s="2">
        <f ca="1">AO30-AVERAGE(AO$2:AO$31)+Sheet2!P$13</f>
        <v>23.543587565893905</v>
      </c>
      <c r="BN30" s="2">
        <f ca="1">AP30-AVERAGE(AP$2:AP$31)+Sheet2!Q$13</f>
        <v>15.128562386749669</v>
      </c>
      <c r="BO30" s="2">
        <f ca="1">AQ30-AVERAGE(AQ$2:AQ$31)+Sheet2!R$13</f>
        <v>11.438372445026275</v>
      </c>
      <c r="BP30" s="2">
        <f ca="1">AR30-AVERAGE(AR$2:AR$31)+Sheet2!S$13</f>
        <v>3.0990510503168265</v>
      </c>
      <c r="BQ30" s="2">
        <f ca="1">AS30-AVERAGE(AS$2:AS$31)+Sheet2!T$13</f>
        <v>13.889024681982979</v>
      </c>
      <c r="BR30" s="2">
        <f ca="1">AT30-AVERAGE(AT$2:AT$31)+Sheet2!U$13</f>
        <v>23.399692329454805</v>
      </c>
      <c r="BS30" s="2">
        <f ca="1">AU30-AVERAGE(AU$2:AU$31)+Sheet2!V$13</f>
        <v>24.708030652568997</v>
      </c>
      <c r="BT30" s="2">
        <f ca="1">AV30-AVERAGE(AV$2:AV$31)+Sheet2!W$13</f>
        <v>22.323877677565072</v>
      </c>
      <c r="BU30" s="2">
        <f ca="1">AW30-AVERAGE(AW$2:AW$31)+Sheet2!X$13</f>
        <v>21.350244394128577</v>
      </c>
      <c r="BV30" s="2">
        <f ca="1">AX30-AVERAGE(AX$2:AX$31)+Sheet2!Y$13</f>
        <v>23.201612532740207</v>
      </c>
      <c r="BW30" s="2">
        <f ca="1">AY30-AVERAGE(AY$2:AY$31)+Sheet2!Z$13</f>
        <v>7.7320797527520426</v>
      </c>
      <c r="BZ30" s="2">
        <f ca="1">BA30-AVERAGE(BA$2:BA$31)+Sheet2!AB$13</f>
        <v>1.2562581808179318</v>
      </c>
      <c r="CA30" s="2">
        <f ca="1">BB30-AVERAGE(BB$2:BB$31)+Sheet2!AC$13</f>
        <v>1.4860151734964875</v>
      </c>
      <c r="CB30" s="2">
        <f ca="1">BC30-AVERAGE(BC$2:BC$31)+Sheet2!AD$13</f>
        <v>2.6568435428253734</v>
      </c>
      <c r="CC30" s="2">
        <f ca="1">BD30-AVERAGE(BD$2:BD$31)+Sheet2!AE$13</f>
        <v>1.2653716334890821</v>
      </c>
    </row>
    <row r="31" spans="2:81" x14ac:dyDescent="0.3">
      <c r="B31">
        <v>30</v>
      </c>
      <c r="C31" s="1">
        <v>1</v>
      </c>
      <c r="D31" s="2">
        <f t="shared" ca="1" si="3"/>
        <v>0.759241050398617</v>
      </c>
      <c r="E31" s="2">
        <f t="shared" ca="1" si="3"/>
        <v>0.78551800741012512</v>
      </c>
      <c r="F31" s="2">
        <f t="shared" ca="1" si="3"/>
        <v>0.7141685983837307</v>
      </c>
      <c r="G31" s="2">
        <f t="shared" ca="1" si="3"/>
        <v>0.21376147858531047</v>
      </c>
      <c r="H31" s="2">
        <f t="shared" ca="1" si="3"/>
        <v>0.55092353204566979</v>
      </c>
      <c r="I31" s="2">
        <f t="shared" ca="1" si="3"/>
        <v>0.44560813694753154</v>
      </c>
      <c r="J31" s="2">
        <f t="shared" ca="1" si="3"/>
        <v>0.14284663097988737</v>
      </c>
      <c r="K31" s="2">
        <f t="shared" ca="1" si="3"/>
        <v>8.6259508307376276E-2</v>
      </c>
      <c r="L31" s="2">
        <f t="shared" ca="1" si="3"/>
        <v>0.55112698959001505</v>
      </c>
      <c r="M31" s="2">
        <f t="shared" ca="1" si="3"/>
        <v>0.31650183029035639</v>
      </c>
      <c r="N31" s="2">
        <f t="shared" ca="1" si="3"/>
        <v>0.82976716450809829</v>
      </c>
      <c r="O31" s="2">
        <f t="shared" ca="1" si="3"/>
        <v>0.5509018660274364</v>
      </c>
      <c r="P31" s="2">
        <f t="shared" ca="1" si="3"/>
        <v>0.24743570291320882</v>
      </c>
      <c r="Q31" s="2">
        <f t="shared" ca="1" si="2"/>
        <v>0.66553276177750098</v>
      </c>
      <c r="R31" s="2">
        <f t="shared" ca="1" si="2"/>
        <v>0.75601369113725592</v>
      </c>
      <c r="S31" s="2">
        <f t="shared" ca="1" si="2"/>
        <v>0.14411307888908942</v>
      </c>
      <c r="T31" s="2">
        <f t="shared" ca="1" si="2"/>
        <v>0.46903567330876372</v>
      </c>
      <c r="U31" s="2">
        <f t="shared" ca="1" si="2"/>
        <v>0.29499563602684342</v>
      </c>
      <c r="V31" s="2">
        <f t="shared" ca="1" si="2"/>
        <v>0.22986903239600254</v>
      </c>
      <c r="W31" s="2">
        <f t="shared" ca="1" si="2"/>
        <v>0.91611470570679621</v>
      </c>
      <c r="X31" s="2">
        <f t="shared" ca="1" si="2"/>
        <v>0.99348635864669244</v>
      </c>
      <c r="Y31" s="2">
        <f t="shared" ca="1" si="2"/>
        <v>0.64657167441121266</v>
      </c>
      <c r="Z31" s="2">
        <f t="shared" ca="1" si="2"/>
        <v>0.89983683909091183</v>
      </c>
      <c r="AA31" s="2">
        <f t="shared" ca="1" si="2"/>
        <v>0.12440670862543868</v>
      </c>
      <c r="AB31" s="2">
        <f ca="1">D31*Sheet2!C$14/_xlfn.STDEV.S(D$2:D$31)</f>
        <v>1.5235078198229448</v>
      </c>
      <c r="AC31" s="2">
        <f ca="1">E31*Sheet2!D$14/_xlfn.STDEV.S(E$2:E$31)</f>
        <v>5.7612882379685084</v>
      </c>
      <c r="AD31" s="2">
        <f ca="1">F31*Sheet2!E$14/_xlfn.STDEV.S(F$2:F$31)</f>
        <v>3.3343458520614657</v>
      </c>
      <c r="AE31" s="2">
        <f ca="1">G31*Sheet2!F$14/_xlfn.STDEV.S(G$2:G$31)</f>
        <v>1.7430445475738807</v>
      </c>
      <c r="AF31" s="2">
        <f ca="1">H31*Sheet2!G$14/_xlfn.STDEV.S(H$2:H$31)</f>
        <v>3.5380747685985621</v>
      </c>
      <c r="AG31" s="2">
        <f ca="1">I31*Sheet2!H$14/_xlfn.STDEV.S(I$2:I$31)</f>
        <v>4.803468473003516</v>
      </c>
      <c r="AH31" s="2">
        <f ca="1">J31*Sheet2!I$14/_xlfn.STDEV.S(J$2:J$31)</f>
        <v>0.3481848359828848</v>
      </c>
      <c r="AI31" s="2">
        <f ca="1">K31*Sheet2!J$14/_xlfn.STDEV.S(K$2:K$31)</f>
        <v>0.25338569668735006</v>
      </c>
      <c r="AJ31" s="2">
        <f ca="1">L31*Sheet2!K$14/_xlfn.STDEV.S(L$2:L$31)</f>
        <v>2.4695297617805632</v>
      </c>
      <c r="AK31" s="2">
        <f ca="1">M31*Sheet2!L$14/_xlfn.STDEV.S(M$2:M$31)</f>
        <v>1.8861651035822151</v>
      </c>
      <c r="AL31" s="2">
        <f ca="1">N31*Sheet2!M$14/_xlfn.STDEV.S(N$2:N$31)</f>
        <v>3.1428682319544801</v>
      </c>
      <c r="AM31" s="2">
        <f ca="1">O31*Sheet2!N$14/_xlfn.STDEV.S(O$2:O$31)</f>
        <v>1.8710463743341745</v>
      </c>
      <c r="AN31" s="2">
        <f ca="1">P31*Sheet2!O$14/_xlfn.STDEV.S(P$2:P$31)</f>
        <v>0.93441145372068923</v>
      </c>
      <c r="AO31" s="2">
        <f ca="1">Q31*Sheet2!P$14/_xlfn.STDEV.S(Q$2:Q$31)</f>
        <v>5.1180648859256603</v>
      </c>
      <c r="AP31" s="2">
        <f ca="1">R31*Sheet2!Q$14/_xlfn.STDEV.S(R$2:R$31)</f>
        <v>3.5818925537039723</v>
      </c>
      <c r="AQ31" s="2">
        <f ca="1">S31*Sheet2!R$14/_xlfn.STDEV.S(S$2:S$31)</f>
        <v>0.48146493277400831</v>
      </c>
      <c r="AR31" s="2">
        <f ca="1">T31*Sheet2!S$14/_xlfn.STDEV.S(T$2:T$31)</f>
        <v>1.0959413411933994</v>
      </c>
      <c r="AS31" s="2">
        <f ca="1">U31*Sheet2!T$14/_xlfn.STDEV.S(U$2:U$31)</f>
        <v>1.278643066412247</v>
      </c>
      <c r="AT31" s="2">
        <f ca="1">V31*Sheet2!U$14/_xlfn.STDEV.S(V$2:V$31)</f>
        <v>0.93022356518587801</v>
      </c>
      <c r="AU31" s="2">
        <f ca="1">W31*Sheet2!V$14/_xlfn.STDEV.S(W$2:W$31)</f>
        <v>3.1073691110205592</v>
      </c>
      <c r="AV31" s="2">
        <f ca="1">X31*Sheet2!W$14/_xlfn.STDEV.S(X$2:X$31)</f>
        <v>5.3977858230580678</v>
      </c>
      <c r="AW31" s="2">
        <f ca="1">Y31*Sheet2!X$14/_xlfn.STDEV.S(Y$2:Y$31)</f>
        <v>1.4426027767094973</v>
      </c>
      <c r="AX31" s="2">
        <f ca="1">Z31*Sheet2!Y$14/_xlfn.STDEV.S(Z$2:Z$31)</f>
        <v>3.956058442386297</v>
      </c>
      <c r="AY31" s="2">
        <f ca="1">AA31*Sheet2!Z$14/_xlfn.STDEV.S(AA$2:AA$31)</f>
        <v>0.29841509686700951</v>
      </c>
      <c r="AZ31" s="2">
        <f ca="1">AB31-AVERAGE(AB$2:AB$31)+Sheet2!C$13</f>
        <v>3.7817256379325683</v>
      </c>
      <c r="BA31" s="2">
        <f ca="1">AC31-AVERAGE(AC$2:AC$31)+Sheet2!D$13</f>
        <v>8.7658227338211923</v>
      </c>
      <c r="BB31" s="2">
        <f ca="1">AD31-AVERAGE(AD$2:AD$31)+Sheet2!E$13</f>
        <v>19.00869932319657</v>
      </c>
      <c r="BC31" s="2">
        <f ca="1">AE31-AVERAGE(AE$2:AE$31)+Sheet2!F$13</f>
        <v>18.719259858537605</v>
      </c>
      <c r="BD31" s="2">
        <f ca="1">AF31-AVERAGE(AF$2:AF$31)+Sheet2!G$13</f>
        <v>19.624957426695126</v>
      </c>
      <c r="BE31" s="2">
        <f ca="1">AG31-AVERAGE(AG$2:AG$31)+Sheet2!H$13</f>
        <v>28.424283436171283</v>
      </c>
      <c r="BF31" s="2">
        <f ca="1">AH31-AVERAGE(AH$2:AH$31)+Sheet2!I$13</f>
        <v>11.133370227969065</v>
      </c>
      <c r="BG31" s="2">
        <f ca="1">AI31-AVERAGE(AI$2:AI$31)+Sheet2!J$13</f>
        <v>18.494754490292983</v>
      </c>
      <c r="BH31" s="2">
        <f ca="1">AJ31-AVERAGE(AJ$2:AJ$31)+Sheet2!K$13</f>
        <v>28.704317954518601</v>
      </c>
      <c r="BI31" s="2">
        <f ca="1">AK31-AVERAGE(AK$2:AK$31)+Sheet2!L$13</f>
        <v>18.825949013458903</v>
      </c>
      <c r="BJ31" s="2">
        <f ca="1">AL31-AVERAGE(AL$2:AL$31)+Sheet2!M$13</f>
        <v>21.279809022182047</v>
      </c>
      <c r="BK31" s="2">
        <f ca="1">AM31-AVERAGE(AM$2:AM$31)+Sheet2!N$13</f>
        <v>8.4141645248163019</v>
      </c>
      <c r="BL31" s="2">
        <f ca="1">AN31-AVERAGE(AN$2:AN$31)+Sheet2!O$13</f>
        <v>5.0439004413402699</v>
      </c>
      <c r="BM31" s="2">
        <f ca="1">AO31-AVERAGE(AO$2:AO$31)+Sheet2!P$13</f>
        <v>23.81867383149924</v>
      </c>
      <c r="BN31" s="2">
        <f ca="1">AP31-AVERAGE(AP$2:AP$31)+Sheet2!Q$13</f>
        <v>14.872444721966266</v>
      </c>
      <c r="BO31" s="2">
        <f ca="1">AQ31-AVERAGE(AQ$2:AQ$31)+Sheet2!R$13</f>
        <v>8.5860946926865918</v>
      </c>
      <c r="BP31" s="2">
        <f ca="1">AR31-AVERAGE(AR$2:AR$31)+Sheet2!S$13</f>
        <v>3.7370464398810381</v>
      </c>
      <c r="BQ31" s="2">
        <f ca="1">AS31-AVERAGE(AS$2:AS$31)+Sheet2!T$13</f>
        <v>11.95320248770846</v>
      </c>
      <c r="BR31" s="2">
        <f ca="1">AT31-AVERAGE(AT$2:AT$31)+Sheet2!U$13</f>
        <v>22.320399041293715</v>
      </c>
      <c r="BS31" s="2">
        <f ca="1">AU31-AVERAGE(AU$2:AU$31)+Sheet2!V$13</f>
        <v>25.311247842404359</v>
      </c>
      <c r="BT31" s="2">
        <f ca="1">AV31-AVERAGE(AV$2:AV$31)+Sheet2!W$13</f>
        <v>27.21176233692816</v>
      </c>
      <c r="BU31" s="2">
        <f ca="1">AW31-AVERAGE(AW$2:AW$31)+Sheet2!X$13</f>
        <v>21.852630983889057</v>
      </c>
      <c r="BV31" s="2">
        <f ca="1">AX31-AVERAGE(AX$2:AX$31)+Sheet2!Y$13</f>
        <v>23.589502390345988</v>
      </c>
      <c r="BW31" s="2">
        <f ca="1">AY31-AVERAGE(AY$2:AY$31)+Sheet2!Z$13</f>
        <v>7.1836048192521709</v>
      </c>
      <c r="BZ31" s="2">
        <f ca="1">BA31-AVERAGE(BA$2:BA$31)+Sheet2!AB$13</f>
        <v>2.0016112084812274</v>
      </c>
      <c r="CA31" s="2">
        <f ca="1">BB31-AVERAGE(BB$2:BB$31)+Sheet2!AC$13</f>
        <v>0.38474983184914635</v>
      </c>
      <c r="CB31" s="2">
        <f ca="1">BC31-AVERAGE(BC$2:BC$31)+Sheet2!AD$13</f>
        <v>-2.3716012426678263</v>
      </c>
      <c r="CC31" s="2">
        <f ca="1">BD31-AVERAGE(BD$2:BD$31)+Sheet2!AE$13</f>
        <v>0.46317446115097793</v>
      </c>
    </row>
    <row r="32" spans="2:81" x14ac:dyDescent="0.3">
      <c r="B32">
        <v>31</v>
      </c>
      <c r="C32" s="1">
        <v>2</v>
      </c>
      <c r="D32" s="2">
        <f t="shared" ca="1" si="3"/>
        <v>0.52796672428506597</v>
      </c>
      <c r="E32" s="2">
        <f t="shared" ca="1" si="3"/>
        <v>0.39419201728702968</v>
      </c>
      <c r="F32" s="2">
        <f t="shared" ca="1" si="3"/>
        <v>0.4691880371961975</v>
      </c>
      <c r="G32" s="2">
        <f t="shared" ca="1" si="3"/>
        <v>0.5430271789093899</v>
      </c>
      <c r="H32" s="2">
        <f t="shared" ca="1" si="3"/>
        <v>0.25629616522857845</v>
      </c>
      <c r="I32" s="2">
        <f t="shared" ca="1" si="3"/>
        <v>0.40973255808791453</v>
      </c>
      <c r="J32" s="2">
        <f t="shared" ca="1" si="3"/>
        <v>0.52949942924991289</v>
      </c>
      <c r="K32" s="2">
        <f t="shared" ca="1" si="3"/>
        <v>0.60238322488144025</v>
      </c>
      <c r="L32" s="2">
        <f t="shared" ca="1" si="3"/>
        <v>0.24002616098345564</v>
      </c>
      <c r="M32" s="2">
        <f t="shared" ca="1" si="3"/>
        <v>0.34071945461901176</v>
      </c>
      <c r="N32" s="2">
        <f t="shared" ca="1" si="3"/>
        <v>0.83095256218330804</v>
      </c>
      <c r="O32" s="2">
        <f t="shared" ca="1" si="3"/>
        <v>0.12329944004713178</v>
      </c>
      <c r="P32" s="2">
        <f t="shared" ca="1" si="3"/>
        <v>0.75575785520696492</v>
      </c>
      <c r="Q32" s="2">
        <f t="shared" ca="1" si="3"/>
        <v>0.95408373777102928</v>
      </c>
      <c r="R32" s="2">
        <f t="shared" ca="1" si="3"/>
        <v>0.96668175074094687</v>
      </c>
      <c r="S32" s="2">
        <f t="shared" ca="1" si="3"/>
        <v>0.35101686697214218</v>
      </c>
      <c r="T32" s="2">
        <f t="shared" ca="1" si="2"/>
        <v>0.28444495226111477</v>
      </c>
      <c r="U32" s="2">
        <f t="shared" ca="1" si="2"/>
        <v>0.71153006966562715</v>
      </c>
      <c r="V32" s="2">
        <f t="shared" ca="1" si="2"/>
        <v>2.1249592054058075E-2</v>
      </c>
      <c r="W32" s="2">
        <f t="shared" ca="1" si="2"/>
        <v>6.9106660459118507E-2</v>
      </c>
      <c r="X32" s="2">
        <f t="shared" ca="1" si="2"/>
        <v>0.22197578214134162</v>
      </c>
      <c r="Y32" s="2">
        <f t="shared" ca="1" si="2"/>
        <v>0.21477669614853367</v>
      </c>
      <c r="Z32" s="2">
        <f t="shared" ca="1" si="2"/>
        <v>0.67497485007096358</v>
      </c>
      <c r="AA32" s="2">
        <f t="shared" ca="1" si="2"/>
        <v>0.31770548703626544</v>
      </c>
      <c r="AB32" s="2">
        <f ca="1">D32*Sheet2!C$16/_xlfn.STDEV.S(D$32:D$61)</f>
        <v>2.5444117135812796</v>
      </c>
      <c r="AC32" s="2">
        <f ca="1">E32*Sheet2!D$16/_xlfn.STDEV.S(E$32:E$61)</f>
        <v>2.8087569995617092</v>
      </c>
      <c r="AD32" s="2">
        <f ca="1">F32*Sheet2!E$16/_xlfn.STDEV.S(F$32:F$61)</f>
        <v>2.6771440258770784</v>
      </c>
      <c r="AE32" s="2">
        <f ca="1">G32*Sheet2!F$16/_xlfn.STDEV.S(G$32:G$61)</f>
        <v>4.4497821457314677</v>
      </c>
      <c r="AF32" s="2">
        <f ca="1">H32*Sheet2!G$16/_xlfn.STDEV.S(H$32:H$61)</f>
        <v>3.9294939653633967</v>
      </c>
      <c r="AG32" s="2">
        <f ca="1">I32*Sheet2!H$16/_xlfn.STDEV.S(I$32:I$61)</f>
        <v>4.3894219041164426</v>
      </c>
      <c r="AH32" s="2">
        <f ca="1">J32*Sheet2!I$16/_xlfn.STDEV.S(J$32:J$61)</f>
        <v>1.2849507687464239</v>
      </c>
      <c r="AI32" s="2">
        <f ca="1">K32*Sheet2!J$16/_xlfn.STDEV.S(K$32:K$61)</f>
        <v>2.0086438982755346</v>
      </c>
      <c r="AJ32" s="2">
        <f ca="1">L32*Sheet2!K$16/_xlfn.STDEV.S(L$32:L$61)</f>
        <v>1.5694896804691849</v>
      </c>
      <c r="AK32" s="2">
        <f ca="1">M32*Sheet2!L$16/_xlfn.STDEV.S(M$32:M$61)</f>
        <v>1.8925379074080719</v>
      </c>
      <c r="AL32" s="2">
        <f ca="1">N32*Sheet2!M$16/_xlfn.STDEV.S(N$32:N$61)</f>
        <v>2.1380509393878082</v>
      </c>
      <c r="AM32" s="2">
        <f ca="1">O32*Sheet2!N$16/_xlfn.STDEV.S(O$32:O$61)</f>
        <v>0.28599426793481103</v>
      </c>
      <c r="AN32" s="2">
        <f ca="1">P32*Sheet2!O$16/_xlfn.STDEV.S(P$32:P$61)</f>
        <v>2.8878741508642585</v>
      </c>
      <c r="AO32" s="2">
        <f ca="1">Q32*Sheet2!P$16/_xlfn.STDEV.S(Q$32:Q$61)</f>
        <v>6.2076144827957513</v>
      </c>
      <c r="AP32" s="2">
        <f ca="1">R32*Sheet2!Q$16/_xlfn.STDEV.S(R$32:R$61)</f>
        <v>3.386160014555367</v>
      </c>
      <c r="AQ32" s="2">
        <f ca="1">S32*Sheet2!R$16/_xlfn.STDEV.S(S$32:S$61)</f>
        <v>1.1160653341576698</v>
      </c>
      <c r="AR32" s="2">
        <f ca="1">T32*Sheet2!S$16/_xlfn.STDEV.S(T$32:T$61)</f>
        <v>0.68669697647421934</v>
      </c>
      <c r="AS32" s="2">
        <f ca="1">U32*Sheet2!T$16/_xlfn.STDEV.S(U$32:U$61)</f>
        <v>3.951664681672582</v>
      </c>
      <c r="AT32" s="2">
        <f ca="1">V32*Sheet2!U$16/_xlfn.STDEV.S(V$32:V$61)</f>
        <v>5.3406296558458237E-2</v>
      </c>
      <c r="AU32" s="2">
        <f ca="1">W32*Sheet2!V$16/_xlfn.STDEV.S(W$32:W$61)</f>
        <v>0.31355995037685391</v>
      </c>
      <c r="AV32" s="2">
        <f ca="1">X32*Sheet2!W$16/_xlfn.STDEV.S(X$32:X$61)</f>
        <v>1.1473263342109159</v>
      </c>
      <c r="AW32" s="2">
        <f ca="1">Y32*Sheet2!X$16/_xlfn.STDEV.S(Y$32:Y$61)</f>
        <v>0.81448637911253996</v>
      </c>
      <c r="AX32" s="2">
        <f ca="1">Z32*Sheet2!Y$16/_xlfn.STDEV.S(Z$32:Z$61)</f>
        <v>2.6465405239144277</v>
      </c>
      <c r="AY32" s="2">
        <f ca="1">AA32*Sheet2!Z$16/_xlfn.STDEV.S(AA$32:AA$61)</f>
        <v>0.58526856255055415</v>
      </c>
      <c r="AZ32" s="2">
        <f ca="1">AB32-AVERAGE(AB$32:AB$61)+Sheet2!C$15</f>
        <v>4.5510195558822542</v>
      </c>
      <c r="BA32" s="2">
        <f ca="1">AC32-AVERAGE(AC$32:AC$61)+Sheet2!D$15</f>
        <v>8.1690720770107301</v>
      </c>
      <c r="BB32" s="2">
        <f ca="1">AD32-AVERAGE(AD$32:AD$61)+Sheet2!E$15</f>
        <v>17.456490775669288</v>
      </c>
      <c r="BC32" s="2">
        <f ca="1">AE32-AVERAGE(AE$32:AE$61)+Sheet2!F$15</f>
        <v>17.202540675667205</v>
      </c>
      <c r="BD32" s="2">
        <f ca="1">AF32-AVERAGE(AF$32:AF$61)+Sheet2!G$15</f>
        <v>18.47644199933373</v>
      </c>
      <c r="BE32" s="2">
        <f ca="1">AG32-AVERAGE(AG$32:AG$61)+Sheet2!H$15</f>
        <v>29.786296707005626</v>
      </c>
      <c r="BF32" s="2">
        <f ca="1">AH32-AVERAGE(AH$32:AH$61)+Sheet2!I$15</f>
        <v>12.617197907895953</v>
      </c>
      <c r="BG32" s="2">
        <f ca="1">AI32-AVERAGE(AI$32:AI$61)+Sheet2!J$15</f>
        <v>22.646957351528286</v>
      </c>
      <c r="BH32" s="2">
        <f ca="1">AJ32-AVERAGE(AJ$32:AJ$61)+Sheet2!K$15</f>
        <v>23.04795301920517</v>
      </c>
      <c r="BI32" s="2">
        <f ca="1">AK32-AVERAGE(AK$32:AK$61)+Sheet2!L$15</f>
        <v>22.346911158369956</v>
      </c>
      <c r="BJ32" s="2">
        <f ca="1">AL32-AVERAGE(AL$32:AL$61)+Sheet2!M$15</f>
        <v>17.691878153836996</v>
      </c>
      <c r="BK32" s="2">
        <f ca="1">AM32-AVERAGE(AM$32:AM$61)+Sheet2!N$15</f>
        <v>7.5936053356424384</v>
      </c>
      <c r="BL32" s="2">
        <f ca="1">AN32-AVERAGE(AN$32:AN$61)+Sheet2!O$15</f>
        <v>5.9533742873336877</v>
      </c>
      <c r="BM32" s="2">
        <f ca="1">AO32-AVERAGE(AO$32:AO$61)+Sheet2!P$15</f>
        <v>25.880927389744251</v>
      </c>
      <c r="BN32" s="2">
        <f ca="1">AP32-AVERAGE(AP$32:AP$61)+Sheet2!Q$15</f>
        <v>11.176324296035855</v>
      </c>
      <c r="BO32" s="2">
        <f ca="1">AQ32-AVERAGE(AQ$32:AQ$61)+Sheet2!R$15</f>
        <v>8.8980483269422503</v>
      </c>
      <c r="BP32" s="2">
        <f ca="1">AR32-AVERAGE(AR$32:AR$61)+Sheet2!S$15</f>
        <v>3.2434866477235951</v>
      </c>
      <c r="BQ32" s="2">
        <f ca="1">AS32-AVERAGE(AS$32:AS$61)+Sheet2!T$15</f>
        <v>18.881190936106073</v>
      </c>
      <c r="BR32" s="2">
        <f ca="1">AT32-AVERAGE(AT$32:AT$61)+Sheet2!U$15</f>
        <v>22.611051434814023</v>
      </c>
      <c r="BS32" s="2">
        <f ca="1">AU32-AVERAGE(AU$32:AU$61)+Sheet2!V$15</f>
        <v>20.121336682839317</v>
      </c>
      <c r="BT32" s="2">
        <f ca="1">AV32-AVERAGE(AV$32:AV$61)+Sheet2!W$15</f>
        <v>25.168564285426015</v>
      </c>
      <c r="BU32" s="2">
        <f ca="1">AW32-AVERAGE(AW$32:AW$61)+Sheet2!X$15</f>
        <v>20.781735169864536</v>
      </c>
      <c r="BV32" s="2">
        <f ca="1">AX32-AVERAGE(AX$32:AX$61)+Sheet2!Y$15</f>
        <v>22.321738366106551</v>
      </c>
      <c r="BW32" s="2">
        <f ca="1">AY32-AVERAGE(AY$32:AY$61)+Sheet2!Z$15</f>
        <v>7.6294030214878417</v>
      </c>
      <c r="BZ32" s="2">
        <f ca="1">BA32-AVERAGE(AH$32:AH$61)+Sheet2!AB$15</f>
        <v>6.8525244705974107</v>
      </c>
      <c r="CA32" s="2">
        <f ca="1">BB32-AVERAGE(AI$32:AI$61)+Sheet2!AC$15</f>
        <v>15.996101580091182</v>
      </c>
      <c r="CB32" s="2">
        <f ca="1">BC32-AVERAGE(AJ$32:AJ$61)+Sheet2!AD$15</f>
        <v>14.174693455100236</v>
      </c>
      <c r="CC32" s="2">
        <f ca="1">BD32-AVERAGE(AK$32:AK$61)+Sheet2!AE$15</f>
        <v>15.814486271646256</v>
      </c>
    </row>
    <row r="33" spans="2:81" x14ac:dyDescent="0.3">
      <c r="B33">
        <v>32</v>
      </c>
      <c r="C33" s="1">
        <v>2</v>
      </c>
      <c r="D33" s="2">
        <f t="shared" ca="1" si="3"/>
        <v>0.55278508326777687</v>
      </c>
      <c r="E33" s="2">
        <f t="shared" ca="1" si="3"/>
        <v>0.85327496920477242</v>
      </c>
      <c r="F33" s="2">
        <f t="shared" ca="1" si="3"/>
        <v>0.15994416757569396</v>
      </c>
      <c r="G33" s="2">
        <f t="shared" ca="1" si="3"/>
        <v>0.11594199956071238</v>
      </c>
      <c r="H33" s="2">
        <f t="shared" ca="1" si="3"/>
        <v>0.33744417643277103</v>
      </c>
      <c r="I33" s="2">
        <f t="shared" ca="1" si="3"/>
        <v>0.74583347168632896</v>
      </c>
      <c r="J33" s="2">
        <f t="shared" ca="1" si="3"/>
        <v>0.56611460826489268</v>
      </c>
      <c r="K33" s="2">
        <f t="shared" ca="1" si="3"/>
        <v>0.73117332405852609</v>
      </c>
      <c r="L33" s="2">
        <f t="shared" ca="1" si="3"/>
        <v>0.73599721918988348</v>
      </c>
      <c r="M33" s="2">
        <f t="shared" ca="1" si="3"/>
        <v>0.32855940567327058</v>
      </c>
      <c r="N33" s="2">
        <f t="shared" ca="1" si="3"/>
        <v>0.46686513788848694</v>
      </c>
      <c r="O33" s="2">
        <f t="shared" ca="1" si="3"/>
        <v>0.27186899450821245</v>
      </c>
      <c r="P33" s="2">
        <f t="shared" ca="1" si="3"/>
        <v>0.30770457275909191</v>
      </c>
      <c r="Q33" s="2">
        <f t="shared" ca="1" si="3"/>
        <v>0.26922157438608207</v>
      </c>
      <c r="R33" s="2">
        <f t="shared" ca="1" si="3"/>
        <v>0.98227481207524714</v>
      </c>
      <c r="S33" s="2">
        <f t="shared" ca="1" si="3"/>
        <v>0.37760976336621677</v>
      </c>
      <c r="T33" s="2">
        <f t="shared" ca="1" si="2"/>
        <v>5.9899909334134804E-2</v>
      </c>
      <c r="U33" s="2">
        <f t="shared" ca="1" si="2"/>
        <v>0.21136937320040194</v>
      </c>
      <c r="V33" s="2">
        <f t="shared" ca="1" si="2"/>
        <v>0.49986160796423429</v>
      </c>
      <c r="W33" s="2">
        <f t="shared" ca="1" si="2"/>
        <v>0.8760927950416918</v>
      </c>
      <c r="X33" s="2">
        <f t="shared" ca="1" si="2"/>
        <v>0.86788765481395158</v>
      </c>
      <c r="Y33" s="2">
        <f t="shared" ca="1" si="2"/>
        <v>0.63420544276290969</v>
      </c>
      <c r="Z33" s="2">
        <f t="shared" ca="1" si="2"/>
        <v>0.40450536749085042</v>
      </c>
      <c r="AA33" s="2">
        <f t="shared" ca="1" si="2"/>
        <v>2.6672071937165809E-2</v>
      </c>
      <c r="AB33" s="2">
        <f ca="1">D33*Sheet2!C$16/_xlfn.STDEV.S(D$32:D$61)</f>
        <v>2.6640179698145396</v>
      </c>
      <c r="AC33" s="2">
        <f ca="1">E33*Sheet2!D$16/_xlfn.STDEV.S(E$32:E$61)</f>
        <v>6.0798847698622955</v>
      </c>
      <c r="AD33" s="2">
        <f ca="1">F33*Sheet2!E$16/_xlfn.STDEV.S(F$32:F$61)</f>
        <v>0.9126267908661454</v>
      </c>
      <c r="AE33" s="2">
        <f ca="1">G33*Sheet2!F$16/_xlfn.STDEV.S(G$32:G$61)</f>
        <v>0.95007517049482715</v>
      </c>
      <c r="AF33" s="2">
        <f ca="1">H33*Sheet2!G$16/_xlfn.STDEV.S(H$32:H$61)</f>
        <v>5.1736429757230731</v>
      </c>
      <c r="AG33" s="2">
        <f ca="1">I33*Sheet2!H$16/_xlfn.STDEV.S(I$32:I$61)</f>
        <v>7.9900357265256492</v>
      </c>
      <c r="AH33" s="2">
        <f ca="1">J33*Sheet2!I$16/_xlfn.STDEV.S(J$32:J$61)</f>
        <v>1.3738058266068927</v>
      </c>
      <c r="AI33" s="2">
        <f ca="1">K33*Sheet2!J$16/_xlfn.STDEV.S(K$32:K$61)</f>
        <v>2.4380938500421525</v>
      </c>
      <c r="AJ33" s="2">
        <f ca="1">L33*Sheet2!K$16/_xlfn.STDEV.S(L$32:L$61)</f>
        <v>4.8125589129101618</v>
      </c>
      <c r="AK33" s="2">
        <f ca="1">M33*Sheet2!L$16/_xlfn.STDEV.S(M$32:M$61)</f>
        <v>1.8249944980906148</v>
      </c>
      <c r="AL33" s="2">
        <f ca="1">N33*Sheet2!M$16/_xlfn.STDEV.S(N$32:N$61)</f>
        <v>1.2012496164729312</v>
      </c>
      <c r="AM33" s="2">
        <f ca="1">O33*Sheet2!N$16/_xlfn.STDEV.S(O$32:O$61)</f>
        <v>0.63060281562372011</v>
      </c>
      <c r="AN33" s="2">
        <f ca="1">P33*Sheet2!O$16/_xlfn.STDEV.S(P$32:P$61)</f>
        <v>1.1757894088052381</v>
      </c>
      <c r="AO33" s="2">
        <f ca="1">Q33*Sheet2!P$16/_xlfn.STDEV.S(Q$32:Q$61)</f>
        <v>1.7516531076658954</v>
      </c>
      <c r="AP33" s="2">
        <f ca="1">R33*Sheet2!Q$16/_xlfn.STDEV.S(R$32:R$61)</f>
        <v>3.4407804734129446</v>
      </c>
      <c r="AQ33" s="2">
        <f ca="1">S33*Sheet2!R$16/_xlfn.STDEV.S(S$32:S$61)</f>
        <v>1.2006179941374782</v>
      </c>
      <c r="AR33" s="2">
        <f ca="1">T33*Sheet2!S$16/_xlfn.STDEV.S(T$32:T$61)</f>
        <v>0.14460824951841961</v>
      </c>
      <c r="AS33" s="2">
        <f ca="1">U33*Sheet2!T$16/_xlfn.STDEV.S(U$32:U$61)</f>
        <v>1.1738940102079141</v>
      </c>
      <c r="AT33" s="2">
        <f ca="1">V33*Sheet2!U$16/_xlfn.STDEV.S(V$32:V$61)</f>
        <v>1.2562950481690562</v>
      </c>
      <c r="AU33" s="2">
        <f ca="1">W33*Sheet2!V$16/_xlfn.STDEV.S(W$32:W$61)</f>
        <v>3.9751249953874006</v>
      </c>
      <c r="AV33" s="2">
        <f ca="1">X33*Sheet2!W$16/_xlfn.STDEV.S(X$32:X$61)</f>
        <v>4.4858513478310993</v>
      </c>
      <c r="AW33" s="2">
        <f ca="1">Y33*Sheet2!X$16/_xlfn.STDEV.S(Y$32:Y$61)</f>
        <v>2.4050639755264442</v>
      </c>
      <c r="AX33" s="2">
        <f ca="1">Z33*Sheet2!Y$16/_xlfn.STDEV.S(Z$32:Z$61)</f>
        <v>1.5860440534827067</v>
      </c>
      <c r="AY33" s="2">
        <f ca="1">AA33*Sheet2!Z$16/_xlfn.STDEV.S(AA$32:AA$61)</f>
        <v>4.9134578532249652E-2</v>
      </c>
      <c r="AZ33" s="2">
        <f ca="1">AB33-AVERAGE(AB$32:AB$61)+Sheet2!C$15</f>
        <v>4.6706258121155138</v>
      </c>
      <c r="BA33" s="2">
        <f ca="1">AC33-AVERAGE(AC$32:AC$61)+Sheet2!D$15</f>
        <v>11.440199847311316</v>
      </c>
      <c r="BB33" s="2">
        <f ca="1">AD33-AVERAGE(AD$32:AD$61)+Sheet2!E$15</f>
        <v>15.691973540658356</v>
      </c>
      <c r="BC33" s="2">
        <f ca="1">AE33-AVERAGE(AE$32:AE$61)+Sheet2!F$15</f>
        <v>13.702833700430565</v>
      </c>
      <c r="BD33" s="2">
        <f ca="1">AF33-AVERAGE(AF$32:AF$61)+Sheet2!G$15</f>
        <v>19.720591009693404</v>
      </c>
      <c r="BE33" s="2">
        <f ca="1">AG33-AVERAGE(AG$32:AG$61)+Sheet2!H$15</f>
        <v>33.386910529414834</v>
      </c>
      <c r="BF33" s="2">
        <f ca="1">AH33-AVERAGE(AH$32:AH$61)+Sheet2!I$15</f>
        <v>12.706052965756422</v>
      </c>
      <c r="BG33" s="2">
        <f ca="1">AI33-AVERAGE(AI$32:AI$61)+Sheet2!J$15</f>
        <v>23.076407303294904</v>
      </c>
      <c r="BH33" s="2">
        <f ca="1">AJ33-AVERAGE(AJ$32:AJ$61)+Sheet2!K$15</f>
        <v>26.291022251646147</v>
      </c>
      <c r="BI33" s="2">
        <f ca="1">AK33-AVERAGE(AK$32:AK$61)+Sheet2!L$15</f>
        <v>22.279367749052497</v>
      </c>
      <c r="BJ33" s="2">
        <f ca="1">AL33-AVERAGE(AL$32:AL$61)+Sheet2!M$15</f>
        <v>16.755076830922118</v>
      </c>
      <c r="BK33" s="2">
        <f ca="1">AM33-AVERAGE(AM$32:AM$61)+Sheet2!N$15</f>
        <v>7.9382138833313478</v>
      </c>
      <c r="BL33" s="2">
        <f ca="1">AN33-AVERAGE(AN$32:AN$61)+Sheet2!O$15</f>
        <v>4.2412895452746673</v>
      </c>
      <c r="BM33" s="2">
        <f ca="1">AO33-AVERAGE(AO$32:AO$61)+Sheet2!P$15</f>
        <v>21.424966014614395</v>
      </c>
      <c r="BN33" s="2">
        <f ca="1">AP33-AVERAGE(AP$32:AP$61)+Sheet2!Q$15</f>
        <v>11.230944754893432</v>
      </c>
      <c r="BO33" s="2">
        <f ca="1">AQ33-AVERAGE(AQ$32:AQ$61)+Sheet2!R$15</f>
        <v>8.9826009869220584</v>
      </c>
      <c r="BP33" s="2">
        <f ca="1">AR33-AVERAGE(AR$32:AR$61)+Sheet2!S$15</f>
        <v>2.7013979207677954</v>
      </c>
      <c r="BQ33" s="2">
        <f ca="1">AS33-AVERAGE(AS$32:AS$61)+Sheet2!T$15</f>
        <v>16.103420264641404</v>
      </c>
      <c r="BR33" s="2">
        <f ca="1">AT33-AVERAGE(AT$32:AT$61)+Sheet2!U$15</f>
        <v>23.81394018642462</v>
      </c>
      <c r="BS33" s="2">
        <f ca="1">AU33-AVERAGE(AU$32:AU$61)+Sheet2!V$15</f>
        <v>23.782901727849865</v>
      </c>
      <c r="BT33" s="2">
        <f ca="1">AV33-AVERAGE(AV$32:AV$61)+Sheet2!W$15</f>
        <v>28.507089299046196</v>
      </c>
      <c r="BU33" s="2">
        <f ca="1">AW33-AVERAGE(AW$32:AW$61)+Sheet2!X$15</f>
        <v>22.372312766278441</v>
      </c>
      <c r="BV33" s="2">
        <f ca="1">AX33-AVERAGE(AX$32:AX$61)+Sheet2!Y$15</f>
        <v>21.261241895674832</v>
      </c>
      <c r="BW33" s="2">
        <f ca="1">AY33-AVERAGE(AY$32:AY$61)+Sheet2!Z$15</f>
        <v>7.0932690374695371</v>
      </c>
      <c r="BZ33" s="2">
        <f ca="1">BA33-AVERAGE(AH$32:AH$61)+Sheet2!AB$15</f>
        <v>10.123652240897997</v>
      </c>
      <c r="CA33" s="2">
        <f ca="1">BB33-AVERAGE(AI$32:AI$61)+Sheet2!AC$15</f>
        <v>14.23158434508025</v>
      </c>
      <c r="CB33" s="2">
        <f ca="1">BC33-AVERAGE(AJ$32:AJ$61)+Sheet2!AD$15</f>
        <v>10.674986479863597</v>
      </c>
      <c r="CC33" s="2">
        <f ca="1">BD33-AVERAGE(AK$32:AK$61)+Sheet2!AE$15</f>
        <v>17.05863528200593</v>
      </c>
    </row>
    <row r="34" spans="2:81" x14ac:dyDescent="0.3">
      <c r="B34">
        <v>33</v>
      </c>
      <c r="C34" s="1">
        <v>2</v>
      </c>
      <c r="D34" s="2">
        <f t="shared" ca="1" si="3"/>
        <v>0.37132145974006736</v>
      </c>
      <c r="E34" s="2">
        <f t="shared" ca="1" si="3"/>
        <v>0.68430779311777812</v>
      </c>
      <c r="F34" s="2">
        <f t="shared" ca="1" si="3"/>
        <v>0.16875105559967263</v>
      </c>
      <c r="G34" s="2">
        <f t="shared" ca="1" si="3"/>
        <v>0.48850398095839431</v>
      </c>
      <c r="H34" s="2">
        <f t="shared" ca="1" si="3"/>
        <v>0.64818736638158592</v>
      </c>
      <c r="I34" s="2">
        <f t="shared" ca="1" si="3"/>
        <v>0.44641264238042488</v>
      </c>
      <c r="J34" s="2">
        <f t="shared" ca="1" si="3"/>
        <v>1.5721293222961008E-2</v>
      </c>
      <c r="K34" s="2">
        <f t="shared" ca="1" si="3"/>
        <v>0.13145668065531324</v>
      </c>
      <c r="L34" s="2">
        <f t="shared" ca="1" si="3"/>
        <v>0.56851853016450915</v>
      </c>
      <c r="M34" s="2">
        <f t="shared" ca="1" si="3"/>
        <v>0.7465148017050216</v>
      </c>
      <c r="N34" s="2">
        <f t="shared" ca="1" si="3"/>
        <v>0.99862766384868662</v>
      </c>
      <c r="O34" s="2">
        <f t="shared" ca="1" si="3"/>
        <v>0.99227733355837411</v>
      </c>
      <c r="P34" s="2">
        <f t="shared" ca="1" si="3"/>
        <v>6.8977540286601302E-2</v>
      </c>
      <c r="Q34" s="2">
        <f t="shared" ca="1" si="3"/>
        <v>0.31316354340627239</v>
      </c>
      <c r="R34" s="2">
        <f t="shared" ca="1" si="3"/>
        <v>0.83423753326291605</v>
      </c>
      <c r="S34" s="2">
        <f t="shared" ca="1" si="3"/>
        <v>0.87924504250028446</v>
      </c>
      <c r="T34" s="2">
        <f t="shared" ref="Q34:AA60" ca="1" si="4">RAND()</f>
        <v>0.82357329128349754</v>
      </c>
      <c r="U34" s="2">
        <f t="shared" ca="1" si="4"/>
        <v>0.49357753687485639</v>
      </c>
      <c r="V34" s="2">
        <f t="shared" ca="1" si="4"/>
        <v>0.16128352150976388</v>
      </c>
      <c r="W34" s="2">
        <f t="shared" ca="1" si="4"/>
        <v>0.26545827314910797</v>
      </c>
      <c r="X34" s="2">
        <f t="shared" ca="1" si="4"/>
        <v>0.33697707477514982</v>
      </c>
      <c r="Y34" s="2">
        <f t="shared" ca="1" si="4"/>
        <v>0.32301411127637691</v>
      </c>
      <c r="Z34" s="2">
        <f t="shared" ca="1" si="4"/>
        <v>0.72722172842920896</v>
      </c>
      <c r="AA34" s="2">
        <f t="shared" ca="1" si="4"/>
        <v>0.2976083719268896</v>
      </c>
      <c r="AB34" s="2">
        <f ca="1">D34*Sheet2!C$16/_xlfn.STDEV.S(D$32:D$61)</f>
        <v>1.7894966258453104</v>
      </c>
      <c r="AC34" s="2">
        <f ca="1">E34*Sheet2!D$16/_xlfn.STDEV.S(E$32:E$61)</f>
        <v>4.8759341120158908</v>
      </c>
      <c r="AD34" s="2">
        <f ca="1">F34*Sheet2!E$16/_xlfn.STDEV.S(F$32:F$61)</f>
        <v>0.96287808840744171</v>
      </c>
      <c r="AE34" s="2">
        <f ca="1">G34*Sheet2!F$16/_xlfn.STDEV.S(G$32:G$61)</f>
        <v>4.0029972292604521</v>
      </c>
      <c r="AF34" s="2">
        <f ca="1">H34*Sheet2!G$16/_xlfn.STDEV.S(H$32:H$61)</f>
        <v>9.9379104730249974</v>
      </c>
      <c r="AG34" s="2">
        <f ca="1">I34*Sheet2!H$16/_xlfn.STDEV.S(I$32:I$61)</f>
        <v>4.7823717985298524</v>
      </c>
      <c r="AH34" s="2">
        <f ca="1">J34*Sheet2!I$16/_xlfn.STDEV.S(J$32:J$61)</f>
        <v>3.8151292894023484E-2</v>
      </c>
      <c r="AI34" s="2">
        <f ca="1">K34*Sheet2!J$16/_xlfn.STDEV.S(K$32:K$61)</f>
        <v>0.43834165458013896</v>
      </c>
      <c r="AJ34" s="2">
        <f ca="1">L34*Sheet2!K$16/_xlfn.STDEV.S(L$32:L$61)</f>
        <v>3.7174446426704661</v>
      </c>
      <c r="AK34" s="2">
        <f ca="1">M34*Sheet2!L$16/_xlfn.STDEV.S(M$32:M$61)</f>
        <v>4.1465420935466017</v>
      </c>
      <c r="AL34" s="2">
        <f ca="1">N34*Sheet2!M$16/_xlfn.STDEV.S(N$32:N$61)</f>
        <v>2.5694809932114153</v>
      </c>
      <c r="AM34" s="2">
        <f ca="1">O34*Sheet2!N$16/_xlfn.STDEV.S(O$32:O$61)</f>
        <v>2.3015970671955617</v>
      </c>
      <c r="AN34" s="2">
        <f ca="1">P34*Sheet2!O$16/_xlfn.STDEV.S(P$32:P$61)</f>
        <v>0.26357444280790604</v>
      </c>
      <c r="AO34" s="2">
        <f ca="1">Q34*Sheet2!P$16/_xlfn.STDEV.S(Q$32:Q$61)</f>
        <v>2.0375554792224673</v>
      </c>
      <c r="AP34" s="2">
        <f ca="1">R34*Sheet2!Q$16/_xlfn.STDEV.S(R$32:R$61)</f>
        <v>2.9222252055663365</v>
      </c>
      <c r="AQ34" s="2">
        <f ca="1">S34*Sheet2!R$16/_xlfn.STDEV.S(S$32:S$61)</f>
        <v>2.7955776616353689</v>
      </c>
      <c r="AR34" s="2">
        <f ca="1">T34*Sheet2!S$16/_xlfn.STDEV.S(T$32:T$61)</f>
        <v>1.9882416071498432</v>
      </c>
      <c r="AS34" s="2">
        <f ca="1">U34*Sheet2!T$16/_xlfn.STDEV.S(U$32:U$61)</f>
        <v>2.7412094067252877</v>
      </c>
      <c r="AT34" s="2">
        <f ca="1">V34*Sheet2!U$16/_xlfn.STDEV.S(V$32:V$61)</f>
        <v>0.40535157370694003</v>
      </c>
      <c r="AU34" s="2">
        <f ca="1">W34*Sheet2!V$16/_xlfn.STDEV.S(W$32:W$61)</f>
        <v>1.2044726572339617</v>
      </c>
      <c r="AV34" s="2">
        <f ca="1">X34*Sheet2!W$16/_xlfn.STDEV.S(X$32:X$61)</f>
        <v>1.7417335719475511</v>
      </c>
      <c r="AW34" s="2">
        <f ca="1">Y34*Sheet2!X$16/_xlfn.STDEV.S(Y$32:Y$61)</f>
        <v>1.224949441040871</v>
      </c>
      <c r="AX34" s="2">
        <f ca="1">Z34*Sheet2!Y$16/_xlfn.STDEV.S(Z$32:Z$61)</f>
        <v>2.8513977579411276</v>
      </c>
      <c r="AY34" s="2">
        <f ca="1">AA34*Sheet2!Z$16/_xlfn.STDEV.S(AA$32:AA$61)</f>
        <v>0.54824619387445139</v>
      </c>
      <c r="AZ34" s="2">
        <f ca="1">AB34-AVERAGE(AB$32:AB$61)+Sheet2!C$15</f>
        <v>3.7961044681462845</v>
      </c>
      <c r="BA34" s="2">
        <f ca="1">AC34-AVERAGE(AC$32:AC$61)+Sheet2!D$15</f>
        <v>10.23624918946491</v>
      </c>
      <c r="BB34" s="2">
        <f ca="1">AD34-AVERAGE(AD$32:AD$61)+Sheet2!E$15</f>
        <v>15.742224838199652</v>
      </c>
      <c r="BC34" s="2">
        <f ca="1">AE34-AVERAGE(AE$32:AE$61)+Sheet2!F$15</f>
        <v>16.755755759196191</v>
      </c>
      <c r="BD34" s="2">
        <f ca="1">AF34-AVERAGE(AF$32:AF$61)+Sheet2!G$15</f>
        <v>24.48485850699533</v>
      </c>
      <c r="BE34" s="2">
        <f ca="1">AG34-AVERAGE(AG$32:AG$61)+Sheet2!H$15</f>
        <v>30.179246601419035</v>
      </c>
      <c r="BF34" s="2">
        <f ca="1">AH34-AVERAGE(AH$32:AH$61)+Sheet2!I$15</f>
        <v>11.370398432043553</v>
      </c>
      <c r="BG34" s="2">
        <f ca="1">AI34-AVERAGE(AI$32:AI$61)+Sheet2!J$15</f>
        <v>21.076655107832888</v>
      </c>
      <c r="BH34" s="2">
        <f ca="1">AJ34-AVERAGE(AJ$32:AJ$61)+Sheet2!K$15</f>
        <v>25.195907981406453</v>
      </c>
      <c r="BI34" s="2">
        <f ca="1">AK34-AVERAGE(AK$32:AK$61)+Sheet2!L$15</f>
        <v>24.600915344508486</v>
      </c>
      <c r="BJ34" s="2">
        <f ca="1">AL34-AVERAGE(AL$32:AL$61)+Sheet2!M$15</f>
        <v>18.1233082076606</v>
      </c>
      <c r="BK34" s="2">
        <f ca="1">AM34-AVERAGE(AM$32:AM$61)+Sheet2!N$15</f>
        <v>9.6092081349031897</v>
      </c>
      <c r="BL34" s="2">
        <f ca="1">AN34-AVERAGE(AN$32:AN$61)+Sheet2!O$15</f>
        <v>3.3290745792773353</v>
      </c>
      <c r="BM34" s="2">
        <f ca="1">AO34-AVERAGE(AO$32:AO$61)+Sheet2!P$15</f>
        <v>21.710868386170969</v>
      </c>
      <c r="BN34" s="2">
        <f ca="1">AP34-AVERAGE(AP$32:AP$61)+Sheet2!Q$15</f>
        <v>10.712389487046824</v>
      </c>
      <c r="BO34" s="2">
        <f ca="1">AQ34-AVERAGE(AQ$32:AQ$61)+Sheet2!R$15</f>
        <v>10.577560654419949</v>
      </c>
      <c r="BP34" s="2">
        <f ca="1">AR34-AVERAGE(AR$32:AR$61)+Sheet2!S$15</f>
        <v>4.5450312783992191</v>
      </c>
      <c r="BQ34" s="2">
        <f ca="1">AS34-AVERAGE(AS$32:AS$61)+Sheet2!T$15</f>
        <v>17.67073566115878</v>
      </c>
      <c r="BR34" s="2">
        <f ca="1">AT34-AVERAGE(AT$32:AT$61)+Sheet2!U$15</f>
        <v>22.962996711962504</v>
      </c>
      <c r="BS34" s="2">
        <f ca="1">AU34-AVERAGE(AU$32:AU$61)+Sheet2!V$15</f>
        <v>21.012249389696425</v>
      </c>
      <c r="BT34" s="2">
        <f ca="1">AV34-AVERAGE(AV$32:AV$61)+Sheet2!W$15</f>
        <v>25.762971523162648</v>
      </c>
      <c r="BU34" s="2">
        <f ca="1">AW34-AVERAGE(AW$32:AW$61)+Sheet2!X$15</f>
        <v>21.192198231792865</v>
      </c>
      <c r="BV34" s="2">
        <f ca="1">AX34-AVERAGE(AX$32:AX$61)+Sheet2!Y$15</f>
        <v>22.526595600133252</v>
      </c>
      <c r="BW34" s="2">
        <f ca="1">AY34-AVERAGE(AY$32:AY$61)+Sheet2!Z$15</f>
        <v>7.5923806528117384</v>
      </c>
      <c r="BZ34" s="2">
        <f ca="1">BA34-AVERAGE(AH$32:AH$61)+Sheet2!AB$15</f>
        <v>8.9197015830515909</v>
      </c>
      <c r="CA34" s="2">
        <f ca="1">BB34-AVERAGE(AI$32:AI$61)+Sheet2!AC$15</f>
        <v>14.281835642621548</v>
      </c>
      <c r="CB34" s="2">
        <f ca="1">BC34-AVERAGE(AJ$32:AJ$61)+Sheet2!AD$15</f>
        <v>13.727908538629222</v>
      </c>
      <c r="CC34" s="2">
        <f ca="1">BD34-AVERAGE(AK$32:AK$61)+Sheet2!AE$15</f>
        <v>21.822902779307856</v>
      </c>
    </row>
    <row r="35" spans="2:81" x14ac:dyDescent="0.3">
      <c r="B35">
        <v>34</v>
      </c>
      <c r="C35" s="1">
        <v>2</v>
      </c>
      <c r="D35" s="2">
        <f t="shared" ref="D35:S52" ca="1" si="5">RAND()</f>
        <v>0.28628894281019701</v>
      </c>
      <c r="E35" s="2">
        <f t="shared" ca="1" si="5"/>
        <v>0.91070927442473015</v>
      </c>
      <c r="F35" s="2">
        <f t="shared" ca="1" si="5"/>
        <v>6.4657600497500245E-2</v>
      </c>
      <c r="G35" s="2">
        <f t="shared" ca="1" si="5"/>
        <v>0.75294989040624427</v>
      </c>
      <c r="H35" s="2">
        <f t="shared" ca="1" si="5"/>
        <v>0.51722252530547363</v>
      </c>
      <c r="I35" s="2">
        <f t="shared" ca="1" si="5"/>
        <v>0.7986074981566299</v>
      </c>
      <c r="J35" s="2">
        <f t="shared" ca="1" si="5"/>
        <v>0.88546906616287513</v>
      </c>
      <c r="K35" s="2">
        <f t="shared" ca="1" si="5"/>
        <v>0.41906254379270691</v>
      </c>
      <c r="L35" s="2">
        <f t="shared" ca="1" si="5"/>
        <v>0.16206066096002958</v>
      </c>
      <c r="M35" s="2">
        <f t="shared" ca="1" si="5"/>
        <v>0.27024590337603416</v>
      </c>
      <c r="N35" s="2">
        <f t="shared" ca="1" si="5"/>
        <v>0.97624780774735642</v>
      </c>
      <c r="O35" s="2">
        <f t="shared" ca="1" si="5"/>
        <v>0.57185659032509473</v>
      </c>
      <c r="P35" s="2">
        <f t="shared" ca="1" si="5"/>
        <v>0.66433805029829307</v>
      </c>
      <c r="Q35" s="2">
        <f t="shared" ca="1" si="4"/>
        <v>0.94904158551147844</v>
      </c>
      <c r="R35" s="2">
        <f t="shared" ca="1" si="4"/>
        <v>0.33911519689799285</v>
      </c>
      <c r="S35" s="2">
        <f t="shared" ca="1" si="4"/>
        <v>0.26219017504460407</v>
      </c>
      <c r="T35" s="2">
        <f t="shared" ca="1" si="4"/>
        <v>9.0973146325411314E-2</v>
      </c>
      <c r="U35" s="2">
        <f t="shared" ca="1" si="4"/>
        <v>0.62620385145691715</v>
      </c>
      <c r="V35" s="2">
        <f t="shared" ca="1" si="4"/>
        <v>0.20396978240930219</v>
      </c>
      <c r="W35" s="2">
        <f t="shared" ca="1" si="4"/>
        <v>0.62522326931076588</v>
      </c>
      <c r="X35" s="2">
        <f t="shared" ca="1" si="4"/>
        <v>6.3515205533932195E-2</v>
      </c>
      <c r="Y35" s="2">
        <f t="shared" ca="1" si="4"/>
        <v>3.7251992460864414E-2</v>
      </c>
      <c r="Z35" s="2">
        <f t="shared" ca="1" si="4"/>
        <v>0.6373215664468892</v>
      </c>
      <c r="AA35" s="2">
        <f t="shared" ca="1" si="4"/>
        <v>0.56495719583874726</v>
      </c>
      <c r="AB35" s="2">
        <f ca="1">D35*Sheet2!C$16/_xlfn.STDEV.S(D$32:D$61)</f>
        <v>1.3797023676851272</v>
      </c>
      <c r="AC35" s="2">
        <f ca="1">E35*Sheet2!D$16/_xlfn.STDEV.S(E$32:E$61)</f>
        <v>6.4891244290308787</v>
      </c>
      <c r="AD35" s="2">
        <f ca="1">F35*Sheet2!E$16/_xlfn.STDEV.S(F$32:F$61)</f>
        <v>0.36893035452019929</v>
      </c>
      <c r="AE35" s="2">
        <f ca="1">G35*Sheet2!F$16/_xlfn.STDEV.S(G$32:G$61)</f>
        <v>6.1699729020731633</v>
      </c>
      <c r="AF35" s="2">
        <f ca="1">H35*Sheet2!G$16/_xlfn.STDEV.S(H$32:H$61)</f>
        <v>7.9299773764670007</v>
      </c>
      <c r="AG35" s="2">
        <f ca="1">I35*Sheet2!H$16/_xlfn.STDEV.S(I$32:I$61)</f>
        <v>8.5553983348528497</v>
      </c>
      <c r="AH35" s="2">
        <f ca="1">J35*Sheet2!I$16/_xlfn.STDEV.S(J$32:J$61)</f>
        <v>2.1487920371867926</v>
      </c>
      <c r="AI35" s="2">
        <f ca="1">K35*Sheet2!J$16/_xlfn.STDEV.S(K$32:K$61)</f>
        <v>1.3973619895386622</v>
      </c>
      <c r="AJ35" s="2">
        <f ca="1">L35*Sheet2!K$16/_xlfn.STDEV.S(L$32:L$61)</f>
        <v>1.0596867189169163</v>
      </c>
      <c r="AK35" s="2">
        <f ca="1">M35*Sheet2!L$16/_xlfn.STDEV.S(M$32:M$61)</f>
        <v>1.5010901477075367</v>
      </c>
      <c r="AL35" s="2">
        <f ca="1">N35*Sheet2!M$16/_xlfn.STDEV.S(N$32:N$61)</f>
        <v>2.5118973542187271</v>
      </c>
      <c r="AM35" s="2">
        <f ca="1">O35*Sheet2!N$16/_xlfn.STDEV.S(O$32:O$61)</f>
        <v>1.3264270044633273</v>
      </c>
      <c r="AN35" s="2">
        <f ca="1">P35*Sheet2!O$16/_xlfn.STDEV.S(P$32:P$61)</f>
        <v>2.5385441509789013</v>
      </c>
      <c r="AO35" s="2">
        <f ca="1">Q35*Sheet2!P$16/_xlfn.STDEV.S(Q$32:Q$61)</f>
        <v>6.174808413315966</v>
      </c>
      <c r="AP35" s="2">
        <f ca="1">R35*Sheet2!Q$16/_xlfn.STDEV.S(R$32:R$61)</f>
        <v>1.1878762779828009</v>
      </c>
      <c r="AQ35" s="2">
        <f ca="1">S35*Sheet2!R$16/_xlfn.STDEV.S(S$32:S$61)</f>
        <v>0.83363904375352238</v>
      </c>
      <c r="AR35" s="2">
        <f ca="1">T35*Sheet2!S$16/_xlfn.STDEV.S(T$32:T$61)</f>
        <v>0.21962416286670319</v>
      </c>
      <c r="AS35" s="2">
        <f ca="1">U35*Sheet2!T$16/_xlfn.STDEV.S(U$32:U$61)</f>
        <v>3.4777836507914834</v>
      </c>
      <c r="AT35" s="2">
        <f ca="1">V35*Sheet2!U$16/_xlfn.STDEV.S(V$32:V$61)</f>
        <v>0.51263434425486221</v>
      </c>
      <c r="AU35" s="2">
        <f ca="1">W35*Sheet2!V$16/_xlfn.STDEV.S(W$32:W$61)</f>
        <v>2.836846347328744</v>
      </c>
      <c r="AV35" s="2">
        <f ca="1">X35*Sheet2!W$16/_xlfn.STDEV.S(X$32:X$61)</f>
        <v>0.32829107404833069</v>
      </c>
      <c r="AW35" s="2">
        <f ca="1">Y35*Sheet2!X$16/_xlfn.STDEV.S(Y$32:Y$61)</f>
        <v>0.14126877356002313</v>
      </c>
      <c r="AX35" s="2">
        <f ca="1">Z35*Sheet2!Y$16/_xlfn.STDEV.S(Z$32:Z$61)</f>
        <v>2.4989039994438058</v>
      </c>
      <c r="AY35" s="2">
        <f ca="1">AA35*Sheet2!Z$16/_xlfn.STDEV.S(AA$32:AA$61)</f>
        <v>1.0407490566047175</v>
      </c>
      <c r="AZ35" s="2">
        <f ca="1">AB35-AVERAGE(AB$32:AB$61)+Sheet2!C$15</f>
        <v>3.3863102099861013</v>
      </c>
      <c r="BA35" s="2">
        <f ca="1">AC35-AVERAGE(AC$32:AC$61)+Sheet2!D$15</f>
        <v>11.8494395064799</v>
      </c>
      <c r="BB35" s="2">
        <f ca="1">AD35-AVERAGE(AD$32:AD$61)+Sheet2!E$15</f>
        <v>15.14827710431241</v>
      </c>
      <c r="BC35" s="2">
        <f ca="1">AE35-AVERAGE(AE$32:AE$61)+Sheet2!F$15</f>
        <v>18.922731432008902</v>
      </c>
      <c r="BD35" s="2">
        <f ca="1">AF35-AVERAGE(AF$32:AF$61)+Sheet2!G$15</f>
        <v>22.476925410437332</v>
      </c>
      <c r="BE35" s="2">
        <f ca="1">AG35-AVERAGE(AG$32:AG$61)+Sheet2!H$15</f>
        <v>33.952273137742033</v>
      </c>
      <c r="BF35" s="2">
        <f ca="1">AH35-AVERAGE(AH$32:AH$61)+Sheet2!I$15</f>
        <v>13.481039176336322</v>
      </c>
      <c r="BG35" s="2">
        <f ca="1">AI35-AVERAGE(AI$32:AI$61)+Sheet2!J$15</f>
        <v>22.035675442791412</v>
      </c>
      <c r="BH35" s="2">
        <f ca="1">AJ35-AVERAGE(AJ$32:AJ$61)+Sheet2!K$15</f>
        <v>22.538150057652903</v>
      </c>
      <c r="BI35" s="2">
        <f ca="1">AK35-AVERAGE(AK$32:AK$61)+Sheet2!L$15</f>
        <v>21.955463398669419</v>
      </c>
      <c r="BJ35" s="2">
        <f ca="1">AL35-AVERAGE(AL$32:AL$61)+Sheet2!M$15</f>
        <v>18.065724568667914</v>
      </c>
      <c r="BK35" s="2">
        <f ca="1">AM35-AVERAGE(AM$32:AM$61)+Sheet2!N$15</f>
        <v>8.634038072170954</v>
      </c>
      <c r="BL35" s="2">
        <f ca="1">AN35-AVERAGE(AN$32:AN$61)+Sheet2!O$15</f>
        <v>5.6040442874483301</v>
      </c>
      <c r="BM35" s="2">
        <f ca="1">AO35-AVERAGE(AO$32:AO$61)+Sheet2!P$15</f>
        <v>25.848121320264468</v>
      </c>
      <c r="BN35" s="2">
        <f ca="1">AP35-AVERAGE(AP$32:AP$61)+Sheet2!Q$15</f>
        <v>8.9780405594632899</v>
      </c>
      <c r="BO35" s="2">
        <f ca="1">AQ35-AVERAGE(AQ$32:AQ$61)+Sheet2!R$15</f>
        <v>8.6156220365381024</v>
      </c>
      <c r="BP35" s="2">
        <f ca="1">AR35-AVERAGE(AR$32:AR$61)+Sheet2!S$15</f>
        <v>2.7764138341160791</v>
      </c>
      <c r="BQ35" s="2">
        <f ca="1">AS35-AVERAGE(AS$32:AS$61)+Sheet2!T$15</f>
        <v>18.407309905224974</v>
      </c>
      <c r="BR35" s="2">
        <f ca="1">AT35-AVERAGE(AT$32:AT$61)+Sheet2!U$15</f>
        <v>23.070279482510426</v>
      </c>
      <c r="BS35" s="2">
        <f ca="1">AU35-AVERAGE(AU$32:AU$61)+Sheet2!V$15</f>
        <v>22.644623079791206</v>
      </c>
      <c r="BT35" s="2">
        <f ca="1">AV35-AVERAGE(AV$32:AV$61)+Sheet2!W$15</f>
        <v>24.349529025263429</v>
      </c>
      <c r="BU35" s="2">
        <f ca="1">AW35-AVERAGE(AW$32:AW$61)+Sheet2!X$15</f>
        <v>20.108517564312017</v>
      </c>
      <c r="BV35" s="2">
        <f ca="1">AX35-AVERAGE(AX$32:AX$61)+Sheet2!Y$15</f>
        <v>22.174101841635931</v>
      </c>
      <c r="BW35" s="2">
        <f ca="1">AY35-AVERAGE(AY$32:AY$61)+Sheet2!Z$15</f>
        <v>8.0848835155420051</v>
      </c>
      <c r="BZ35" s="2">
        <f ca="1">BA35-AVERAGE(AH$32:AH$61)+Sheet2!AB$15</f>
        <v>10.532891900066581</v>
      </c>
      <c r="CA35" s="2">
        <f ca="1">BB35-AVERAGE(AI$32:AI$61)+Sheet2!AC$15</f>
        <v>13.687887908734304</v>
      </c>
      <c r="CB35" s="2">
        <f ca="1">BC35-AVERAGE(AJ$32:AJ$61)+Sheet2!AD$15</f>
        <v>15.894884211441934</v>
      </c>
      <c r="CC35" s="2">
        <f ca="1">BD35-AVERAGE(AK$32:AK$61)+Sheet2!AE$15</f>
        <v>19.814969682749858</v>
      </c>
    </row>
    <row r="36" spans="2:81" x14ac:dyDescent="0.3">
      <c r="B36">
        <v>35</v>
      </c>
      <c r="C36" s="1">
        <v>2</v>
      </c>
      <c r="D36" s="2">
        <f t="shared" ca="1" si="5"/>
        <v>0.5891961669820619</v>
      </c>
      <c r="E36" s="2">
        <f t="shared" ca="1" si="5"/>
        <v>0.70371007938597852</v>
      </c>
      <c r="F36" s="2">
        <f t="shared" ca="1" si="5"/>
        <v>0.56732755072435004</v>
      </c>
      <c r="G36" s="2">
        <f t="shared" ca="1" si="5"/>
        <v>0.48824121494480843</v>
      </c>
      <c r="H36" s="2">
        <f t="shared" ca="1" si="5"/>
        <v>0.17044272526574633</v>
      </c>
      <c r="I36" s="2">
        <f t="shared" ca="1" si="5"/>
        <v>0.14372715589582308</v>
      </c>
      <c r="J36" s="2">
        <f t="shared" ca="1" si="5"/>
        <v>0.76551250689592165</v>
      </c>
      <c r="K36" s="2">
        <f t="shared" ca="1" si="5"/>
        <v>0.17241371785831661</v>
      </c>
      <c r="L36" s="2">
        <f t="shared" ca="1" si="5"/>
        <v>0.24026725070381572</v>
      </c>
      <c r="M36" s="2">
        <f t="shared" ca="1" si="5"/>
        <v>0.53622882575932418</v>
      </c>
      <c r="N36" s="2">
        <f t="shared" ca="1" si="5"/>
        <v>0.32318563308520842</v>
      </c>
      <c r="O36" s="2">
        <f t="shared" ca="1" si="5"/>
        <v>0.34697108576968727</v>
      </c>
      <c r="P36" s="2">
        <f t="shared" ca="1" si="5"/>
        <v>0.24023968405847018</v>
      </c>
      <c r="Q36" s="2">
        <f t="shared" ca="1" si="4"/>
        <v>0.8858204530482291</v>
      </c>
      <c r="R36" s="2">
        <f t="shared" ca="1" si="4"/>
        <v>0.48134631143340512</v>
      </c>
      <c r="S36" s="2">
        <f t="shared" ca="1" si="4"/>
        <v>0.85666006812865336</v>
      </c>
      <c r="T36" s="2">
        <f t="shared" ca="1" si="4"/>
        <v>0.94724520845264981</v>
      </c>
      <c r="U36" s="2">
        <f t="shared" ca="1" si="4"/>
        <v>4.0124772312802315E-2</v>
      </c>
      <c r="V36" s="2">
        <f t="shared" ca="1" si="4"/>
        <v>0.92555995980296746</v>
      </c>
      <c r="W36" s="2">
        <f t="shared" ca="1" si="4"/>
        <v>0.93278191988081305</v>
      </c>
      <c r="X36" s="2">
        <f t="shared" ca="1" si="4"/>
        <v>0.48893873113458985</v>
      </c>
      <c r="Y36" s="2">
        <f t="shared" ca="1" si="4"/>
        <v>0.96235816915912709</v>
      </c>
      <c r="Z36" s="2">
        <f t="shared" ca="1" si="4"/>
        <v>0.72858577309450689</v>
      </c>
      <c r="AA36" s="2">
        <f t="shared" ca="1" si="4"/>
        <v>2.5614913666485828E-2</v>
      </c>
      <c r="AB36" s="2">
        <f ca="1">D36*Sheet2!C$16/_xlfn.STDEV.S(D$32:D$61)</f>
        <v>2.8394926420720923</v>
      </c>
      <c r="AC36" s="2">
        <f ca="1">E36*Sheet2!D$16/_xlfn.STDEV.S(E$32:E$61)</f>
        <v>5.0141822372274829</v>
      </c>
      <c r="AD36" s="2">
        <f ca="1">F36*Sheet2!E$16/_xlfn.STDEV.S(F$32:F$61)</f>
        <v>3.2371191137212523</v>
      </c>
      <c r="AE36" s="2">
        <f ca="1">G36*Sheet2!F$16/_xlfn.STDEV.S(G$32:G$61)</f>
        <v>4.0008440193270056</v>
      </c>
      <c r="AF36" s="2">
        <f ca="1">H36*Sheet2!G$16/_xlfn.STDEV.S(H$32:H$61)</f>
        <v>2.6132020343516258</v>
      </c>
      <c r="AG36" s="2">
        <f ca="1">I36*Sheet2!H$16/_xlfn.STDEV.S(I$32:I$61)</f>
        <v>1.539733940718764</v>
      </c>
      <c r="AH36" s="2">
        <f ca="1">J36*Sheet2!I$16/_xlfn.STDEV.S(J$32:J$61)</f>
        <v>1.8576901690231205</v>
      </c>
      <c r="AI36" s="2">
        <f ca="1">K36*Sheet2!J$16/_xlfn.STDEV.S(K$32:K$61)</f>
        <v>0.574912693532043</v>
      </c>
      <c r="AJ36" s="2">
        <f ca="1">L36*Sheet2!K$16/_xlfn.STDEV.S(L$32:L$61)</f>
        <v>1.5710661245810349</v>
      </c>
      <c r="AK36" s="2">
        <f ca="1">M36*Sheet2!L$16/_xlfn.STDEV.S(M$32:M$61)</f>
        <v>2.9785014211448919</v>
      </c>
      <c r="AL36" s="2">
        <f ca="1">N36*Sheet2!M$16/_xlfn.STDEV.S(N$32:N$61)</f>
        <v>0.83156052205786646</v>
      </c>
      <c r="AM36" s="2">
        <f ca="1">O36*Sheet2!N$16/_xlfn.STDEV.S(O$32:O$61)</f>
        <v>0.80480285742835844</v>
      </c>
      <c r="AN36" s="2">
        <f ca="1">P36*Sheet2!O$16/_xlfn.STDEV.S(P$32:P$61)</f>
        <v>0.91799505466504161</v>
      </c>
      <c r="AO36" s="2">
        <f ca="1">Q36*Sheet2!P$16/_xlfn.STDEV.S(Q$32:Q$61)</f>
        <v>5.763468819147346</v>
      </c>
      <c r="AP36" s="2">
        <f ca="1">R36*Sheet2!Q$16/_xlfn.STDEV.S(R$32:R$61)</f>
        <v>1.6860933101097708</v>
      </c>
      <c r="AQ36" s="2">
        <f ca="1">S36*Sheet2!R$16/_xlfn.STDEV.S(S$32:S$61)</f>
        <v>2.7237682719999206</v>
      </c>
      <c r="AR36" s="2">
        <f ca="1">T36*Sheet2!S$16/_xlfn.STDEV.S(T$32:T$61)</f>
        <v>2.2868059898880095</v>
      </c>
      <c r="AS36" s="2">
        <f ca="1">U36*Sheet2!T$16/_xlfn.STDEV.S(U$32:U$61)</f>
        <v>0.22284321122671244</v>
      </c>
      <c r="AT36" s="2">
        <f ca="1">V36*Sheet2!U$16/_xlfn.STDEV.S(V$32:V$61)</f>
        <v>2.3261966427459999</v>
      </c>
      <c r="AU36" s="2">
        <f ca="1">W36*Sheet2!V$16/_xlfn.STDEV.S(W$32:W$61)</f>
        <v>4.2323424481389704</v>
      </c>
      <c r="AV36" s="2">
        <f ca="1">X36*Sheet2!W$16/_xlfn.STDEV.S(X$32:X$61)</f>
        <v>2.5271778598315295</v>
      </c>
      <c r="AW36" s="2">
        <f ca="1">Y36*Sheet2!X$16/_xlfn.STDEV.S(Y$32:Y$61)</f>
        <v>3.6495003166717725</v>
      </c>
      <c r="AX36" s="2">
        <f ca="1">Z36*Sheet2!Y$16/_xlfn.STDEV.S(Z$32:Z$61)</f>
        <v>2.8567461045984301</v>
      </c>
      <c r="AY36" s="2">
        <f ca="1">AA36*Sheet2!Z$16/_xlfn.STDEV.S(AA$32:AA$61)</f>
        <v>4.7187109801882156E-2</v>
      </c>
      <c r="AZ36" s="2">
        <f ca="1">AB36-AVERAGE(AB$32:AB$61)+Sheet2!C$15</f>
        <v>4.846100484373066</v>
      </c>
      <c r="BA36" s="2">
        <f ca="1">AC36-AVERAGE(AC$32:AC$61)+Sheet2!D$15</f>
        <v>10.374497314676503</v>
      </c>
      <c r="BB36" s="2">
        <f ca="1">AD36-AVERAGE(AD$32:AD$61)+Sheet2!E$15</f>
        <v>18.016465863513464</v>
      </c>
      <c r="BC36" s="2">
        <f ca="1">AE36-AVERAGE(AE$32:AE$61)+Sheet2!F$15</f>
        <v>16.753602549262745</v>
      </c>
      <c r="BD36" s="2">
        <f ca="1">AF36-AVERAGE(AF$32:AF$61)+Sheet2!G$15</f>
        <v>17.160150068321958</v>
      </c>
      <c r="BE36" s="2">
        <f ca="1">AG36-AVERAGE(AG$32:AG$61)+Sheet2!H$15</f>
        <v>26.936608743607945</v>
      </c>
      <c r="BF36" s="2">
        <f ca="1">AH36-AVERAGE(AH$32:AH$61)+Sheet2!I$15</f>
        <v>13.189937308172651</v>
      </c>
      <c r="BG36" s="2">
        <f ca="1">AI36-AVERAGE(AI$32:AI$61)+Sheet2!J$15</f>
        <v>21.213226146784795</v>
      </c>
      <c r="BH36" s="2">
        <f ca="1">AJ36-AVERAGE(AJ$32:AJ$61)+Sheet2!K$15</f>
        <v>23.049529463317022</v>
      </c>
      <c r="BI36" s="2">
        <f ca="1">AK36-AVERAGE(AK$32:AK$61)+Sheet2!L$15</f>
        <v>23.432874672106777</v>
      </c>
      <c r="BJ36" s="2">
        <f ca="1">AL36-AVERAGE(AL$32:AL$61)+Sheet2!M$15</f>
        <v>16.385387736507052</v>
      </c>
      <c r="BK36" s="2">
        <f ca="1">AM36-AVERAGE(AM$32:AM$61)+Sheet2!N$15</f>
        <v>8.1124139251359857</v>
      </c>
      <c r="BL36" s="2">
        <f ca="1">AN36-AVERAGE(AN$32:AN$61)+Sheet2!O$15</f>
        <v>3.9834951911344709</v>
      </c>
      <c r="BM36" s="2">
        <f ca="1">AO36-AVERAGE(AO$32:AO$61)+Sheet2!P$15</f>
        <v>25.436781726095845</v>
      </c>
      <c r="BN36" s="2">
        <f ca="1">AP36-AVERAGE(AP$32:AP$61)+Sheet2!Q$15</f>
        <v>9.4762575915902598</v>
      </c>
      <c r="BO36" s="2">
        <f ca="1">AQ36-AVERAGE(AQ$32:AQ$61)+Sheet2!R$15</f>
        <v>10.5057512647845</v>
      </c>
      <c r="BP36" s="2">
        <f ca="1">AR36-AVERAGE(AR$32:AR$61)+Sheet2!S$15</f>
        <v>4.8435956611373854</v>
      </c>
      <c r="BQ36" s="2">
        <f ca="1">AS36-AVERAGE(AS$32:AS$61)+Sheet2!T$15</f>
        <v>15.152369465660204</v>
      </c>
      <c r="BR36" s="2">
        <f ca="1">AT36-AVERAGE(AT$32:AT$61)+Sheet2!U$15</f>
        <v>24.883841781001564</v>
      </c>
      <c r="BS36" s="2">
        <f ca="1">AU36-AVERAGE(AU$32:AU$61)+Sheet2!V$15</f>
        <v>24.040119180601433</v>
      </c>
      <c r="BT36" s="2">
        <f ca="1">AV36-AVERAGE(AV$32:AV$61)+Sheet2!W$15</f>
        <v>26.548415811046628</v>
      </c>
      <c r="BU36" s="2">
        <f ca="1">AW36-AVERAGE(AW$32:AW$61)+Sheet2!X$15</f>
        <v>23.616749107423768</v>
      </c>
      <c r="BV36" s="2">
        <f ca="1">AX36-AVERAGE(AX$32:AX$61)+Sheet2!Y$15</f>
        <v>22.531943946790555</v>
      </c>
      <c r="BW36" s="2">
        <f ca="1">AY36-AVERAGE(AY$32:AY$61)+Sheet2!Z$15</f>
        <v>7.0913215687391693</v>
      </c>
      <c r="BZ36" s="2">
        <f ca="1">BA36-AVERAGE(AH$32:AH$61)+Sheet2!AB$15</f>
        <v>9.0579497082631839</v>
      </c>
      <c r="CA36" s="2">
        <f ca="1">BB36-AVERAGE(AI$32:AI$61)+Sheet2!AC$15</f>
        <v>16.556076667935358</v>
      </c>
      <c r="CB36" s="2">
        <f ca="1">BC36-AVERAGE(AJ$32:AJ$61)+Sheet2!AD$15</f>
        <v>13.725755328695776</v>
      </c>
      <c r="CC36" s="2">
        <f ca="1">BD36-AVERAGE(AK$32:AK$61)+Sheet2!AE$15</f>
        <v>14.498194340634484</v>
      </c>
    </row>
    <row r="37" spans="2:81" x14ac:dyDescent="0.3">
      <c r="B37">
        <v>36</v>
      </c>
      <c r="C37" s="1">
        <v>2</v>
      </c>
      <c r="D37" s="2">
        <f t="shared" ca="1" si="5"/>
        <v>0.67174398445496086</v>
      </c>
      <c r="E37" s="2">
        <f t="shared" ca="1" si="5"/>
        <v>0.40702872152677838</v>
      </c>
      <c r="F37" s="2">
        <f t="shared" ca="1" si="5"/>
        <v>0.3942884919058931</v>
      </c>
      <c r="G37" s="2">
        <f t="shared" ca="1" si="5"/>
        <v>0.20479352227314773</v>
      </c>
      <c r="H37" s="2">
        <f t="shared" ca="1" si="5"/>
        <v>0.12382421581892877</v>
      </c>
      <c r="I37" s="2">
        <f t="shared" ca="1" si="5"/>
        <v>0.35771466411928143</v>
      </c>
      <c r="J37" s="2">
        <f t="shared" ca="1" si="5"/>
        <v>0.4820840925819555</v>
      </c>
      <c r="K37" s="2">
        <f t="shared" ca="1" si="5"/>
        <v>0.2285500814814625</v>
      </c>
      <c r="L37" s="2">
        <f t="shared" ca="1" si="5"/>
        <v>0.65419864816155182</v>
      </c>
      <c r="M37" s="2">
        <f t="shared" ca="1" si="5"/>
        <v>0.84097498455260078</v>
      </c>
      <c r="N37" s="2">
        <f t="shared" ca="1" si="5"/>
        <v>0.2675020809422598</v>
      </c>
      <c r="O37" s="2">
        <f t="shared" ca="1" si="5"/>
        <v>0.37813599295266231</v>
      </c>
      <c r="P37" s="2">
        <f t="shared" ca="1" si="5"/>
        <v>0.23443003483000002</v>
      </c>
      <c r="Q37" s="2">
        <f t="shared" ca="1" si="5"/>
        <v>0.86524029960615545</v>
      </c>
      <c r="R37" s="2">
        <f t="shared" ca="1" si="5"/>
        <v>0.41775594933046623</v>
      </c>
      <c r="S37" s="2">
        <f t="shared" ca="1" si="5"/>
        <v>0.94283839501759015</v>
      </c>
      <c r="T37" s="2">
        <f t="shared" ca="1" si="4"/>
        <v>0.84307773352668858</v>
      </c>
      <c r="U37" s="2">
        <f t="shared" ca="1" si="4"/>
        <v>3.5141533922776746E-2</v>
      </c>
      <c r="V37" s="2">
        <f t="shared" ca="1" si="4"/>
        <v>0.77211011778786265</v>
      </c>
      <c r="W37" s="2">
        <f t="shared" ca="1" si="4"/>
        <v>0.54867638836672405</v>
      </c>
      <c r="X37" s="2">
        <f t="shared" ca="1" si="4"/>
        <v>8.8863508666589763E-2</v>
      </c>
      <c r="Y37" s="2">
        <f t="shared" ca="1" si="4"/>
        <v>5.6006366669380969E-2</v>
      </c>
      <c r="Z37" s="2">
        <f t="shared" ca="1" si="4"/>
        <v>0.32523110866451521</v>
      </c>
      <c r="AA37" s="2">
        <f t="shared" ca="1" si="4"/>
        <v>0.95394171119376081</v>
      </c>
      <c r="AB37" s="2">
        <f ca="1">D37*Sheet2!C$16/_xlfn.STDEV.S(D$32:D$61)</f>
        <v>3.237312474359872</v>
      </c>
      <c r="AC37" s="2">
        <f ca="1">E37*Sheet2!D$16/_xlfn.STDEV.S(E$32:E$61)</f>
        <v>2.9002230397236648</v>
      </c>
      <c r="AD37" s="2">
        <f ca="1">F37*Sheet2!E$16/_xlfn.STDEV.S(F$32:F$61)</f>
        <v>2.2497740711503784</v>
      </c>
      <c r="AE37" s="2">
        <f ca="1">G37*Sheet2!F$16/_xlfn.STDEV.S(G$32:G$61)</f>
        <v>1.6781601259861998</v>
      </c>
      <c r="AF37" s="2">
        <f ca="1">H37*Sheet2!G$16/_xlfn.STDEV.S(H$32:H$61)</f>
        <v>1.8984541122275074</v>
      </c>
      <c r="AG37" s="2">
        <f ca="1">I37*Sheet2!H$16/_xlfn.STDEV.S(I$32:I$61)</f>
        <v>3.832159663943346</v>
      </c>
      <c r="AH37" s="2">
        <f ca="1">J37*Sheet2!I$16/_xlfn.STDEV.S(J$32:J$61)</f>
        <v>1.1698866724769141</v>
      </c>
      <c r="AI37" s="2">
        <f ca="1">K37*Sheet2!J$16/_xlfn.STDEV.S(K$32:K$61)</f>
        <v>0.76209912171520067</v>
      </c>
      <c r="AJ37" s="2">
        <f ca="1">L37*Sheet2!K$16/_xlfn.STDEV.S(L$32:L$61)</f>
        <v>4.2776921609691465</v>
      </c>
      <c r="AK37" s="2">
        <f ca="1">M37*Sheet2!L$16/_xlfn.STDEV.S(M$32:M$61)</f>
        <v>4.6712244219438439</v>
      </c>
      <c r="AL37" s="2">
        <f ca="1">N37*Sheet2!M$16/_xlfn.STDEV.S(N$32:N$61)</f>
        <v>0.68828607248535534</v>
      </c>
      <c r="AM37" s="2">
        <f ca="1">O37*Sheet2!N$16/_xlfn.STDEV.S(O$32:O$61)</f>
        <v>0.87709016718130028</v>
      </c>
      <c r="AN37" s="2">
        <f ca="1">P37*Sheet2!O$16/_xlfn.STDEV.S(P$32:P$61)</f>
        <v>0.8957954364713373</v>
      </c>
      <c r="AO37" s="2">
        <f ca="1">Q37*Sheet2!P$16/_xlfn.STDEV.S(Q$32:Q$61)</f>
        <v>5.6295668842253255</v>
      </c>
      <c r="AP37" s="2">
        <f ca="1">R37*Sheet2!Q$16/_xlfn.STDEV.S(R$32:R$61)</f>
        <v>1.4633445706212849</v>
      </c>
      <c r="AQ37" s="2">
        <f ca="1">S37*Sheet2!R$16/_xlfn.STDEV.S(S$32:S$61)</f>
        <v>2.9977740313986088</v>
      </c>
      <c r="AR37" s="2">
        <f ca="1">T37*Sheet2!S$16/_xlfn.STDEV.S(T$32:T$61)</f>
        <v>2.0353285440413096</v>
      </c>
      <c r="AS37" s="2">
        <f ca="1">U37*Sheet2!T$16/_xlfn.STDEV.S(U$32:U$61)</f>
        <v>0.19516751910104729</v>
      </c>
      <c r="AT37" s="2">
        <f ca="1">V37*Sheet2!U$16/_xlfn.STDEV.S(V$32:V$61)</f>
        <v>1.9405333439561201</v>
      </c>
      <c r="AU37" s="2">
        <f ca="1">W37*Sheet2!V$16/_xlfn.STDEV.S(W$32:W$61)</f>
        <v>2.4895276369344601</v>
      </c>
      <c r="AV37" s="2">
        <f ca="1">X37*Sheet2!W$16/_xlfn.STDEV.S(X$32:X$61)</f>
        <v>0.45930886090374906</v>
      </c>
      <c r="AW37" s="2">
        <f ca="1">Y37*Sheet2!X$16/_xlfn.STDEV.S(Y$32:Y$61)</f>
        <v>0.21239000140055364</v>
      </c>
      <c r="AX37" s="2">
        <f ca="1">Z37*Sheet2!Y$16/_xlfn.STDEV.S(Z$32:Z$61)</f>
        <v>1.275213896677428</v>
      </c>
      <c r="AY37" s="2">
        <f ca="1">AA37*Sheet2!Z$16/_xlfn.STDEV.S(AA$32:AA$61)</f>
        <v>1.7573259413163931</v>
      </c>
      <c r="AZ37" s="2">
        <f ca="1">AB37-AVERAGE(AB$32:AB$61)+Sheet2!C$15</f>
        <v>5.2439203166608461</v>
      </c>
      <c r="BA37" s="2">
        <f ca="1">AC37-AVERAGE(AC$32:AC$61)+Sheet2!D$15</f>
        <v>8.2605381171726862</v>
      </c>
      <c r="BB37" s="2">
        <f ca="1">AD37-AVERAGE(AD$32:AD$61)+Sheet2!E$15</f>
        <v>17.029120820942587</v>
      </c>
      <c r="BC37" s="2">
        <f ca="1">AE37-AVERAGE(AE$32:AE$61)+Sheet2!F$15</f>
        <v>14.430918655921937</v>
      </c>
      <c r="BD37" s="2">
        <f ca="1">AF37-AVERAGE(AF$32:AF$61)+Sheet2!G$15</f>
        <v>16.445402146197839</v>
      </c>
      <c r="BE37" s="2">
        <f ca="1">AG37-AVERAGE(AG$32:AG$61)+Sheet2!H$15</f>
        <v>29.229034466832527</v>
      </c>
      <c r="BF37" s="2">
        <f ca="1">AH37-AVERAGE(AH$32:AH$61)+Sheet2!I$15</f>
        <v>12.502133811626443</v>
      </c>
      <c r="BG37" s="2">
        <f ca="1">AI37-AVERAGE(AI$32:AI$61)+Sheet2!J$15</f>
        <v>21.400412574967952</v>
      </c>
      <c r="BH37" s="2">
        <f ca="1">AJ37-AVERAGE(AJ$32:AJ$61)+Sheet2!K$15</f>
        <v>25.756155499705134</v>
      </c>
      <c r="BI37" s="2">
        <f ca="1">AK37-AVERAGE(AK$32:AK$61)+Sheet2!L$15</f>
        <v>25.125597672905727</v>
      </c>
      <c r="BJ37" s="2">
        <f ca="1">AL37-AVERAGE(AL$32:AL$61)+Sheet2!M$15</f>
        <v>16.24211328693454</v>
      </c>
      <c r="BK37" s="2">
        <f ca="1">AM37-AVERAGE(AM$32:AM$61)+Sheet2!N$15</f>
        <v>8.1847012348889283</v>
      </c>
      <c r="BL37" s="2">
        <f ca="1">AN37-AVERAGE(AN$32:AN$61)+Sheet2!O$15</f>
        <v>3.9612955729407666</v>
      </c>
      <c r="BM37" s="2">
        <f ca="1">AO37-AVERAGE(AO$32:AO$61)+Sheet2!P$15</f>
        <v>25.302879791173826</v>
      </c>
      <c r="BN37" s="2">
        <f ca="1">AP37-AVERAGE(AP$32:AP$61)+Sheet2!Q$15</f>
        <v>9.2535088521017741</v>
      </c>
      <c r="BO37" s="2">
        <f ca="1">AQ37-AVERAGE(AQ$32:AQ$61)+Sheet2!R$15</f>
        <v>10.779757024183189</v>
      </c>
      <c r="BP37" s="2">
        <f ca="1">AR37-AVERAGE(AR$32:AR$61)+Sheet2!S$15</f>
        <v>4.5921182152906859</v>
      </c>
      <c r="BQ37" s="2">
        <f ca="1">AS37-AVERAGE(AS$32:AS$61)+Sheet2!T$15</f>
        <v>15.124693773534538</v>
      </c>
      <c r="BR37" s="2">
        <f ca="1">AT37-AVERAGE(AT$32:AT$61)+Sheet2!U$15</f>
        <v>24.498178482211685</v>
      </c>
      <c r="BS37" s="2">
        <f ca="1">AU37-AVERAGE(AU$32:AU$61)+Sheet2!V$15</f>
        <v>22.297304369396922</v>
      </c>
      <c r="BT37" s="2">
        <f ca="1">AV37-AVERAGE(AV$32:AV$61)+Sheet2!W$15</f>
        <v>24.480546812118845</v>
      </c>
      <c r="BU37" s="2">
        <f ca="1">AW37-AVERAGE(AW$32:AW$61)+Sheet2!X$15</f>
        <v>20.179638792152549</v>
      </c>
      <c r="BV37" s="2">
        <f ca="1">AX37-AVERAGE(AX$32:AX$61)+Sheet2!Y$15</f>
        <v>20.950411738869551</v>
      </c>
      <c r="BW37" s="2">
        <f ca="1">AY37-AVERAGE(AY$32:AY$61)+Sheet2!Z$15</f>
        <v>8.8014604002536796</v>
      </c>
      <c r="BZ37" s="2">
        <f ca="1">BA37-AVERAGE(AH$32:AH$61)+Sheet2!AB$15</f>
        <v>6.9439905107593667</v>
      </c>
      <c r="CA37" s="2">
        <f ca="1">BB37-AVERAGE(AI$32:AI$61)+Sheet2!AC$15</f>
        <v>15.568731625364482</v>
      </c>
      <c r="CB37" s="2">
        <f ca="1">BC37-AVERAGE(AJ$32:AJ$61)+Sheet2!AD$15</f>
        <v>11.403071435354969</v>
      </c>
      <c r="CC37" s="2">
        <f ca="1">BD37-AVERAGE(AK$32:AK$61)+Sheet2!AE$15</f>
        <v>13.783446418510366</v>
      </c>
    </row>
    <row r="38" spans="2:81" x14ac:dyDescent="0.3">
      <c r="B38">
        <v>37</v>
      </c>
      <c r="C38" s="1">
        <v>2</v>
      </c>
      <c r="D38" s="2">
        <f t="shared" ca="1" si="5"/>
        <v>0.95995083679066784</v>
      </c>
      <c r="E38" s="2">
        <f t="shared" ca="1" si="5"/>
        <v>0.74972196865864704</v>
      </c>
      <c r="F38" s="2">
        <f t="shared" ca="1" si="5"/>
        <v>0.74824523398304099</v>
      </c>
      <c r="G38" s="2">
        <f t="shared" ca="1" si="5"/>
        <v>0.39638079727031006</v>
      </c>
      <c r="H38" s="2">
        <f t="shared" ca="1" si="5"/>
        <v>0.31735136925096508</v>
      </c>
      <c r="I38" s="2">
        <f t="shared" ca="1" si="5"/>
        <v>0.45650428765054829</v>
      </c>
      <c r="J38" s="2">
        <f t="shared" ca="1" si="5"/>
        <v>0.85416776884377088</v>
      </c>
      <c r="K38" s="2">
        <f t="shared" ca="1" si="5"/>
        <v>0.2227392215714078</v>
      </c>
      <c r="L38" s="2">
        <f t="shared" ca="1" si="5"/>
        <v>0.54355373147509478</v>
      </c>
      <c r="M38" s="2">
        <f t="shared" ca="1" si="5"/>
        <v>0.77915101881080173</v>
      </c>
      <c r="N38" s="2">
        <f t="shared" ca="1" si="5"/>
        <v>4.2088155635639279E-2</v>
      </c>
      <c r="O38" s="2">
        <f t="shared" ca="1" si="5"/>
        <v>0.42048149961762138</v>
      </c>
      <c r="P38" s="2">
        <f t="shared" ca="1" si="5"/>
        <v>0.41882246423351888</v>
      </c>
      <c r="Q38" s="2">
        <f t="shared" ca="1" si="5"/>
        <v>0.19724360719183376</v>
      </c>
      <c r="R38" s="2">
        <f t="shared" ca="1" si="5"/>
        <v>0.1156336681107224</v>
      </c>
      <c r="S38" s="2">
        <f t="shared" ca="1" si="5"/>
        <v>5.2957305500315188E-2</v>
      </c>
      <c r="T38" s="2">
        <f t="shared" ca="1" si="4"/>
        <v>0.48333623688487382</v>
      </c>
      <c r="U38" s="2">
        <f t="shared" ca="1" si="4"/>
        <v>0.90301074688787908</v>
      </c>
      <c r="V38" s="2">
        <f t="shared" ca="1" si="4"/>
        <v>0.6062811697886239</v>
      </c>
      <c r="W38" s="2">
        <f t="shared" ca="1" si="4"/>
        <v>0.45173898137125823</v>
      </c>
      <c r="X38" s="2">
        <f t="shared" ca="1" si="4"/>
        <v>0.26128580816996394</v>
      </c>
      <c r="Y38" s="2">
        <f t="shared" ca="1" si="4"/>
        <v>0.59346502203258766</v>
      </c>
      <c r="Z38" s="2">
        <f t="shared" ca="1" si="4"/>
        <v>0.53379917688295486</v>
      </c>
      <c r="AA38" s="2">
        <f t="shared" ca="1" si="4"/>
        <v>0.46238712480905342</v>
      </c>
      <c r="AB38" s="2">
        <f ca="1">D38*Sheet2!C$16/_xlfn.STDEV.S(D$32:D$61)</f>
        <v>4.6262577568686654</v>
      </c>
      <c r="AC38" s="2">
        <f ca="1">E38*Sheet2!D$16/_xlfn.STDEV.S(E$32:E$61)</f>
        <v>5.3420331585807768</v>
      </c>
      <c r="AD38" s="2">
        <f ca="1">F38*Sheet2!E$16/_xlfn.STDEV.S(F$32:F$61)</f>
        <v>4.2694188667283637</v>
      </c>
      <c r="AE38" s="2">
        <f ca="1">G38*Sheet2!F$16/_xlfn.STDEV.S(G$32:G$61)</f>
        <v>3.2481029736792251</v>
      </c>
      <c r="AF38" s="2">
        <f ca="1">H38*Sheet2!G$16/_xlfn.STDEV.S(H$32:H$61)</f>
        <v>4.8655831009383652</v>
      </c>
      <c r="AG38" s="2">
        <f ca="1">I38*Sheet2!H$16/_xlfn.STDEV.S(I$32:I$61)</f>
        <v>4.8904825354553481</v>
      </c>
      <c r="AH38" s="2">
        <f ca="1">J38*Sheet2!I$16/_xlfn.STDEV.S(J$32:J$61)</f>
        <v>2.0728323215929163</v>
      </c>
      <c r="AI38" s="2">
        <f ca="1">K38*Sheet2!J$16/_xlfn.STDEV.S(K$32:K$61)</f>
        <v>0.74272283794773275</v>
      </c>
      <c r="AJ38" s="2">
        <f ca="1">L38*Sheet2!K$16/_xlfn.STDEV.S(L$32:L$61)</f>
        <v>3.5542041285636428</v>
      </c>
      <c r="AK38" s="2">
        <f ca="1">M38*Sheet2!L$16/_xlfn.STDEV.S(M$32:M$61)</f>
        <v>4.3278210818455056</v>
      </c>
      <c r="AL38" s="2">
        <f ca="1">N38*Sheet2!M$16/_xlfn.STDEV.S(N$32:N$61)</f>
        <v>0.10829333079789914</v>
      </c>
      <c r="AM38" s="2">
        <f ca="1">O38*Sheet2!N$16/_xlfn.STDEV.S(O$32:O$61)</f>
        <v>0.97531098776527292</v>
      </c>
      <c r="AN38" s="2">
        <f ca="1">P38*Sheet2!O$16/_xlfn.STDEV.S(P$32:P$61)</f>
        <v>1.6003890133963943</v>
      </c>
      <c r="AO38" s="2">
        <f ca="1">Q38*Sheet2!P$16/_xlfn.STDEV.S(Q$32:Q$61)</f>
        <v>1.2833383739496775</v>
      </c>
      <c r="AP38" s="2">
        <f ca="1">R38*Sheet2!Q$16/_xlfn.STDEV.S(R$32:R$61)</f>
        <v>0.40504964844197583</v>
      </c>
      <c r="AQ38" s="2">
        <f ca="1">S38*Sheet2!R$16/_xlfn.STDEV.S(S$32:S$61)</f>
        <v>0.16837883993759692</v>
      </c>
      <c r="AR38" s="2">
        <f ca="1">T38*Sheet2!S$16/_xlfn.STDEV.S(T$32:T$61)</f>
        <v>1.1668533044825744</v>
      </c>
      <c r="AS38" s="2">
        <f ca="1">U38*Sheet2!T$16/_xlfn.STDEV.S(U$32:U$61)</f>
        <v>5.0151017192070668</v>
      </c>
      <c r="AT38" s="2">
        <f ca="1">V38*Sheet2!U$16/_xlfn.STDEV.S(V$32:V$61)</f>
        <v>1.5237578146991624</v>
      </c>
      <c r="AU38" s="2">
        <f ca="1">W38*Sheet2!V$16/_xlfn.STDEV.S(W$32:W$61)</f>
        <v>2.0496903140885623</v>
      </c>
      <c r="AV38" s="2">
        <f ca="1">X38*Sheet2!W$16/_xlfn.STDEV.S(X$32:X$61)</f>
        <v>1.3505080850581181</v>
      </c>
      <c r="AW38" s="2">
        <f ca="1">Y38*Sheet2!X$16/_xlfn.STDEV.S(Y$32:Y$61)</f>
        <v>2.2505662187436819</v>
      </c>
      <c r="AX38" s="2">
        <f ca="1">Z38*Sheet2!Y$16/_xlfn.STDEV.S(Z$32:Z$61)</f>
        <v>2.0929982103842519</v>
      </c>
      <c r="AY38" s="2">
        <f ca="1">AA38*Sheet2!Z$16/_xlfn.STDEV.S(AA$32:AA$61)</f>
        <v>0.85179721132102315</v>
      </c>
      <c r="AZ38" s="2">
        <f ca="1">AB38-AVERAGE(AB$32:AB$61)+Sheet2!C$15</f>
        <v>6.632865599169639</v>
      </c>
      <c r="BA38" s="2">
        <f ca="1">AC38-AVERAGE(AC$32:AC$61)+Sheet2!D$15</f>
        <v>10.702348236029797</v>
      </c>
      <c r="BB38" s="2">
        <f ca="1">AD38-AVERAGE(AD$32:AD$61)+Sheet2!E$15</f>
        <v>19.048765616520576</v>
      </c>
      <c r="BC38" s="2">
        <f ca="1">AE38-AVERAGE(AE$32:AE$61)+Sheet2!F$15</f>
        <v>16.000861503614964</v>
      </c>
      <c r="BD38" s="2">
        <f ca="1">AF38-AVERAGE(AF$32:AF$61)+Sheet2!G$15</f>
        <v>19.412531134908697</v>
      </c>
      <c r="BE38" s="2">
        <f ca="1">AG38-AVERAGE(AG$32:AG$61)+Sheet2!H$15</f>
        <v>30.287357338344528</v>
      </c>
      <c r="BF38" s="2">
        <f ca="1">AH38-AVERAGE(AH$32:AH$61)+Sheet2!I$15</f>
        <v>13.405079460742446</v>
      </c>
      <c r="BG38" s="2">
        <f ca="1">AI38-AVERAGE(AI$32:AI$61)+Sheet2!J$15</f>
        <v>21.381036291200484</v>
      </c>
      <c r="BH38" s="2">
        <f ca="1">AJ38-AVERAGE(AJ$32:AJ$61)+Sheet2!K$15</f>
        <v>25.032667467299628</v>
      </c>
      <c r="BI38" s="2">
        <f ca="1">AK38-AVERAGE(AK$32:AK$61)+Sheet2!L$15</f>
        <v>24.782194332807389</v>
      </c>
      <c r="BJ38" s="2">
        <f ca="1">AL38-AVERAGE(AL$32:AL$61)+Sheet2!M$15</f>
        <v>15.662120545247085</v>
      </c>
      <c r="BK38" s="2">
        <f ca="1">AM38-AVERAGE(AM$32:AM$61)+Sheet2!N$15</f>
        <v>8.2829220554729002</v>
      </c>
      <c r="BL38" s="2">
        <f ca="1">AN38-AVERAGE(AN$32:AN$61)+Sheet2!O$15</f>
        <v>4.6658891498658237</v>
      </c>
      <c r="BM38" s="2">
        <f ca="1">AO38-AVERAGE(AO$32:AO$61)+Sheet2!P$15</f>
        <v>20.956651280898178</v>
      </c>
      <c r="BN38" s="2">
        <f ca="1">AP38-AVERAGE(AP$32:AP$61)+Sheet2!Q$15</f>
        <v>8.1952139299224633</v>
      </c>
      <c r="BO38" s="2">
        <f ca="1">AQ38-AVERAGE(AQ$32:AQ$61)+Sheet2!R$15</f>
        <v>7.9503618327221766</v>
      </c>
      <c r="BP38" s="2">
        <f ca="1">AR38-AVERAGE(AR$32:AR$61)+Sheet2!S$15</f>
        <v>3.7236429757319502</v>
      </c>
      <c r="BQ38" s="2">
        <f ca="1">AS38-AVERAGE(AS$32:AS$61)+Sheet2!T$15</f>
        <v>19.944627973640557</v>
      </c>
      <c r="BR38" s="2">
        <f ca="1">AT38-AVERAGE(AT$32:AT$61)+Sheet2!U$15</f>
        <v>24.081402952954726</v>
      </c>
      <c r="BS38" s="2">
        <f ca="1">AU38-AVERAGE(AU$32:AU$61)+Sheet2!V$15</f>
        <v>21.857467046551026</v>
      </c>
      <c r="BT38" s="2">
        <f ca="1">AV38-AVERAGE(AV$32:AV$61)+Sheet2!W$15</f>
        <v>25.371746036273215</v>
      </c>
      <c r="BU38" s="2">
        <f ca="1">AW38-AVERAGE(AW$32:AW$61)+Sheet2!X$15</f>
        <v>22.217815009495677</v>
      </c>
      <c r="BV38" s="2">
        <f ca="1">AX38-AVERAGE(AX$32:AX$61)+Sheet2!Y$15</f>
        <v>21.768196052576375</v>
      </c>
      <c r="BW38" s="2">
        <f ca="1">AY38-AVERAGE(AY$32:AY$61)+Sheet2!Z$15</f>
        <v>7.8959316702583102</v>
      </c>
      <c r="BZ38" s="2">
        <f ca="1">BA38-AVERAGE(AH$32:AH$61)+Sheet2!AB$15</f>
        <v>9.3858006296164778</v>
      </c>
      <c r="CA38" s="2">
        <f ca="1">BB38-AVERAGE(AI$32:AI$61)+Sheet2!AC$15</f>
        <v>17.58837642094247</v>
      </c>
      <c r="CB38" s="2">
        <f ca="1">BC38-AVERAGE(AJ$32:AJ$61)+Sheet2!AD$15</f>
        <v>12.973014283047995</v>
      </c>
      <c r="CC38" s="2">
        <f ca="1">BD38-AVERAGE(AK$32:AK$61)+Sheet2!AE$15</f>
        <v>16.750575407221223</v>
      </c>
    </row>
    <row r="39" spans="2:81" x14ac:dyDescent="0.3">
      <c r="B39">
        <v>38</v>
      </c>
      <c r="C39" s="1">
        <v>2</v>
      </c>
      <c r="D39" s="2">
        <f t="shared" ca="1" si="5"/>
        <v>0.75575088472818985</v>
      </c>
      <c r="E39" s="2">
        <f t="shared" ca="1" si="5"/>
        <v>0.72303571718243609</v>
      </c>
      <c r="F39" s="2">
        <f t="shared" ca="1" si="5"/>
        <v>0.14378145067253667</v>
      </c>
      <c r="G39" s="2">
        <f t="shared" ca="1" si="5"/>
        <v>0.75199495831259122</v>
      </c>
      <c r="H39" s="2">
        <f t="shared" ca="1" si="5"/>
        <v>0.68852804509555654</v>
      </c>
      <c r="I39" s="2">
        <f t="shared" ca="1" si="5"/>
        <v>0.70637006790132029</v>
      </c>
      <c r="J39" s="2">
        <f t="shared" ca="1" si="5"/>
        <v>0.36044384062011869</v>
      </c>
      <c r="K39" s="2">
        <f t="shared" ca="1" si="5"/>
        <v>0.4544403671086813</v>
      </c>
      <c r="L39" s="2">
        <f t="shared" ca="1" si="5"/>
        <v>0.24022513143121049</v>
      </c>
      <c r="M39" s="2">
        <f t="shared" ca="1" si="5"/>
        <v>0.78857328089311662</v>
      </c>
      <c r="N39" s="2">
        <f t="shared" ca="1" si="5"/>
        <v>0.88294427975577772</v>
      </c>
      <c r="O39" s="2">
        <f t="shared" ca="1" si="5"/>
        <v>2.7951691404418E-2</v>
      </c>
      <c r="P39" s="2">
        <f t="shared" ca="1" si="5"/>
        <v>0.5640874152544636</v>
      </c>
      <c r="Q39" s="2">
        <f t="shared" ca="1" si="4"/>
        <v>0.86863788579982337</v>
      </c>
      <c r="R39" s="2">
        <f t="shared" ca="1" si="4"/>
        <v>0.11883405699434113</v>
      </c>
      <c r="S39" s="2">
        <f t="shared" ca="1" si="4"/>
        <v>0.22530453574968867</v>
      </c>
      <c r="T39" s="2">
        <f t="shared" ca="1" si="4"/>
        <v>0.10975234648925458</v>
      </c>
      <c r="U39" s="2">
        <f t="shared" ca="1" si="4"/>
        <v>0.29877843703740692</v>
      </c>
      <c r="V39" s="2">
        <f t="shared" ca="1" si="4"/>
        <v>0.34367790748522686</v>
      </c>
      <c r="W39" s="2">
        <f t="shared" ca="1" si="4"/>
        <v>0.14083095211739671</v>
      </c>
      <c r="X39" s="2">
        <f t="shared" ca="1" si="4"/>
        <v>0.58625586016413755</v>
      </c>
      <c r="Y39" s="2">
        <f t="shared" ca="1" si="4"/>
        <v>0.95413082756946987</v>
      </c>
      <c r="Z39" s="2">
        <f t="shared" ca="1" si="4"/>
        <v>0.2647747346916679</v>
      </c>
      <c r="AA39" s="2">
        <f t="shared" ca="1" si="4"/>
        <v>0.89972436446778215</v>
      </c>
      <c r="AB39" s="2">
        <f ca="1">D39*Sheet2!C$16/_xlfn.STDEV.S(D$32:D$61)</f>
        <v>3.6421640137562239</v>
      </c>
      <c r="AC39" s="2">
        <f ca="1">E39*Sheet2!D$16/_xlfn.STDEV.S(E$32:E$61)</f>
        <v>5.1518842150741584</v>
      </c>
      <c r="AD39" s="2">
        <f ca="1">F39*Sheet2!E$16/_xlfn.STDEV.S(F$32:F$61)</f>
        <v>0.82040380654240808</v>
      </c>
      <c r="AE39" s="2">
        <f ca="1">G39*Sheet2!F$16/_xlfn.STDEV.S(G$32:G$61)</f>
        <v>6.1621478061189281</v>
      </c>
      <c r="AF39" s="2">
        <f ca="1">H39*Sheet2!G$16/_xlfn.STDEV.S(H$32:H$61)</f>
        <v>10.556407645715177</v>
      </c>
      <c r="AG39" s="2">
        <f ca="1">I39*Sheet2!H$16/_xlfn.STDEV.S(I$32:I$61)</f>
        <v>7.5672684224254434</v>
      </c>
      <c r="AH39" s="2">
        <f ca="1">J39*Sheet2!I$16/_xlfn.STDEV.S(J$32:J$61)</f>
        <v>0.87469894113169366</v>
      </c>
      <c r="AI39" s="2">
        <f ca="1">K39*Sheet2!J$16/_xlfn.STDEV.S(K$32:K$61)</f>
        <v>1.5153291672466538</v>
      </c>
      <c r="AJ39" s="2">
        <f ca="1">L39*Sheet2!K$16/_xlfn.STDEV.S(L$32:L$61)</f>
        <v>1.5707907139198307</v>
      </c>
      <c r="AK39" s="2">
        <f ca="1">M39*Sheet2!L$16/_xlfn.STDEV.S(M$32:M$61)</f>
        <v>4.3801573600432215</v>
      </c>
      <c r="AL39" s="2">
        <f ca="1">N39*Sheet2!M$16/_xlfn.STDEV.S(N$32:N$61)</f>
        <v>2.2718262541953487</v>
      </c>
      <c r="AM39" s="2">
        <f ca="1">O39*Sheet2!N$16/_xlfn.STDEV.S(O$32:O$61)</f>
        <v>6.4834224045871761E-2</v>
      </c>
      <c r="AN39" s="2">
        <f ca="1">P39*Sheet2!O$16/_xlfn.STDEV.S(P$32:P$61)</f>
        <v>2.1554701074130307</v>
      </c>
      <c r="AO39" s="2">
        <f ca="1">Q39*Sheet2!P$16/_xlfn.STDEV.S(Q$32:Q$61)</f>
        <v>5.6516728110191652</v>
      </c>
      <c r="AP39" s="2">
        <f ca="1">R39*Sheet2!Q$16/_xlfn.STDEV.S(R$32:R$61)</f>
        <v>0.41626019302961376</v>
      </c>
      <c r="AQ39" s="2">
        <f ca="1">S39*Sheet2!R$16/_xlfn.STDEV.S(S$32:S$61)</f>
        <v>0.71636039643266258</v>
      </c>
      <c r="AR39" s="2">
        <f ca="1">T39*Sheet2!S$16/_xlfn.STDEV.S(T$32:T$61)</f>
        <v>0.26496024589649592</v>
      </c>
      <c r="AS39" s="2">
        <f ca="1">U39*Sheet2!T$16/_xlfn.STDEV.S(U$32:U$61)</f>
        <v>1.659342658337539</v>
      </c>
      <c r="AT39" s="2">
        <f ca="1">V39*Sheet2!U$16/_xlfn.STDEV.S(V$32:V$61)</f>
        <v>0.8637607819036317</v>
      </c>
      <c r="AU39" s="2">
        <f ca="1">W39*Sheet2!V$16/_xlfn.STDEV.S(W$32:W$61)</f>
        <v>0.63899696590864996</v>
      </c>
      <c r="AV39" s="2">
        <f ca="1">X39*Sheet2!W$16/_xlfn.STDEV.S(X$32:X$61)</f>
        <v>3.030180952458573</v>
      </c>
      <c r="AW39" s="2">
        <f ca="1">Y39*Sheet2!X$16/_xlfn.STDEV.S(Y$32:Y$61)</f>
        <v>3.6183002014765577</v>
      </c>
      <c r="AX39" s="2">
        <f ca="1">Z39*Sheet2!Y$16/_xlfn.STDEV.S(Z$32:Z$61)</f>
        <v>1.0381676665382691</v>
      </c>
      <c r="AY39" s="2">
        <f ca="1">AA39*Sheet2!Z$16/_xlfn.STDEV.S(AA$32:AA$61)</f>
        <v>1.657448193281162</v>
      </c>
      <c r="AZ39" s="2">
        <f ca="1">AB39-AVERAGE(AB$32:AB$61)+Sheet2!C$15</f>
        <v>5.6487718560571984</v>
      </c>
      <c r="BA39" s="2">
        <f ca="1">AC39-AVERAGE(AC$32:AC$61)+Sheet2!D$15</f>
        <v>10.512199292523178</v>
      </c>
      <c r="BB39" s="2">
        <f ca="1">AD39-AVERAGE(AD$32:AD$61)+Sheet2!E$15</f>
        <v>15.599750556334619</v>
      </c>
      <c r="BC39" s="2">
        <f ca="1">AE39-AVERAGE(AE$32:AE$61)+Sheet2!F$15</f>
        <v>18.914906336054667</v>
      </c>
      <c r="BD39" s="2">
        <f ca="1">AF39-AVERAGE(AF$32:AF$61)+Sheet2!G$15</f>
        <v>25.10335567968551</v>
      </c>
      <c r="BE39" s="2">
        <f ca="1">AG39-AVERAGE(AG$32:AG$61)+Sheet2!H$15</f>
        <v>32.964143225314622</v>
      </c>
      <c r="BF39" s="2">
        <f ca="1">AH39-AVERAGE(AH$32:AH$61)+Sheet2!I$15</f>
        <v>12.206946080281224</v>
      </c>
      <c r="BG39" s="2">
        <f ca="1">AI39-AVERAGE(AI$32:AI$61)+Sheet2!J$15</f>
        <v>22.153642620499404</v>
      </c>
      <c r="BH39" s="2">
        <f ca="1">AJ39-AVERAGE(AJ$32:AJ$61)+Sheet2!K$15</f>
        <v>23.049254052655819</v>
      </c>
      <c r="BI39" s="2">
        <f ca="1">AK39-AVERAGE(AK$32:AK$61)+Sheet2!L$15</f>
        <v>24.834530611005107</v>
      </c>
      <c r="BJ39" s="2">
        <f ca="1">AL39-AVERAGE(AL$32:AL$61)+Sheet2!M$15</f>
        <v>17.825653468644536</v>
      </c>
      <c r="BK39" s="2">
        <f ca="1">AM39-AVERAGE(AM$32:AM$61)+Sheet2!N$15</f>
        <v>7.3724452917534995</v>
      </c>
      <c r="BL39" s="2">
        <f ca="1">AN39-AVERAGE(AN$32:AN$61)+Sheet2!O$15</f>
        <v>5.2209702438824603</v>
      </c>
      <c r="BM39" s="2">
        <f ca="1">AO39-AVERAGE(AO$32:AO$61)+Sheet2!P$15</f>
        <v>25.324985717967664</v>
      </c>
      <c r="BN39" s="2">
        <f ca="1">AP39-AVERAGE(AP$32:AP$61)+Sheet2!Q$15</f>
        <v>8.2064244745101025</v>
      </c>
      <c r="BO39" s="2">
        <f ca="1">AQ39-AVERAGE(AQ$32:AQ$61)+Sheet2!R$15</f>
        <v>8.4983433892172435</v>
      </c>
      <c r="BP39" s="2">
        <f ca="1">AR39-AVERAGE(AR$32:AR$61)+Sheet2!S$15</f>
        <v>2.8217499171458718</v>
      </c>
      <c r="BQ39" s="2">
        <f ca="1">AS39-AVERAGE(AS$32:AS$61)+Sheet2!T$15</f>
        <v>16.58886891277103</v>
      </c>
      <c r="BR39" s="2">
        <f ca="1">AT39-AVERAGE(AT$32:AT$61)+Sheet2!U$15</f>
        <v>23.421405920159195</v>
      </c>
      <c r="BS39" s="2">
        <f ca="1">AU39-AVERAGE(AU$32:AU$61)+Sheet2!V$15</f>
        <v>20.446773698371114</v>
      </c>
      <c r="BT39" s="2">
        <f ca="1">AV39-AVERAGE(AV$32:AV$61)+Sheet2!W$15</f>
        <v>27.051418903673671</v>
      </c>
      <c r="BU39" s="2">
        <f ca="1">AW39-AVERAGE(AW$32:AW$61)+Sheet2!X$15</f>
        <v>23.585548992228553</v>
      </c>
      <c r="BV39" s="2">
        <f ca="1">AX39-AVERAGE(AX$32:AX$61)+Sheet2!Y$15</f>
        <v>20.713365508730394</v>
      </c>
      <c r="BW39" s="2">
        <f ca="1">AY39-AVERAGE(AY$32:AY$61)+Sheet2!Z$15</f>
        <v>8.7015826522184483</v>
      </c>
      <c r="BZ39" s="2">
        <f ca="1">BA39-AVERAGE(AH$32:AH$61)+Sheet2!AB$15</f>
        <v>9.1956516861098585</v>
      </c>
      <c r="CA39" s="2">
        <f ca="1">BB39-AVERAGE(AI$32:AI$61)+Sheet2!AC$15</f>
        <v>14.139361360756514</v>
      </c>
      <c r="CB39" s="2">
        <f ca="1">BC39-AVERAGE(AJ$32:AJ$61)+Sheet2!AD$15</f>
        <v>15.887059115487698</v>
      </c>
      <c r="CC39" s="2">
        <f ca="1">BD39-AVERAGE(AK$32:AK$61)+Sheet2!AE$15</f>
        <v>22.441399951998036</v>
      </c>
    </row>
    <row r="40" spans="2:81" x14ac:dyDescent="0.3">
      <c r="B40">
        <v>39</v>
      </c>
      <c r="C40" s="1">
        <v>2</v>
      </c>
      <c r="D40" s="2">
        <f t="shared" ca="1" si="5"/>
        <v>0.53067767545197297</v>
      </c>
      <c r="E40" s="2">
        <f t="shared" ca="1" si="5"/>
        <v>0.49451341330016474</v>
      </c>
      <c r="F40" s="2">
        <f t="shared" ca="1" si="5"/>
        <v>0.69096218937134413</v>
      </c>
      <c r="G40" s="2">
        <f t="shared" ca="1" si="5"/>
        <v>0.81978791721740962</v>
      </c>
      <c r="H40" s="2">
        <f t="shared" ca="1" si="5"/>
        <v>0.77298393176201385</v>
      </c>
      <c r="I40" s="2">
        <f t="shared" ca="1" si="5"/>
        <v>1.9748704438215081E-2</v>
      </c>
      <c r="J40" s="2">
        <f t="shared" ca="1" si="5"/>
        <v>0.89487328335888505</v>
      </c>
      <c r="K40" s="2">
        <f t="shared" ca="1" si="5"/>
        <v>0.16756756529087791</v>
      </c>
      <c r="L40" s="2">
        <f t="shared" ca="1" si="5"/>
        <v>0.36015524461350978</v>
      </c>
      <c r="M40" s="2">
        <f t="shared" ca="1" si="5"/>
        <v>0.2760052197492735</v>
      </c>
      <c r="N40" s="2">
        <f t="shared" ca="1" si="5"/>
        <v>0.91346869245067164</v>
      </c>
      <c r="O40" s="2">
        <f t="shared" ca="1" si="5"/>
        <v>0.94967536538180231</v>
      </c>
      <c r="P40" s="2">
        <f t="shared" ca="1" si="5"/>
        <v>0.15900223278664127</v>
      </c>
      <c r="Q40" s="2">
        <f t="shared" ca="1" si="4"/>
        <v>0.39694704810847148</v>
      </c>
      <c r="R40" s="2">
        <f t="shared" ca="1" si="4"/>
        <v>0.44700412747916696</v>
      </c>
      <c r="S40" s="2">
        <f t="shared" ca="1" si="4"/>
        <v>0.30026471249729192</v>
      </c>
      <c r="T40" s="2">
        <f t="shared" ca="1" si="4"/>
        <v>0.62180975317994081</v>
      </c>
      <c r="U40" s="2">
        <f t="shared" ca="1" si="4"/>
        <v>0.83065028409565844</v>
      </c>
      <c r="V40" s="2">
        <f t="shared" ca="1" si="4"/>
        <v>0.23447272887187287</v>
      </c>
      <c r="W40" s="2">
        <f t="shared" ca="1" si="4"/>
        <v>0.11552574311292874</v>
      </c>
      <c r="X40" s="2">
        <f t="shared" ca="1" si="4"/>
        <v>0.95786382858510266</v>
      </c>
      <c r="Y40" s="2">
        <f t="shared" ca="1" si="4"/>
        <v>0.56269955721277731</v>
      </c>
      <c r="Z40" s="2">
        <f t="shared" ca="1" si="4"/>
        <v>0.74037001613575559</v>
      </c>
      <c r="AA40" s="2">
        <f t="shared" ca="1" si="4"/>
        <v>0.58144476339081086</v>
      </c>
      <c r="AB40" s="2">
        <f ca="1">D40*Sheet2!C$16/_xlfn.STDEV.S(D$32:D$61)</f>
        <v>2.5574765064683036</v>
      </c>
      <c r="AC40" s="2">
        <f ca="1">E40*Sheet2!D$16/_xlfn.STDEV.S(E$32:E$61)</f>
        <v>3.5235822900305402</v>
      </c>
      <c r="AD40" s="2">
        <f ca="1">F40*Sheet2!E$16/_xlfn.STDEV.S(F$32:F$61)</f>
        <v>3.9425670535775379</v>
      </c>
      <c r="AE40" s="2">
        <f ca="1">G40*Sheet2!F$16/_xlfn.STDEV.S(G$32:G$61)</f>
        <v>6.717670457391792</v>
      </c>
      <c r="AF40" s="2">
        <f ca="1">H40*Sheet2!G$16/_xlfn.STDEV.S(H$32:H$61)</f>
        <v>11.851272501376521</v>
      </c>
      <c r="AG40" s="2">
        <f ca="1">I40*Sheet2!H$16/_xlfn.STDEV.S(I$32:I$61)</f>
        <v>0.21156579853833138</v>
      </c>
      <c r="AH40" s="2">
        <f ca="1">J40*Sheet2!I$16/_xlfn.STDEV.S(J$32:J$61)</f>
        <v>2.1716135086520016</v>
      </c>
      <c r="AI40" s="2">
        <f ca="1">K40*Sheet2!J$16/_xlfn.STDEV.S(K$32:K$61)</f>
        <v>0.55875322164997998</v>
      </c>
      <c r="AJ40" s="2">
        <f ca="1">L40*Sheet2!K$16/_xlfn.STDEV.S(L$32:L$61)</f>
        <v>2.3549930452236012</v>
      </c>
      <c r="AK40" s="2">
        <f ca="1">M40*Sheet2!L$16/_xlfn.STDEV.S(M$32:M$61)</f>
        <v>1.5330804682171164</v>
      </c>
      <c r="AL40" s="2">
        <f ca="1">N40*Sheet2!M$16/_xlfn.STDEV.S(N$32:N$61)</f>
        <v>2.350365935287495</v>
      </c>
      <c r="AM40" s="2">
        <f ca="1">O40*Sheet2!N$16/_xlfn.STDEV.S(O$32:O$61)</f>
        <v>2.2027813816045856</v>
      </c>
      <c r="AN40" s="2">
        <f ca="1">P40*Sheet2!O$16/_xlfn.STDEV.S(P$32:P$61)</f>
        <v>0.60757349041181508</v>
      </c>
      <c r="AO40" s="2">
        <f ca="1">Q40*Sheet2!P$16/_xlfn.STDEV.S(Q$32:Q$61)</f>
        <v>2.5826813173630758</v>
      </c>
      <c r="AP40" s="2">
        <f ca="1">R40*Sheet2!Q$16/_xlfn.STDEV.S(R$32:R$61)</f>
        <v>1.565797121597664</v>
      </c>
      <c r="AQ40" s="2">
        <f ca="1">S40*Sheet2!R$16/_xlfn.STDEV.S(S$32:S$61)</f>
        <v>0.95469781717253654</v>
      </c>
      <c r="AR40" s="2">
        <f ca="1">T40*Sheet2!S$16/_xlfn.STDEV.S(T$32:T$61)</f>
        <v>1.5011511860434534</v>
      </c>
      <c r="AS40" s="2">
        <f ca="1">U40*Sheet2!T$16/_xlfn.STDEV.S(U$32:U$61)</f>
        <v>4.6132293355144478</v>
      </c>
      <c r="AT40" s="2">
        <f ca="1">V40*Sheet2!U$16/_xlfn.STDEV.S(V$32:V$61)</f>
        <v>0.58929696443799751</v>
      </c>
      <c r="AU40" s="2">
        <f ca="1">W40*Sheet2!V$16/_xlfn.STDEV.S(W$32:W$61)</f>
        <v>0.5241787989331117</v>
      </c>
      <c r="AV40" s="2">
        <f ca="1">X40*Sheet2!W$16/_xlfn.STDEV.S(X$32:X$61)</f>
        <v>4.9509112414074483</v>
      </c>
      <c r="AW40" s="2">
        <f ca="1">Y40*Sheet2!X$16/_xlfn.STDEV.S(Y$32:Y$61)</f>
        <v>2.1338959631146812</v>
      </c>
      <c r="AX40" s="2">
        <f ca="1">Z40*Sheet2!Y$16/_xlfn.STDEV.S(Z$32:Z$61)</f>
        <v>2.9029514954349072</v>
      </c>
      <c r="AY40" s="2">
        <f ca="1">AA40*Sheet2!Z$16/_xlfn.STDEV.S(AA$32:AA$61)</f>
        <v>1.0711220131789612</v>
      </c>
      <c r="AZ40" s="2">
        <f ca="1">AB40-AVERAGE(AB$32:AB$61)+Sheet2!C$15</f>
        <v>4.5640843487692777</v>
      </c>
      <c r="BA40" s="2">
        <f ca="1">AC40-AVERAGE(AC$32:AC$61)+Sheet2!D$15</f>
        <v>8.8838973674795607</v>
      </c>
      <c r="BB40" s="2">
        <f ca="1">AD40-AVERAGE(AD$32:AD$61)+Sheet2!E$15</f>
        <v>18.721913803369748</v>
      </c>
      <c r="BC40" s="2">
        <f ca="1">AE40-AVERAGE(AE$32:AE$61)+Sheet2!F$15</f>
        <v>19.47042898732753</v>
      </c>
      <c r="BD40" s="2">
        <f ca="1">AF40-AVERAGE(AF$32:AF$61)+Sheet2!G$15</f>
        <v>26.398220535346852</v>
      </c>
      <c r="BE40" s="2">
        <f ca="1">AG40-AVERAGE(AG$32:AG$61)+Sheet2!H$15</f>
        <v>25.608440601427514</v>
      </c>
      <c r="BF40" s="2">
        <f ca="1">AH40-AVERAGE(AH$32:AH$61)+Sheet2!I$15</f>
        <v>13.503860647801531</v>
      </c>
      <c r="BG40" s="2">
        <f ca="1">AI40-AVERAGE(AI$32:AI$61)+Sheet2!J$15</f>
        <v>21.197066674902729</v>
      </c>
      <c r="BH40" s="2">
        <f ca="1">AJ40-AVERAGE(AJ$32:AJ$61)+Sheet2!K$15</f>
        <v>23.833456383959586</v>
      </c>
      <c r="BI40" s="2">
        <f ca="1">AK40-AVERAGE(AK$32:AK$61)+Sheet2!L$15</f>
        <v>21.987453719179001</v>
      </c>
      <c r="BJ40" s="2">
        <f ca="1">AL40-AVERAGE(AL$32:AL$61)+Sheet2!M$15</f>
        <v>17.904193149736681</v>
      </c>
      <c r="BK40" s="2">
        <f ca="1">AM40-AVERAGE(AM$32:AM$61)+Sheet2!N$15</f>
        <v>9.5103924493122136</v>
      </c>
      <c r="BL40" s="2">
        <f ca="1">AN40-AVERAGE(AN$32:AN$61)+Sheet2!O$15</f>
        <v>3.6730736268812443</v>
      </c>
      <c r="BM40" s="2">
        <f ca="1">AO40-AVERAGE(AO$32:AO$61)+Sheet2!P$15</f>
        <v>22.255994224311575</v>
      </c>
      <c r="BN40" s="2">
        <f ca="1">AP40-AVERAGE(AP$32:AP$61)+Sheet2!Q$15</f>
        <v>9.3559614030781528</v>
      </c>
      <c r="BO40" s="2">
        <f ca="1">AQ40-AVERAGE(AQ$32:AQ$61)+Sheet2!R$15</f>
        <v>8.7366808099571163</v>
      </c>
      <c r="BP40" s="2">
        <f ca="1">AR40-AVERAGE(AR$32:AR$61)+Sheet2!S$15</f>
        <v>4.0579408572928291</v>
      </c>
      <c r="BQ40" s="2">
        <f ca="1">AS40-AVERAGE(AS$32:AS$61)+Sheet2!T$15</f>
        <v>19.542755589947937</v>
      </c>
      <c r="BR40" s="2">
        <f ca="1">AT40-AVERAGE(AT$32:AT$61)+Sheet2!U$15</f>
        <v>23.146942102693561</v>
      </c>
      <c r="BS40" s="2">
        <f ca="1">AU40-AVERAGE(AU$32:AU$61)+Sheet2!V$15</f>
        <v>20.331955531395575</v>
      </c>
      <c r="BT40" s="2">
        <f ca="1">AV40-AVERAGE(AV$32:AV$61)+Sheet2!W$15</f>
        <v>28.972149192622545</v>
      </c>
      <c r="BU40" s="2">
        <f ca="1">AW40-AVERAGE(AW$32:AW$61)+Sheet2!X$15</f>
        <v>22.101144753866677</v>
      </c>
      <c r="BV40" s="2">
        <f ca="1">AX40-AVERAGE(AX$32:AX$61)+Sheet2!Y$15</f>
        <v>22.578149337627032</v>
      </c>
      <c r="BW40" s="2">
        <f ca="1">AY40-AVERAGE(AY$32:AY$61)+Sheet2!Z$15</f>
        <v>8.1152564721162488</v>
      </c>
      <c r="BZ40" s="2">
        <f ca="1">BA40-AVERAGE(AH$32:AH$61)+Sheet2!AB$15</f>
        <v>7.5673497610662412</v>
      </c>
      <c r="CA40" s="2">
        <f ca="1">BB40-AVERAGE(AI$32:AI$61)+Sheet2!AC$15</f>
        <v>17.261524607791642</v>
      </c>
      <c r="CB40" s="2">
        <f ca="1">BC40-AVERAGE(AJ$32:AJ$61)+Sheet2!AD$15</f>
        <v>16.442581766760561</v>
      </c>
      <c r="CC40" s="2">
        <f ca="1">BD40-AVERAGE(AK$32:AK$61)+Sheet2!AE$15</f>
        <v>23.736264807659378</v>
      </c>
    </row>
    <row r="41" spans="2:81" x14ac:dyDescent="0.3">
      <c r="B41">
        <v>40</v>
      </c>
      <c r="C41" s="1">
        <v>2</v>
      </c>
      <c r="D41" s="2">
        <f t="shared" ca="1" si="5"/>
        <v>0.39340502155457302</v>
      </c>
      <c r="E41" s="2">
        <f t="shared" ca="1" si="5"/>
        <v>0.55708185269893773</v>
      </c>
      <c r="F41" s="2">
        <f t="shared" ca="1" si="5"/>
        <v>0.53390767927210214</v>
      </c>
      <c r="G41" s="2">
        <f t="shared" ca="1" si="5"/>
        <v>0.16543477100769977</v>
      </c>
      <c r="H41" s="2">
        <f t="shared" ca="1" si="5"/>
        <v>0.33345308614920632</v>
      </c>
      <c r="I41" s="2">
        <f t="shared" ca="1" si="5"/>
        <v>3.9140955326646409E-3</v>
      </c>
      <c r="J41" s="2">
        <f t="shared" ca="1" si="5"/>
        <v>0.54573341379717055</v>
      </c>
      <c r="K41" s="2">
        <f t="shared" ca="1" si="5"/>
        <v>0.30630546879407616</v>
      </c>
      <c r="L41" s="2">
        <f t="shared" ca="1" si="5"/>
        <v>0.73548701872370148</v>
      </c>
      <c r="M41" s="2">
        <f t="shared" ca="1" si="5"/>
        <v>0.8410438070621864</v>
      </c>
      <c r="N41" s="2">
        <f t="shared" ca="1" si="5"/>
        <v>0.55392749296004873</v>
      </c>
      <c r="O41" s="2">
        <f t="shared" ca="1" si="5"/>
        <v>0.37078312088366716</v>
      </c>
      <c r="P41" s="2">
        <f t="shared" ca="1" si="5"/>
        <v>0.61662860654112239</v>
      </c>
      <c r="Q41" s="2">
        <f t="shared" ca="1" si="4"/>
        <v>7.2557387037859744E-2</v>
      </c>
      <c r="R41" s="2">
        <f t="shared" ca="1" si="4"/>
        <v>0.69609121681866915</v>
      </c>
      <c r="S41" s="2">
        <f t="shared" ca="1" si="4"/>
        <v>0.33540789808398819</v>
      </c>
      <c r="T41" s="2">
        <f t="shared" ca="1" si="4"/>
        <v>0.89900314349744781</v>
      </c>
      <c r="U41" s="2">
        <f t="shared" ca="1" si="4"/>
        <v>0.85093481342640609</v>
      </c>
      <c r="V41" s="2">
        <f t="shared" ca="1" si="4"/>
        <v>0.5415890592985767</v>
      </c>
      <c r="W41" s="2">
        <f t="shared" ca="1" si="4"/>
        <v>0.84341398897981901</v>
      </c>
      <c r="X41" s="2">
        <f t="shared" ca="1" si="4"/>
        <v>0.89486461520433336</v>
      </c>
      <c r="Y41" s="2">
        <f t="shared" ca="1" si="4"/>
        <v>0.31421657255857238</v>
      </c>
      <c r="Z41" s="2">
        <f t="shared" ca="1" si="4"/>
        <v>0.80326159604785641</v>
      </c>
      <c r="AA41" s="2">
        <f t="shared" ca="1" si="4"/>
        <v>0.99226581091395993</v>
      </c>
      <c r="AB41" s="2">
        <f ca="1">D41*Sheet2!C$16/_xlfn.STDEV.S(D$32:D$61)</f>
        <v>1.8959231689849607</v>
      </c>
      <c r="AC41" s="2">
        <f ca="1">E41*Sheet2!D$16/_xlfn.STDEV.S(E$32:E$61)</f>
        <v>3.9694044640117858</v>
      </c>
      <c r="AD41" s="2">
        <f ca="1">F41*Sheet2!E$16/_xlfn.STDEV.S(F$32:F$61)</f>
        <v>3.0464283839690092</v>
      </c>
      <c r="AE41" s="2">
        <f ca="1">G41*Sheet2!F$16/_xlfn.STDEV.S(G$32:G$61)</f>
        <v>1.3556387578826341</v>
      </c>
      <c r="AF41" s="2">
        <f ca="1">H41*Sheet2!G$16/_xlfn.STDEV.S(H$32:H$61)</f>
        <v>5.1124521843177435</v>
      </c>
      <c r="AG41" s="2">
        <f ca="1">I41*Sheet2!H$16/_xlfn.STDEV.S(I$32:I$61)</f>
        <v>4.1931294759827507E-2</v>
      </c>
      <c r="AH41" s="2">
        <f ca="1">J41*Sheet2!I$16/_xlfn.STDEV.S(J$32:J$61)</f>
        <v>1.3243462237205044</v>
      </c>
      <c r="AI41" s="2">
        <f ca="1">K41*Sheet2!J$16/_xlfn.STDEV.S(K$32:K$61)</f>
        <v>1.0213740779762619</v>
      </c>
      <c r="AJ41" s="2">
        <f ca="1">L41*Sheet2!K$16/_xlfn.STDEV.S(L$32:L$61)</f>
        <v>4.8092228000324564</v>
      </c>
      <c r="AK41" s="2">
        <f ca="1">M41*Sheet2!L$16/_xlfn.STDEV.S(M$32:M$61)</f>
        <v>4.671606698935979</v>
      </c>
      <c r="AL41" s="2">
        <f ca="1">N41*Sheet2!M$16/_xlfn.STDEV.S(N$32:N$61)</f>
        <v>1.4252621034878086</v>
      </c>
      <c r="AM41" s="2">
        <f ca="1">O41*Sheet2!N$16/_xlfn.STDEV.S(O$32:O$61)</f>
        <v>0.86003510785753723</v>
      </c>
      <c r="AN41" s="2">
        <f ca="1">P41*Sheet2!O$16/_xlfn.STDEV.S(P$32:P$61)</f>
        <v>2.3562385772700916</v>
      </c>
      <c r="AO41" s="2">
        <f ca="1">Q41*Sheet2!P$16/_xlfn.STDEV.S(Q$32:Q$61)</f>
        <v>0.472084649154903</v>
      </c>
      <c r="AP41" s="2">
        <f ca="1">R41*Sheet2!Q$16/_xlfn.STDEV.S(R$32:R$61)</f>
        <v>2.4383166880598548</v>
      </c>
      <c r="AQ41" s="2">
        <f ca="1">S41*Sheet2!R$16/_xlfn.STDEV.S(S$32:S$61)</f>
        <v>1.0664362971592944</v>
      </c>
      <c r="AR41" s="2">
        <f ca="1">T41*Sheet2!S$16/_xlfn.STDEV.S(T$32:T$61)</f>
        <v>2.1703416973060143</v>
      </c>
      <c r="AS41" s="2">
        <f ca="1">U41*Sheet2!T$16/_xlfn.STDEV.S(U$32:U$61)</f>
        <v>4.7258846702051311</v>
      </c>
      <c r="AT41" s="2">
        <f ca="1">V41*Sheet2!U$16/_xlfn.STDEV.S(V$32:V$61)</f>
        <v>1.3611680563153441</v>
      </c>
      <c r="AU41" s="2">
        <f ca="1">W41*Sheet2!V$16/_xlfn.STDEV.S(W$32:W$61)</f>
        <v>3.8268503610893454</v>
      </c>
      <c r="AV41" s="2">
        <f ca="1">X41*Sheet2!W$16/_xlfn.STDEV.S(X$32:X$61)</f>
        <v>4.6252871762546777</v>
      </c>
      <c r="AW41" s="2">
        <f ca="1">Y41*Sheet2!X$16/_xlfn.STDEV.S(Y$32:Y$61)</f>
        <v>1.1915869972382549</v>
      </c>
      <c r="AX41" s="2">
        <f ca="1">Z41*Sheet2!Y$16/_xlfn.STDEV.S(Z$32:Z$61)</f>
        <v>3.1495460386728933</v>
      </c>
      <c r="AY41" s="2">
        <f ca="1">AA41*Sheet2!Z$16/_xlfn.STDEV.S(AA$32:AA$61)</f>
        <v>1.8279255742139033</v>
      </c>
      <c r="AZ41" s="2">
        <f ca="1">AB41-AVERAGE(AB$32:AB$61)+Sheet2!C$15</f>
        <v>3.9025310112859346</v>
      </c>
      <c r="BA41" s="2">
        <f ca="1">AC41-AVERAGE(AC$32:AC$61)+Sheet2!D$15</f>
        <v>9.3297195414608058</v>
      </c>
      <c r="BB41" s="2">
        <f ca="1">AD41-AVERAGE(AD$32:AD$61)+Sheet2!E$15</f>
        <v>17.825775133761219</v>
      </c>
      <c r="BC41" s="2">
        <f ca="1">AE41-AVERAGE(AE$32:AE$61)+Sheet2!F$15</f>
        <v>14.108397287818372</v>
      </c>
      <c r="BD41" s="2">
        <f ca="1">AF41-AVERAGE(AF$32:AF$61)+Sheet2!G$15</f>
        <v>19.659400218288077</v>
      </c>
      <c r="BE41" s="2">
        <f ca="1">AG41-AVERAGE(AG$32:AG$61)+Sheet2!H$15</f>
        <v>25.438806097649007</v>
      </c>
      <c r="BF41" s="2">
        <f ca="1">AH41-AVERAGE(AH$32:AH$61)+Sheet2!I$15</f>
        <v>12.656593362870034</v>
      </c>
      <c r="BG41" s="2">
        <f ca="1">AI41-AVERAGE(AI$32:AI$61)+Sheet2!J$15</f>
        <v>21.659687531229011</v>
      </c>
      <c r="BH41" s="2">
        <f ca="1">AJ41-AVERAGE(AJ$32:AJ$61)+Sheet2!K$15</f>
        <v>26.287686138768443</v>
      </c>
      <c r="BI41" s="2">
        <f ca="1">AK41-AVERAGE(AK$32:AK$61)+Sheet2!L$15</f>
        <v>25.125979949897861</v>
      </c>
      <c r="BJ41" s="2">
        <f ca="1">AL41-AVERAGE(AL$32:AL$61)+Sheet2!M$15</f>
        <v>16.979089317936996</v>
      </c>
      <c r="BK41" s="2">
        <f ca="1">AM41-AVERAGE(AM$32:AM$61)+Sheet2!N$15</f>
        <v>8.1676461755651637</v>
      </c>
      <c r="BL41" s="2">
        <f ca="1">AN41-AVERAGE(AN$32:AN$61)+Sheet2!O$15</f>
        <v>5.4217387137395203</v>
      </c>
      <c r="BM41" s="2">
        <f ca="1">AO41-AVERAGE(AO$32:AO$61)+Sheet2!P$15</f>
        <v>20.145397556103404</v>
      </c>
      <c r="BN41" s="2">
        <f ca="1">AP41-AVERAGE(AP$32:AP$61)+Sheet2!Q$15</f>
        <v>10.228480969540342</v>
      </c>
      <c r="BO41" s="2">
        <f ca="1">AQ41-AVERAGE(AQ$32:AQ$61)+Sheet2!R$15</f>
        <v>8.8484192899438749</v>
      </c>
      <c r="BP41" s="2">
        <f ca="1">AR41-AVERAGE(AR$32:AR$61)+Sheet2!S$15</f>
        <v>4.7271313685553906</v>
      </c>
      <c r="BQ41" s="2">
        <f ca="1">AS41-AVERAGE(AS$32:AS$61)+Sheet2!T$15</f>
        <v>19.655410924638623</v>
      </c>
      <c r="BR41" s="2">
        <f ca="1">AT41-AVERAGE(AT$32:AT$61)+Sheet2!U$15</f>
        <v>23.918813194570909</v>
      </c>
      <c r="BS41" s="2">
        <f ca="1">AU41-AVERAGE(AU$32:AU$61)+Sheet2!V$15</f>
        <v>23.63462709355181</v>
      </c>
      <c r="BT41" s="2">
        <f ca="1">AV41-AVERAGE(AV$32:AV$61)+Sheet2!W$15</f>
        <v>28.646525127469776</v>
      </c>
      <c r="BU41" s="2">
        <f ca="1">AW41-AVERAGE(AW$32:AW$61)+Sheet2!X$15</f>
        <v>21.158835787990249</v>
      </c>
      <c r="BV41" s="2">
        <f ca="1">AX41-AVERAGE(AX$32:AX$61)+Sheet2!Y$15</f>
        <v>22.824743880865018</v>
      </c>
      <c r="BW41" s="2">
        <f ca="1">AY41-AVERAGE(AY$32:AY$61)+Sheet2!Z$15</f>
        <v>8.8720600331511896</v>
      </c>
      <c r="BZ41" s="2">
        <f ca="1">BA41-AVERAGE(AH$32:AH$61)+Sheet2!AB$15</f>
        <v>8.0131719350474864</v>
      </c>
      <c r="CA41" s="2">
        <f ca="1">BB41-AVERAGE(AI$32:AI$61)+Sheet2!AC$15</f>
        <v>16.365385938183113</v>
      </c>
      <c r="CB41" s="2">
        <f ca="1">BC41-AVERAGE(AJ$32:AJ$61)+Sheet2!AD$15</f>
        <v>11.080550067251403</v>
      </c>
      <c r="CC41" s="2">
        <f ca="1">BD41-AVERAGE(AK$32:AK$61)+Sheet2!AE$15</f>
        <v>16.997444490600603</v>
      </c>
    </row>
    <row r="42" spans="2:81" x14ac:dyDescent="0.3">
      <c r="B42">
        <v>41</v>
      </c>
      <c r="C42" s="1">
        <v>2</v>
      </c>
      <c r="D42" s="2">
        <f t="shared" ca="1" si="5"/>
        <v>0.80814186170203928</v>
      </c>
      <c r="E42" s="2">
        <f t="shared" ca="1" si="5"/>
        <v>0.28417182811095143</v>
      </c>
      <c r="F42" s="2">
        <f t="shared" ca="1" si="5"/>
        <v>0.95078408707289275</v>
      </c>
      <c r="G42" s="2">
        <f t="shared" ca="1" si="5"/>
        <v>0.4016341207679619</v>
      </c>
      <c r="H42" s="2">
        <f t="shared" ca="1" si="5"/>
        <v>0.95040660771984675</v>
      </c>
      <c r="I42" s="2">
        <f t="shared" ca="1" si="5"/>
        <v>0.88611119792256487</v>
      </c>
      <c r="J42" s="2">
        <f t="shared" ca="1" si="5"/>
        <v>0.23764207577691054</v>
      </c>
      <c r="K42" s="2">
        <f t="shared" ca="1" si="5"/>
        <v>0.26741129316067924</v>
      </c>
      <c r="L42" s="2">
        <f t="shared" ca="1" si="5"/>
        <v>0.92923860474648767</v>
      </c>
      <c r="M42" s="2">
        <f t="shared" ca="1" si="5"/>
        <v>0.17102186408730879</v>
      </c>
      <c r="N42" s="2">
        <f t="shared" ca="1" si="5"/>
        <v>0.98549484094386697</v>
      </c>
      <c r="O42" s="2">
        <f t="shared" ca="1" si="5"/>
        <v>0.52813639309978755</v>
      </c>
      <c r="P42" s="2">
        <f t="shared" ca="1" si="5"/>
        <v>0.82633179603613904</v>
      </c>
      <c r="Q42" s="2">
        <f t="shared" ca="1" si="5"/>
        <v>9.0678889345397917E-2</v>
      </c>
      <c r="R42" s="2">
        <f t="shared" ca="1" si="5"/>
        <v>5.4908921696594781E-2</v>
      </c>
      <c r="S42" s="2">
        <f t="shared" ca="1" si="5"/>
        <v>0.17661207652127275</v>
      </c>
      <c r="T42" s="2">
        <f t="shared" ca="1" si="4"/>
        <v>0.45596903704703295</v>
      </c>
      <c r="U42" s="2">
        <f t="shared" ca="1" si="4"/>
        <v>0.24598153825346125</v>
      </c>
      <c r="V42" s="2">
        <f t="shared" ca="1" si="4"/>
        <v>0.21309374788249169</v>
      </c>
      <c r="W42" s="2">
        <f t="shared" ca="1" si="4"/>
        <v>0.88029968078990017</v>
      </c>
      <c r="X42" s="2">
        <f t="shared" ca="1" si="4"/>
        <v>0.86400597747844354</v>
      </c>
      <c r="Y42" s="2">
        <f t="shared" ca="1" si="4"/>
        <v>0.38460265124962867</v>
      </c>
      <c r="Z42" s="2">
        <f t="shared" ca="1" si="4"/>
        <v>0.19035765683375616</v>
      </c>
      <c r="AA42" s="2">
        <f t="shared" ca="1" si="4"/>
        <v>0.85933776848376686</v>
      </c>
      <c r="AB42" s="2">
        <f ca="1">D42*Sheet2!C$16/_xlfn.STDEV.S(D$32:D$61)</f>
        <v>3.8946500310876013</v>
      </c>
      <c r="AC42" s="2">
        <f ca="1">E42*Sheet2!D$16/_xlfn.STDEV.S(E$32:E$61)</f>
        <v>2.0248243908594858</v>
      </c>
      <c r="AD42" s="2">
        <f ca="1">F42*Sheet2!E$16/_xlfn.STDEV.S(F$32:F$61)</f>
        <v>5.4250870372080655</v>
      </c>
      <c r="AE42" s="2">
        <f ca="1">G42*Sheet2!F$16/_xlfn.STDEV.S(G$32:G$61)</f>
        <v>3.2911508099819153</v>
      </c>
      <c r="AF42" s="2">
        <f ca="1">H42*Sheet2!G$16/_xlfn.STDEV.S(H$32:H$61)</f>
        <v>14.571490081975695</v>
      </c>
      <c r="AG42" s="2">
        <f ca="1">I42*Sheet2!H$16/_xlfn.STDEV.S(I$32:I$61)</f>
        <v>9.4928162892283758</v>
      </c>
      <c r="AH42" s="2">
        <f ca="1">J42*Sheet2!I$16/_xlfn.STDEV.S(J$32:J$61)</f>
        <v>0.5766925346616647</v>
      </c>
      <c r="AI42" s="2">
        <f ca="1">K42*Sheet2!J$16/_xlfn.STDEV.S(K$32:K$61)</f>
        <v>0.89168164077425305</v>
      </c>
      <c r="AJ42" s="2">
        <f ca="1">L42*Sheet2!K$16/_xlfn.STDEV.S(L$32:L$61)</f>
        <v>6.0761310136678057</v>
      </c>
      <c r="AK42" s="2">
        <f ca="1">M42*Sheet2!L$16/_xlfn.STDEV.S(M$32:M$61)</f>
        <v>0.94994681516716339</v>
      </c>
      <c r="AL42" s="2">
        <f ca="1">N42*Sheet2!M$16/_xlfn.STDEV.S(N$32:N$61)</f>
        <v>2.5356900818810653</v>
      </c>
      <c r="AM42" s="2">
        <f ca="1">O42*Sheet2!N$16/_xlfn.STDEV.S(O$32:O$61)</f>
        <v>1.2250175755588837</v>
      </c>
      <c r="AN42" s="2">
        <f ca="1">P42*Sheet2!O$16/_xlfn.STDEV.S(P$32:P$61)</f>
        <v>3.1575487007759926</v>
      </c>
      <c r="AO42" s="2">
        <f ca="1">Q42*Sheet2!P$16/_xlfn.STDEV.S(Q$32:Q$61)</f>
        <v>0.5899897089739683</v>
      </c>
      <c r="AP42" s="2">
        <f ca="1">R42*Sheet2!Q$16/_xlfn.STDEV.S(R$32:R$61)</f>
        <v>0.19233878672980853</v>
      </c>
      <c r="AQ42" s="2">
        <f ca="1">S42*Sheet2!R$16/_xlfn.STDEV.S(S$32:S$61)</f>
        <v>0.56154172276467151</v>
      </c>
      <c r="AR42" s="2">
        <f ca="1">T42*Sheet2!S$16/_xlfn.STDEV.S(T$32:T$61)</f>
        <v>1.1007843753846185</v>
      </c>
      <c r="AS42" s="2">
        <f ca="1">U42*Sheet2!T$16/_xlfn.STDEV.S(U$32:U$61)</f>
        <v>1.3661215435582221</v>
      </c>
      <c r="AT42" s="2">
        <f ca="1">V42*Sheet2!U$16/_xlfn.STDEV.S(V$32:V$61)</f>
        <v>0.53556547651428055</v>
      </c>
      <c r="AU42" s="2">
        <f ca="1">W42*Sheet2!V$16/_xlfn.STDEV.S(W$32:W$61)</f>
        <v>3.994213038098271</v>
      </c>
      <c r="AV42" s="2">
        <f ca="1">X42*Sheet2!W$16/_xlfn.STDEV.S(X$32:X$61)</f>
        <v>4.4657881202799867</v>
      </c>
      <c r="AW42" s="2">
        <f ca="1">Y42*Sheet2!X$16/_xlfn.STDEV.S(Y$32:Y$61)</f>
        <v>1.4585084249398987</v>
      </c>
      <c r="AX42" s="2">
        <f ca="1">Z42*Sheet2!Y$16/_xlfn.STDEV.S(Z$32:Z$61)</f>
        <v>0.74638225823520088</v>
      </c>
      <c r="AY42" s="2">
        <f ca="1">AA42*Sheet2!Z$16/_xlfn.STDEV.S(AA$32:AA$61)</f>
        <v>1.5830490848541283</v>
      </c>
      <c r="AZ42" s="2">
        <f ca="1">AB42-AVERAGE(AB$32:AB$61)+Sheet2!C$15</f>
        <v>5.901257873388575</v>
      </c>
      <c r="BA42" s="2">
        <f ca="1">AC42-AVERAGE(AC$32:AC$61)+Sheet2!D$15</f>
        <v>7.3851394683085063</v>
      </c>
      <c r="BB42" s="2">
        <f ca="1">AD42-AVERAGE(AD$32:AD$61)+Sheet2!E$15</f>
        <v>20.204433787000276</v>
      </c>
      <c r="BC42" s="2">
        <f ca="1">AE42-AVERAGE(AE$32:AE$61)+Sheet2!F$15</f>
        <v>16.043909339917654</v>
      </c>
      <c r="BD42" s="2">
        <f ca="1">AF42-AVERAGE(AF$32:AF$61)+Sheet2!G$15</f>
        <v>29.118438115946027</v>
      </c>
      <c r="BE42" s="2">
        <f ca="1">AG42-AVERAGE(AG$32:AG$61)+Sheet2!H$15</f>
        <v>34.889691092117559</v>
      </c>
      <c r="BF42" s="2">
        <f ca="1">AH42-AVERAGE(AH$32:AH$61)+Sheet2!I$15</f>
        <v>11.908939673811194</v>
      </c>
      <c r="BG42" s="2">
        <f ca="1">AI42-AVERAGE(AI$32:AI$61)+Sheet2!J$15</f>
        <v>21.529995094027004</v>
      </c>
      <c r="BH42" s="2">
        <f ca="1">AJ42-AVERAGE(AJ$32:AJ$61)+Sheet2!K$15</f>
        <v>27.554594352403793</v>
      </c>
      <c r="BI42" s="2">
        <f ca="1">AK42-AVERAGE(AK$32:AK$61)+Sheet2!L$15</f>
        <v>21.404320066129046</v>
      </c>
      <c r="BJ42" s="2">
        <f ca="1">AL42-AVERAGE(AL$32:AL$61)+Sheet2!M$15</f>
        <v>18.08951729633025</v>
      </c>
      <c r="BK42" s="2">
        <f ca="1">AM42-AVERAGE(AM$32:AM$61)+Sheet2!N$15</f>
        <v>8.532628643266511</v>
      </c>
      <c r="BL42" s="2">
        <f ca="1">AN42-AVERAGE(AN$32:AN$61)+Sheet2!O$15</f>
        <v>6.2230488372454218</v>
      </c>
      <c r="BM42" s="2">
        <f ca="1">AO42-AVERAGE(AO$32:AO$61)+Sheet2!P$15</f>
        <v>20.26330261592247</v>
      </c>
      <c r="BN42" s="2">
        <f ca="1">AP42-AVERAGE(AP$32:AP$61)+Sheet2!Q$15</f>
        <v>7.9825030682102973</v>
      </c>
      <c r="BO42" s="2">
        <f ca="1">AQ42-AVERAGE(AQ$32:AQ$61)+Sheet2!R$15</f>
        <v>8.3435247155492522</v>
      </c>
      <c r="BP42" s="2">
        <f ca="1">AR42-AVERAGE(AR$32:AR$61)+Sheet2!S$15</f>
        <v>3.6575740466339943</v>
      </c>
      <c r="BQ42" s="2">
        <f ca="1">AS42-AVERAGE(AS$32:AS$61)+Sheet2!T$15</f>
        <v>16.295647797991712</v>
      </c>
      <c r="BR42" s="2">
        <f ca="1">AT42-AVERAGE(AT$32:AT$61)+Sheet2!U$15</f>
        <v>23.093210614769845</v>
      </c>
      <c r="BS42" s="2">
        <f ca="1">AU42-AVERAGE(AU$32:AU$61)+Sheet2!V$15</f>
        <v>23.801989770560734</v>
      </c>
      <c r="BT42" s="2">
        <f ca="1">AV42-AVERAGE(AV$32:AV$61)+Sheet2!W$15</f>
        <v>28.487026071495084</v>
      </c>
      <c r="BU42" s="2">
        <f ca="1">AW42-AVERAGE(AW$32:AW$61)+Sheet2!X$15</f>
        <v>21.425757215691895</v>
      </c>
      <c r="BV42" s="2">
        <f ca="1">AX42-AVERAGE(AX$32:AX$61)+Sheet2!Y$15</f>
        <v>20.421580100427324</v>
      </c>
      <c r="BW42" s="2">
        <f ca="1">AY42-AVERAGE(AY$32:AY$61)+Sheet2!Z$15</f>
        <v>8.6271835437914159</v>
      </c>
      <c r="BZ42" s="2">
        <f ca="1">BA42-AVERAGE(AH$32:AH$61)+Sheet2!AB$15</f>
        <v>6.068591861895186</v>
      </c>
      <c r="CA42" s="2">
        <f ca="1">BB42-AVERAGE(AI$32:AI$61)+Sheet2!AC$15</f>
        <v>18.74404459142217</v>
      </c>
      <c r="CB42" s="2">
        <f ca="1">BC42-AVERAGE(AJ$32:AJ$61)+Sheet2!AD$15</f>
        <v>13.016062119350686</v>
      </c>
      <c r="CC42" s="2">
        <f ca="1">BD42-AVERAGE(AK$32:AK$61)+Sheet2!AE$15</f>
        <v>26.456482388258554</v>
      </c>
    </row>
    <row r="43" spans="2:81" x14ac:dyDescent="0.3">
      <c r="B43">
        <v>42</v>
      </c>
      <c r="C43" s="1">
        <v>2</v>
      </c>
      <c r="D43" s="2">
        <f t="shared" ca="1" si="5"/>
        <v>0.55467471706873872</v>
      </c>
      <c r="E43" s="2">
        <f t="shared" ca="1" si="5"/>
        <v>0.41631437952417083</v>
      </c>
      <c r="F43" s="2">
        <f t="shared" ca="1" si="5"/>
        <v>1.6940477468915915E-2</v>
      </c>
      <c r="G43" s="2">
        <f t="shared" ca="1" si="5"/>
        <v>0.23103016679902322</v>
      </c>
      <c r="H43" s="2">
        <f t="shared" ca="1" si="5"/>
        <v>0.55391551282098417</v>
      </c>
      <c r="I43" s="2">
        <f t="shared" ca="1" si="5"/>
        <v>0.27071780082807906</v>
      </c>
      <c r="J43" s="2">
        <f t="shared" ca="1" si="5"/>
        <v>0.85336376380634205</v>
      </c>
      <c r="K43" s="2">
        <f t="shared" ca="1" si="5"/>
        <v>0.57058719221140619</v>
      </c>
      <c r="L43" s="2">
        <f t="shared" ca="1" si="5"/>
        <v>0.41124429582073774</v>
      </c>
      <c r="M43" s="2">
        <f t="shared" ca="1" si="5"/>
        <v>0.12728182858058712</v>
      </c>
      <c r="N43" s="2">
        <f t="shared" ca="1" si="5"/>
        <v>0.46058519817737076</v>
      </c>
      <c r="O43" s="2">
        <f t="shared" ca="1" si="5"/>
        <v>0.52100585067140504</v>
      </c>
      <c r="P43" s="2">
        <f t="shared" ca="1" si="5"/>
        <v>0.75784678185062393</v>
      </c>
      <c r="Q43" s="2">
        <f t="shared" ca="1" si="5"/>
        <v>3.8429096944077257E-2</v>
      </c>
      <c r="R43" s="2">
        <f t="shared" ca="1" si="5"/>
        <v>0.17576092343054806</v>
      </c>
      <c r="S43" s="2">
        <f t="shared" ca="1" si="5"/>
        <v>9.6501766904864783E-2</v>
      </c>
      <c r="T43" s="2">
        <f t="shared" ca="1" si="4"/>
        <v>0.56832668813966625</v>
      </c>
      <c r="U43" s="2">
        <f t="shared" ca="1" si="4"/>
        <v>0.89535473720999115</v>
      </c>
      <c r="V43" s="2">
        <f t="shared" ca="1" si="4"/>
        <v>0.24189408197181539</v>
      </c>
      <c r="W43" s="2">
        <f t="shared" ca="1" si="4"/>
        <v>0.28992640901093292</v>
      </c>
      <c r="X43" s="2">
        <f t="shared" ca="1" si="4"/>
        <v>0.16062990249682985</v>
      </c>
      <c r="Y43" s="2">
        <f t="shared" ca="1" si="4"/>
        <v>0.8847967148265512</v>
      </c>
      <c r="Z43" s="2">
        <f t="shared" ca="1" si="4"/>
        <v>0.45665068624269489</v>
      </c>
      <c r="AA43" s="2">
        <f t="shared" ca="1" si="4"/>
        <v>0.57405990698529041</v>
      </c>
      <c r="AB43" s="2">
        <f ca="1">D43*Sheet2!C$16/_xlfn.STDEV.S(D$32:D$61)</f>
        <v>2.6731246164200759</v>
      </c>
      <c r="AC43" s="2">
        <f ca="1">E43*Sheet2!D$16/_xlfn.STDEV.S(E$32:E$61)</f>
        <v>2.966386624352324</v>
      </c>
      <c r="AD43" s="2">
        <f ca="1">F43*Sheet2!E$16/_xlfn.STDEV.S(F$32:F$61)</f>
        <v>9.6660814973952291E-2</v>
      </c>
      <c r="AE43" s="2">
        <f ca="1">G43*Sheet2!F$16/_xlfn.STDEV.S(G$32:G$61)</f>
        <v>1.8931536970439469</v>
      </c>
      <c r="AF43" s="2">
        <f ca="1">H43*Sheet2!G$16/_xlfn.STDEV.S(H$32:H$61)</f>
        <v>8.492548700484905</v>
      </c>
      <c r="AG43" s="2">
        <f ca="1">I43*Sheet2!H$16/_xlfn.STDEV.S(I$32:I$61)</f>
        <v>2.900171395542444</v>
      </c>
      <c r="AH43" s="2">
        <f ca="1">J43*Sheet2!I$16/_xlfn.STDEV.S(J$32:J$61)</f>
        <v>2.0708812205456804</v>
      </c>
      <c r="AI43" s="2">
        <f ca="1">K43*Sheet2!J$16/_xlfn.STDEV.S(K$32:K$61)</f>
        <v>1.9026201838458978</v>
      </c>
      <c r="AJ43" s="2">
        <f ca="1">L43*Sheet2!K$16/_xlfn.STDEV.S(L$32:L$61)</f>
        <v>2.689055542103818</v>
      </c>
      <c r="AK43" s="2">
        <f ca="1">M43*Sheet2!L$16/_xlfn.STDEV.S(M$32:M$61)</f>
        <v>0.70699128637175301</v>
      </c>
      <c r="AL43" s="2">
        <f ca="1">N43*Sheet2!M$16/_xlfn.STDEV.S(N$32:N$61)</f>
        <v>1.1850912560445426</v>
      </c>
      <c r="AM43" s="2">
        <f ca="1">O43*Sheet2!N$16/_xlfn.STDEV.S(O$32:O$61)</f>
        <v>1.2084782120305186</v>
      </c>
      <c r="AN43" s="2">
        <f ca="1">P43*Sheet2!O$16/_xlfn.STDEV.S(P$32:P$61)</f>
        <v>2.8958562806108592</v>
      </c>
      <c r="AO43" s="2">
        <f ca="1">Q43*Sheet2!P$16/_xlfn.STDEV.S(Q$32:Q$61)</f>
        <v>0.25003362839841869</v>
      </c>
      <c r="AP43" s="2">
        <f ca="1">R43*Sheet2!Q$16/_xlfn.STDEV.S(R$32:R$61)</f>
        <v>0.61566757682729856</v>
      </c>
      <c r="AQ43" s="2">
        <f ca="1">S43*Sheet2!R$16/_xlfn.STDEV.S(S$32:S$61)</f>
        <v>0.30682934884730506</v>
      </c>
      <c r="AR43" s="2">
        <f ca="1">T43*Sheet2!S$16/_xlfn.STDEV.S(T$32:T$61)</f>
        <v>1.3720342558122001</v>
      </c>
      <c r="AS43" s="2">
        <f ca="1">U43*Sheet2!T$16/_xlfn.STDEV.S(U$32:U$61)</f>
        <v>4.9725821064226485</v>
      </c>
      <c r="AT43" s="2">
        <f ca="1">V43*Sheet2!U$16/_xlfn.STDEV.S(V$32:V$61)</f>
        <v>0.60794894530954902</v>
      </c>
      <c r="AU43" s="2">
        <f ca="1">W43*Sheet2!V$16/_xlfn.STDEV.S(W$32:W$61)</f>
        <v>1.3154927443815183</v>
      </c>
      <c r="AV43" s="2">
        <f ca="1">X43*Sheet2!W$16/_xlfn.STDEV.S(X$32:X$61)</f>
        <v>0.83024785595302486</v>
      </c>
      <c r="AW43" s="2">
        <f ca="1">Y43*Sheet2!X$16/_xlfn.STDEV.S(Y$32:Y$61)</f>
        <v>3.3553680889632607</v>
      </c>
      <c r="AX43" s="2">
        <f ca="1">Z43*Sheet2!Y$16/_xlfn.STDEV.S(Z$32:Z$61)</f>
        <v>1.7905030776888418</v>
      </c>
      <c r="AY43" s="2">
        <f ca="1">AA43*Sheet2!Z$16/_xlfn.STDEV.S(AA$32:AA$61)</f>
        <v>1.0575178279525099</v>
      </c>
      <c r="AZ43" s="2">
        <f ca="1">AB43-AVERAGE(AB$32:AB$61)+Sheet2!C$15</f>
        <v>4.67973245872105</v>
      </c>
      <c r="BA43" s="2">
        <f ca="1">AC43-AVERAGE(AC$32:AC$61)+Sheet2!D$15</f>
        <v>8.3267017018013441</v>
      </c>
      <c r="BB43" s="2">
        <f ca="1">AD43-AVERAGE(AD$32:AD$61)+Sheet2!E$15</f>
        <v>14.876007564766162</v>
      </c>
      <c r="BC43" s="2">
        <f ca="1">AE43-AVERAGE(AE$32:AE$61)+Sheet2!F$15</f>
        <v>14.645912226979686</v>
      </c>
      <c r="BD43" s="2">
        <f ca="1">AF43-AVERAGE(AF$32:AF$61)+Sheet2!G$15</f>
        <v>23.039496734455238</v>
      </c>
      <c r="BE43" s="2">
        <f ca="1">AG43-AVERAGE(AG$32:AG$61)+Sheet2!H$15</f>
        <v>28.297046198431627</v>
      </c>
      <c r="BF43" s="2">
        <f ca="1">AH43-AVERAGE(AH$32:AH$61)+Sheet2!I$15</f>
        <v>13.403128359695209</v>
      </c>
      <c r="BG43" s="2">
        <f ca="1">AI43-AVERAGE(AI$32:AI$61)+Sheet2!J$15</f>
        <v>22.540933637098647</v>
      </c>
      <c r="BH43" s="2">
        <f ca="1">AJ43-AVERAGE(AJ$32:AJ$61)+Sheet2!K$15</f>
        <v>24.167518880839804</v>
      </c>
      <c r="BI43" s="2">
        <f ca="1">AK43-AVERAGE(AK$32:AK$61)+Sheet2!L$15</f>
        <v>21.161364537333636</v>
      </c>
      <c r="BJ43" s="2">
        <f ca="1">AL43-AVERAGE(AL$32:AL$61)+Sheet2!M$15</f>
        <v>16.738918470493729</v>
      </c>
      <c r="BK43" s="2">
        <f ca="1">AM43-AVERAGE(AM$32:AM$61)+Sheet2!N$15</f>
        <v>8.5160892797381464</v>
      </c>
      <c r="BL43" s="2">
        <f ca="1">AN43-AVERAGE(AN$32:AN$61)+Sheet2!O$15</f>
        <v>5.9613564170802888</v>
      </c>
      <c r="BM43" s="2">
        <f ca="1">AO43-AVERAGE(AO$32:AO$61)+Sheet2!P$15</f>
        <v>19.923346535346919</v>
      </c>
      <c r="BN43" s="2">
        <f ca="1">AP43-AVERAGE(AP$32:AP$61)+Sheet2!Q$15</f>
        <v>8.4058318583077867</v>
      </c>
      <c r="BO43" s="2">
        <f ca="1">AQ43-AVERAGE(AQ$32:AQ$61)+Sheet2!R$15</f>
        <v>8.0888123416318845</v>
      </c>
      <c r="BP43" s="2">
        <f ca="1">AR43-AVERAGE(AR$32:AR$61)+Sheet2!S$15</f>
        <v>3.9288239270615759</v>
      </c>
      <c r="BQ43" s="2">
        <f ca="1">AS43-AVERAGE(AS$32:AS$61)+Sheet2!T$15</f>
        <v>19.90210836085614</v>
      </c>
      <c r="BR43" s="2">
        <f ca="1">AT43-AVERAGE(AT$32:AT$61)+Sheet2!U$15</f>
        <v>23.165594083565114</v>
      </c>
      <c r="BS43" s="2">
        <f ca="1">AU43-AVERAGE(AU$32:AU$61)+Sheet2!V$15</f>
        <v>21.12326947684398</v>
      </c>
      <c r="BT43" s="2">
        <f ca="1">AV43-AVERAGE(AV$32:AV$61)+Sheet2!W$15</f>
        <v>24.851485807168125</v>
      </c>
      <c r="BU43" s="2">
        <f ca="1">AW43-AVERAGE(AW$32:AW$61)+Sheet2!X$15</f>
        <v>23.322616879715255</v>
      </c>
      <c r="BV43" s="2">
        <f ca="1">AX43-AVERAGE(AX$32:AX$61)+Sheet2!Y$15</f>
        <v>21.465700919880966</v>
      </c>
      <c r="BW43" s="2">
        <f ca="1">AY43-AVERAGE(AY$32:AY$61)+Sheet2!Z$15</f>
        <v>8.1016522868897969</v>
      </c>
      <c r="BZ43" s="2">
        <f ca="1">BA43-AVERAGE(AH$32:AH$61)+Sheet2!AB$15</f>
        <v>7.0101540953880246</v>
      </c>
      <c r="CA43" s="2">
        <f ca="1">BB43-AVERAGE(AI$32:AI$61)+Sheet2!AC$15</f>
        <v>13.415618369188056</v>
      </c>
      <c r="CB43" s="2">
        <f ca="1">BC43-AVERAGE(AJ$32:AJ$61)+Sheet2!AD$15</f>
        <v>11.618065006412717</v>
      </c>
      <c r="CC43" s="2">
        <f ca="1">BD43-AVERAGE(AK$32:AK$61)+Sheet2!AE$15</f>
        <v>20.377541006767764</v>
      </c>
    </row>
    <row r="44" spans="2:81" x14ac:dyDescent="0.3">
      <c r="B44">
        <v>43</v>
      </c>
      <c r="C44" s="1">
        <v>2</v>
      </c>
      <c r="D44" s="2">
        <f t="shared" ca="1" si="5"/>
        <v>0.38338226769266082</v>
      </c>
      <c r="E44" s="2">
        <f t="shared" ca="1" si="5"/>
        <v>0.40804033582458388</v>
      </c>
      <c r="F44" s="2">
        <f t="shared" ca="1" si="5"/>
        <v>7.9211569831489359E-2</v>
      </c>
      <c r="G44" s="2">
        <f t="shared" ca="1" si="5"/>
        <v>0.27443205751789013</v>
      </c>
      <c r="H44" s="2">
        <f t="shared" ca="1" si="5"/>
        <v>0.73252099752530164</v>
      </c>
      <c r="I44" s="2">
        <f t="shared" ca="1" si="5"/>
        <v>0.86553685656497736</v>
      </c>
      <c r="J44" s="2">
        <f t="shared" ca="1" si="5"/>
        <v>0.18395446318551301</v>
      </c>
      <c r="K44" s="2">
        <f t="shared" ca="1" si="5"/>
        <v>0.28037767705852645</v>
      </c>
      <c r="L44" s="2">
        <f t="shared" ca="1" si="5"/>
        <v>0.6709803044873377</v>
      </c>
      <c r="M44" s="2">
        <f t="shared" ca="1" si="5"/>
        <v>0.55151873787920958</v>
      </c>
      <c r="N44" s="2">
        <f t="shared" ca="1" si="5"/>
        <v>0.86072405559872556</v>
      </c>
      <c r="O44" s="2">
        <f t="shared" ca="1" si="5"/>
        <v>0.3075827021625448</v>
      </c>
      <c r="P44" s="2">
        <f t="shared" ca="1" si="5"/>
        <v>0.24675975494000968</v>
      </c>
      <c r="Q44" s="2">
        <f t="shared" ca="1" si="4"/>
        <v>0.96118559150390581</v>
      </c>
      <c r="R44" s="2">
        <f t="shared" ca="1" si="4"/>
        <v>0.63178958513331829</v>
      </c>
      <c r="S44" s="2">
        <f t="shared" ca="1" si="4"/>
        <v>0.85945373187427199</v>
      </c>
      <c r="T44" s="2">
        <f t="shared" ca="1" si="4"/>
        <v>0.58717766930632354</v>
      </c>
      <c r="U44" s="2">
        <f t="shared" ca="1" si="4"/>
        <v>0.25049523989274092</v>
      </c>
      <c r="V44" s="2">
        <f t="shared" ca="1" si="4"/>
        <v>0.96317771367917882</v>
      </c>
      <c r="W44" s="2">
        <f t="shared" ca="1" si="4"/>
        <v>0.48868524727744245</v>
      </c>
      <c r="X44" s="2">
        <f t="shared" ca="1" si="4"/>
        <v>0.73237390583128292</v>
      </c>
      <c r="Y44" s="2">
        <f t="shared" ca="1" si="4"/>
        <v>0.42144118733908398</v>
      </c>
      <c r="Z44" s="2">
        <f t="shared" ca="1" si="4"/>
        <v>0.15393008333733949</v>
      </c>
      <c r="AA44" s="2">
        <f t="shared" ca="1" si="4"/>
        <v>0.30480494270462688</v>
      </c>
      <c r="AB44" s="2">
        <f ca="1">D44*Sheet2!C$16/_xlfn.STDEV.S(D$32:D$61)</f>
        <v>1.8476208590938887</v>
      </c>
      <c r="AC44" s="2">
        <f ca="1">E44*Sheet2!D$16/_xlfn.STDEV.S(E$32:E$61)</f>
        <v>2.9074311479937744</v>
      </c>
      <c r="AD44" s="2">
        <f ca="1">F44*Sheet2!E$16/_xlfn.STDEV.S(F$32:F$61)</f>
        <v>0.45197397235863579</v>
      </c>
      <c r="AE44" s="2">
        <f ca="1">G44*Sheet2!F$16/_xlfn.STDEV.S(G$32:G$61)</f>
        <v>2.2488061688036121</v>
      </c>
      <c r="AF44" s="2">
        <f ca="1">H44*Sheet2!G$16/_xlfn.STDEV.S(H$32:H$61)</f>
        <v>11.23090092553865</v>
      </c>
      <c r="AG44" s="2">
        <f ca="1">I44*Sheet2!H$16/_xlfn.STDEV.S(I$32:I$61)</f>
        <v>9.272405529001734</v>
      </c>
      <c r="AH44" s="2">
        <f ca="1">J44*Sheet2!I$16/_xlfn.STDEV.S(J$32:J$61)</f>
        <v>0.44640733460167281</v>
      </c>
      <c r="AI44" s="2">
        <f ca="1">K44*Sheet2!J$16/_xlfn.STDEV.S(K$32:K$61)</f>
        <v>0.93491798405760895</v>
      </c>
      <c r="AJ44" s="2">
        <f ca="1">L44*Sheet2!K$16/_xlfn.STDEV.S(L$32:L$61)</f>
        <v>4.3874245181279852</v>
      </c>
      <c r="AK44" s="2">
        <f ca="1">M44*Sheet2!L$16/_xlfn.STDEV.S(M$32:M$61)</f>
        <v>3.0634297629097551</v>
      </c>
      <c r="AL44" s="2">
        <f ca="1">N44*Sheet2!M$16/_xlfn.STDEV.S(N$32:N$61)</f>
        <v>2.2146533501157619</v>
      </c>
      <c r="AM44" s="2">
        <f ca="1">O44*Sheet2!N$16/_xlfn.STDEV.S(O$32:O$61)</f>
        <v>0.71344111295852009</v>
      </c>
      <c r="AN44" s="2">
        <f ca="1">P44*Sheet2!O$16/_xlfn.STDEV.S(P$32:P$61)</f>
        <v>0.94290930997958844</v>
      </c>
      <c r="AO44" s="2">
        <f ca="1">Q44*Sheet2!P$16/_xlfn.STDEV.S(Q$32:Q$61)</f>
        <v>6.253821716334703</v>
      </c>
      <c r="AP44" s="2">
        <f ca="1">R44*Sheet2!Q$16/_xlfn.STDEV.S(R$32:R$61)</f>
        <v>2.2130764640495117</v>
      </c>
      <c r="AQ44" s="2">
        <f ca="1">S44*Sheet2!R$16/_xlfn.STDEV.S(S$32:S$61)</f>
        <v>2.7326507832270108</v>
      </c>
      <c r="AR44" s="2">
        <f ca="1">T44*Sheet2!S$16/_xlfn.STDEV.S(T$32:T$61)</f>
        <v>1.4175436300085571</v>
      </c>
      <c r="AS44" s="2">
        <f ca="1">U44*Sheet2!T$16/_xlfn.STDEV.S(U$32:U$61)</f>
        <v>1.3911895429471042</v>
      </c>
      <c r="AT44" s="2">
        <f ca="1">V44*Sheet2!U$16/_xlfn.STDEV.S(V$32:V$61)</f>
        <v>2.4207408069005472</v>
      </c>
      <c r="AU44" s="2">
        <f ca="1">W44*Sheet2!V$16/_xlfn.STDEV.S(W$32:W$61)</f>
        <v>2.2173278359596478</v>
      </c>
      <c r="AV44" s="2">
        <f ca="1">X44*Sheet2!W$16/_xlfn.STDEV.S(X$32:X$61)</f>
        <v>3.7854213668863155</v>
      </c>
      <c r="AW44" s="2">
        <f ca="1">Y44*Sheet2!X$16/_xlfn.STDEV.S(Y$32:Y$61)</f>
        <v>1.5982092696281733</v>
      </c>
      <c r="AX44" s="2">
        <f ca="1">Z44*Sheet2!Y$16/_xlfn.STDEV.S(Z$32:Z$61)</f>
        <v>0.60355167804987664</v>
      </c>
      <c r="AY44" s="2">
        <f ca="1">AA44*Sheet2!Z$16/_xlfn.STDEV.S(AA$32:AA$61)</f>
        <v>0.56150352434636364</v>
      </c>
      <c r="AZ44" s="2">
        <f ca="1">AB44-AVERAGE(AB$32:AB$61)+Sheet2!C$15</f>
        <v>3.8542287013948631</v>
      </c>
      <c r="BA44" s="2">
        <f ca="1">AC44-AVERAGE(AC$32:AC$61)+Sheet2!D$15</f>
        <v>8.2677462254427958</v>
      </c>
      <c r="BB44" s="2">
        <f ca="1">AD44-AVERAGE(AD$32:AD$61)+Sheet2!E$15</f>
        <v>15.231320722150848</v>
      </c>
      <c r="BC44" s="2">
        <f ca="1">AE44-AVERAGE(AE$32:AE$61)+Sheet2!F$15</f>
        <v>15.001564698739351</v>
      </c>
      <c r="BD44" s="2">
        <f ca="1">AF44-AVERAGE(AF$32:AF$61)+Sheet2!G$15</f>
        <v>25.777848959508983</v>
      </c>
      <c r="BE44" s="2">
        <f ca="1">AG44-AVERAGE(AG$32:AG$61)+Sheet2!H$15</f>
        <v>34.669280331890917</v>
      </c>
      <c r="BF44" s="2">
        <f ca="1">AH44-AVERAGE(AH$32:AH$61)+Sheet2!I$15</f>
        <v>11.778654473751203</v>
      </c>
      <c r="BG44" s="2">
        <f ca="1">AI44-AVERAGE(AI$32:AI$61)+Sheet2!J$15</f>
        <v>21.573231437310358</v>
      </c>
      <c r="BH44" s="2">
        <f ca="1">AJ44-AVERAGE(AJ$32:AJ$61)+Sheet2!K$15</f>
        <v>25.865887856863971</v>
      </c>
      <c r="BI44" s="2">
        <f ca="1">AK44-AVERAGE(AK$32:AK$61)+Sheet2!L$15</f>
        <v>23.517803013871639</v>
      </c>
      <c r="BJ44" s="2">
        <f ca="1">AL44-AVERAGE(AL$32:AL$61)+Sheet2!M$15</f>
        <v>17.768480564564946</v>
      </c>
      <c r="BK44" s="2">
        <f ca="1">AM44-AVERAGE(AM$32:AM$61)+Sheet2!N$15</f>
        <v>8.0210521806661479</v>
      </c>
      <c r="BL44" s="2">
        <f ca="1">AN44-AVERAGE(AN$32:AN$61)+Sheet2!O$15</f>
        <v>4.0084094464490176</v>
      </c>
      <c r="BM44" s="2">
        <f ca="1">AO44-AVERAGE(AO$32:AO$61)+Sheet2!P$15</f>
        <v>25.927134623283202</v>
      </c>
      <c r="BN44" s="2">
        <f ca="1">AP44-AVERAGE(AP$32:AP$61)+Sheet2!Q$15</f>
        <v>10.00324074553</v>
      </c>
      <c r="BO44" s="2">
        <f ca="1">AQ44-AVERAGE(AQ$32:AQ$61)+Sheet2!R$15</f>
        <v>10.514633776011591</v>
      </c>
      <c r="BP44" s="2">
        <f ca="1">AR44-AVERAGE(AR$32:AR$61)+Sheet2!S$15</f>
        <v>3.9743333012579329</v>
      </c>
      <c r="BQ44" s="2">
        <f ca="1">AS44-AVERAGE(AS$32:AS$61)+Sheet2!T$15</f>
        <v>16.320715797380593</v>
      </c>
      <c r="BR44" s="2">
        <f ca="1">AT44-AVERAGE(AT$32:AT$61)+Sheet2!U$15</f>
        <v>24.978385945156113</v>
      </c>
      <c r="BS44" s="2">
        <f ca="1">AU44-AVERAGE(AU$32:AU$61)+Sheet2!V$15</f>
        <v>22.025104568422112</v>
      </c>
      <c r="BT44" s="2">
        <f ca="1">AV44-AVERAGE(AV$32:AV$61)+Sheet2!W$15</f>
        <v>27.806659318101413</v>
      </c>
      <c r="BU44" s="2">
        <f ca="1">AW44-AVERAGE(AW$32:AW$61)+Sheet2!X$15</f>
        <v>21.56545806038017</v>
      </c>
      <c r="BV44" s="2">
        <f ca="1">AX44-AVERAGE(AX$32:AX$61)+Sheet2!Y$15</f>
        <v>20.278749520242002</v>
      </c>
      <c r="BW44" s="2">
        <f ca="1">AY44-AVERAGE(AY$32:AY$61)+Sheet2!Z$15</f>
        <v>7.6056379832836507</v>
      </c>
      <c r="BZ44" s="2">
        <f ca="1">BA44-AVERAGE(AH$32:AH$61)+Sheet2!AB$15</f>
        <v>6.9511986190294763</v>
      </c>
      <c r="CA44" s="2">
        <f ca="1">BB44-AVERAGE(AI$32:AI$61)+Sheet2!AC$15</f>
        <v>13.770931526572742</v>
      </c>
      <c r="CB44" s="2">
        <f ca="1">BC44-AVERAGE(AJ$32:AJ$61)+Sheet2!AD$15</f>
        <v>11.973717478172382</v>
      </c>
      <c r="CC44" s="2">
        <f ca="1">BD44-AVERAGE(AK$32:AK$61)+Sheet2!AE$15</f>
        <v>23.115893231821509</v>
      </c>
    </row>
    <row r="45" spans="2:81" x14ac:dyDescent="0.3">
      <c r="B45">
        <v>44</v>
      </c>
      <c r="C45" s="1">
        <v>2</v>
      </c>
      <c r="D45" s="2">
        <f t="shared" ca="1" si="5"/>
        <v>0.35461970151679667</v>
      </c>
      <c r="E45" s="2">
        <f t="shared" ca="1" si="5"/>
        <v>0.27220061682849062</v>
      </c>
      <c r="F45" s="2">
        <f t="shared" ca="1" si="5"/>
        <v>0.83769110505866007</v>
      </c>
      <c r="G45" s="2">
        <f t="shared" ca="1" si="5"/>
        <v>9.8540835535782745E-2</v>
      </c>
      <c r="H45" s="2">
        <f t="shared" ca="1" si="5"/>
        <v>0.57545648919563552</v>
      </c>
      <c r="I45" s="2">
        <f t="shared" ca="1" si="5"/>
        <v>0.73715500030197878</v>
      </c>
      <c r="J45" s="2">
        <f t="shared" ca="1" si="5"/>
        <v>0.73194188159544193</v>
      </c>
      <c r="K45" s="2">
        <f t="shared" ca="1" si="5"/>
        <v>0.33388040611180181</v>
      </c>
      <c r="L45" s="2">
        <f t="shared" ca="1" si="5"/>
        <v>0.45857629729277283</v>
      </c>
      <c r="M45" s="2">
        <f t="shared" ca="1" si="5"/>
        <v>0.62350621757988478</v>
      </c>
      <c r="N45" s="2">
        <f t="shared" ca="1" si="5"/>
        <v>0.58145097087308328</v>
      </c>
      <c r="O45" s="2">
        <f t="shared" ca="1" si="5"/>
        <v>0.24061017236976845</v>
      </c>
      <c r="P45" s="2">
        <f t="shared" ca="1" si="5"/>
        <v>0.73648150576296778</v>
      </c>
      <c r="Q45" s="2">
        <f t="shared" ca="1" si="4"/>
        <v>4.5875351885823812E-2</v>
      </c>
      <c r="R45" s="2">
        <f t="shared" ca="1" si="4"/>
        <v>0.42382028112016368</v>
      </c>
      <c r="S45" s="2">
        <f t="shared" ca="1" si="4"/>
        <v>0.6127042247968848</v>
      </c>
      <c r="T45" s="2">
        <f t="shared" ca="1" si="4"/>
        <v>0.6236001203258944</v>
      </c>
      <c r="U45" s="2">
        <f t="shared" ca="1" si="4"/>
        <v>1.550341800817967E-2</v>
      </c>
      <c r="V45" s="2">
        <f t="shared" ca="1" si="4"/>
        <v>0.85927646123727042</v>
      </c>
      <c r="W45" s="2">
        <f t="shared" ca="1" si="4"/>
        <v>0.12907686287555153</v>
      </c>
      <c r="X45" s="2">
        <f t="shared" ca="1" si="4"/>
        <v>0.34579042746147415</v>
      </c>
      <c r="Y45" s="2">
        <f t="shared" ca="1" si="4"/>
        <v>0.55655810292267582</v>
      </c>
      <c r="Z45" s="2">
        <f t="shared" ca="1" si="4"/>
        <v>0.26581311974231914</v>
      </c>
      <c r="AA45" s="2">
        <f t="shared" ca="1" si="4"/>
        <v>0.58810225493892887</v>
      </c>
      <c r="AB45" s="2">
        <f ca="1">D45*Sheet2!C$16/_xlfn.STDEV.S(D$32:D$61)</f>
        <v>1.7090064220010481</v>
      </c>
      <c r="AC45" s="2">
        <f ca="1">E45*Sheet2!D$16/_xlfn.STDEV.S(E$32:E$61)</f>
        <v>1.9395252929369611</v>
      </c>
      <c r="AD45" s="2">
        <f ca="1">F45*Sheet2!E$16/_xlfn.STDEV.S(F$32:F$61)</f>
        <v>4.7797888259038821</v>
      </c>
      <c r="AE45" s="2">
        <f ca="1">G45*Sheet2!F$16/_xlfn.STDEV.S(G$32:G$61)</f>
        <v>0.80748306461057107</v>
      </c>
      <c r="AF45" s="2">
        <f ca="1">H45*Sheet2!G$16/_xlfn.STDEV.S(H$32:H$61)</f>
        <v>8.8228116858742389</v>
      </c>
      <c r="AG45" s="2">
        <f ca="1">I45*Sheet2!H$16/_xlfn.STDEV.S(I$32:I$61)</f>
        <v>7.8970641731629287</v>
      </c>
      <c r="AH45" s="2">
        <f ca="1">J45*Sheet2!I$16/_xlfn.STDEV.S(J$32:J$61)</f>
        <v>1.7762234130565342</v>
      </c>
      <c r="AI45" s="2">
        <f ca="1">K45*Sheet2!J$16/_xlfn.STDEV.S(K$32:K$61)</f>
        <v>1.1133225707309884</v>
      </c>
      <c r="AJ45" s="2">
        <f ca="1">L45*Sheet2!K$16/_xlfn.STDEV.S(L$32:L$61)</f>
        <v>2.9985513385700697</v>
      </c>
      <c r="AK45" s="2">
        <f ca="1">M45*Sheet2!L$16/_xlfn.STDEV.S(M$32:M$61)</f>
        <v>3.4632866902009707</v>
      </c>
      <c r="AL45" s="2">
        <f ca="1">N45*Sheet2!M$16/_xlfn.STDEV.S(N$32:N$61)</f>
        <v>1.4960803432830685</v>
      </c>
      <c r="AM45" s="2">
        <f ca="1">O45*Sheet2!N$16/_xlfn.STDEV.S(O$32:O$61)</f>
        <v>0.5580976692047952</v>
      </c>
      <c r="AN45" s="2">
        <f ca="1">P45*Sheet2!O$16/_xlfn.STDEV.S(P$32:P$61)</f>
        <v>2.8142160725541081</v>
      </c>
      <c r="AO45" s="2">
        <f ca="1">Q45*Sheet2!P$16/_xlfn.STDEV.S(Q$32:Q$61)</f>
        <v>0.29848166098617107</v>
      </c>
      <c r="AP45" s="2">
        <f ca="1">R45*Sheet2!Q$16/_xlfn.STDEV.S(R$32:R$61)</f>
        <v>1.4845871334456382</v>
      </c>
      <c r="AQ45" s="2">
        <f ca="1">S45*Sheet2!R$16/_xlfn.STDEV.S(S$32:S$61)</f>
        <v>1.9481056602388889</v>
      </c>
      <c r="AR45" s="2">
        <f ca="1">T45*Sheet2!S$16/_xlfn.STDEV.S(T$32:T$61)</f>
        <v>1.505473427293059</v>
      </c>
      <c r="AS45" s="2">
        <f ca="1">U45*Sheet2!T$16/_xlfn.STDEV.S(U$32:U$61)</f>
        <v>8.6102207060511901E-2</v>
      </c>
      <c r="AT45" s="2">
        <f ca="1">V45*Sheet2!U$16/_xlfn.STDEV.S(V$32:V$61)</f>
        <v>2.1596072714147172</v>
      </c>
      <c r="AU45" s="2">
        <f ca="1">W45*Sheet2!V$16/_xlfn.STDEV.S(W$32:W$61)</f>
        <v>0.58566474561450932</v>
      </c>
      <c r="AV45" s="2">
        <f ca="1">X45*Sheet2!W$16/_xlfn.STDEV.S(X$32:X$61)</f>
        <v>1.7872871523073661</v>
      </c>
      <c r="AW45" s="2">
        <f ca="1">Y45*Sheet2!X$16/_xlfn.STDEV.S(Y$32:Y$61)</f>
        <v>2.1106060487201952</v>
      </c>
      <c r="AX45" s="2">
        <f ca="1">Z45*Sheet2!Y$16/_xlfn.STDEV.S(Z$32:Z$61)</f>
        <v>1.0422391191497058</v>
      </c>
      <c r="AY45" s="2">
        <f ca="1">AA45*Sheet2!Z$16/_xlfn.STDEV.S(AA$32:AA$61)</f>
        <v>1.0833862662924578</v>
      </c>
      <c r="AZ45" s="2">
        <f ca="1">AB45-AVERAGE(AB$32:AB$61)+Sheet2!C$15</f>
        <v>3.7156142643020225</v>
      </c>
      <c r="BA45" s="2">
        <f ca="1">AC45-AVERAGE(AC$32:AC$61)+Sheet2!D$15</f>
        <v>7.2998403703859811</v>
      </c>
      <c r="BB45" s="2">
        <f ca="1">AD45-AVERAGE(AD$32:AD$61)+Sheet2!E$15</f>
        <v>19.559135575696093</v>
      </c>
      <c r="BC45" s="2">
        <f ca="1">AE45-AVERAGE(AE$32:AE$61)+Sheet2!F$15</f>
        <v>13.560241594546309</v>
      </c>
      <c r="BD45" s="2">
        <f ca="1">AF45-AVERAGE(AF$32:AF$61)+Sheet2!G$15</f>
        <v>23.36975971984457</v>
      </c>
      <c r="BE45" s="2">
        <f ca="1">AG45-AVERAGE(AG$32:AG$61)+Sheet2!H$15</f>
        <v>33.293938976052111</v>
      </c>
      <c r="BF45" s="2">
        <f ca="1">AH45-AVERAGE(AH$32:AH$61)+Sheet2!I$15</f>
        <v>13.108470552206064</v>
      </c>
      <c r="BG45" s="2">
        <f ca="1">AI45-AVERAGE(AI$32:AI$61)+Sheet2!J$15</f>
        <v>21.751636023983739</v>
      </c>
      <c r="BH45" s="2">
        <f ca="1">AJ45-AVERAGE(AJ$32:AJ$61)+Sheet2!K$15</f>
        <v>24.477014677306055</v>
      </c>
      <c r="BI45" s="2">
        <f ca="1">AK45-AVERAGE(AK$32:AK$61)+Sheet2!L$15</f>
        <v>23.917659941162853</v>
      </c>
      <c r="BJ45" s="2">
        <f ca="1">AL45-AVERAGE(AL$32:AL$61)+Sheet2!M$15</f>
        <v>17.049907557732254</v>
      </c>
      <c r="BK45" s="2">
        <f ca="1">AM45-AVERAGE(AM$32:AM$61)+Sheet2!N$15</f>
        <v>7.8657087369124223</v>
      </c>
      <c r="BL45" s="2">
        <f ca="1">AN45-AVERAGE(AN$32:AN$61)+Sheet2!O$15</f>
        <v>5.8797162090235373</v>
      </c>
      <c r="BM45" s="2">
        <f ca="1">AO45-AVERAGE(AO$32:AO$61)+Sheet2!P$15</f>
        <v>19.971794567934673</v>
      </c>
      <c r="BN45" s="2">
        <f ca="1">AP45-AVERAGE(AP$32:AP$61)+Sheet2!Q$15</f>
        <v>9.2747514149261256</v>
      </c>
      <c r="BO45" s="2">
        <f ca="1">AQ45-AVERAGE(AQ$32:AQ$61)+Sheet2!R$15</f>
        <v>9.7300886530234685</v>
      </c>
      <c r="BP45" s="2">
        <f ca="1">AR45-AVERAGE(AR$32:AR$61)+Sheet2!S$15</f>
        <v>4.0622630985424344</v>
      </c>
      <c r="BQ45" s="2">
        <f ca="1">AS45-AVERAGE(AS$32:AS$61)+Sheet2!T$15</f>
        <v>15.015628461494003</v>
      </c>
      <c r="BR45" s="2">
        <f ca="1">AT45-AVERAGE(AT$32:AT$61)+Sheet2!U$15</f>
        <v>24.71725240967028</v>
      </c>
      <c r="BS45" s="2">
        <f ca="1">AU45-AVERAGE(AU$32:AU$61)+Sheet2!V$15</f>
        <v>20.393441478076973</v>
      </c>
      <c r="BT45" s="2">
        <f ca="1">AV45-AVERAGE(AV$32:AV$61)+Sheet2!W$15</f>
        <v>25.808525103522463</v>
      </c>
      <c r="BU45" s="2">
        <f ca="1">AW45-AVERAGE(AW$32:AW$61)+Sheet2!X$15</f>
        <v>22.077854839472192</v>
      </c>
      <c r="BV45" s="2">
        <f ca="1">AX45-AVERAGE(AX$32:AX$61)+Sheet2!Y$15</f>
        <v>20.717436961341829</v>
      </c>
      <c r="BW45" s="2">
        <f ca="1">AY45-AVERAGE(AY$32:AY$61)+Sheet2!Z$15</f>
        <v>8.1275207252297452</v>
      </c>
      <c r="BZ45" s="2">
        <f ca="1">BA45-AVERAGE(AH$32:AH$61)+Sheet2!AB$15</f>
        <v>5.9832927639726616</v>
      </c>
      <c r="CA45" s="2">
        <f ca="1">BB45-AVERAGE(AI$32:AI$61)+Sheet2!AC$15</f>
        <v>18.098746380117987</v>
      </c>
      <c r="CB45" s="2">
        <f ca="1">BC45-AVERAGE(AJ$32:AJ$61)+Sheet2!AD$15</f>
        <v>10.53239437397934</v>
      </c>
      <c r="CC45" s="2">
        <f ca="1">BD45-AVERAGE(AK$32:AK$61)+Sheet2!AE$15</f>
        <v>20.707803992157096</v>
      </c>
    </row>
    <row r="46" spans="2:81" x14ac:dyDescent="0.3">
      <c r="B46">
        <v>45</v>
      </c>
      <c r="C46" s="1">
        <v>2</v>
      </c>
      <c r="D46" s="2">
        <f t="shared" ca="1" si="5"/>
        <v>2.1400540685939662E-2</v>
      </c>
      <c r="E46" s="2">
        <f t="shared" ca="1" si="5"/>
        <v>0.63492847569118782</v>
      </c>
      <c r="F46" s="2">
        <f t="shared" ca="1" si="5"/>
        <v>0.41888240917232011</v>
      </c>
      <c r="G46" s="2">
        <f t="shared" ca="1" si="5"/>
        <v>0.16245701865838302</v>
      </c>
      <c r="H46" s="2">
        <f t="shared" ca="1" si="5"/>
        <v>0.39260048105367618</v>
      </c>
      <c r="I46" s="2">
        <f t="shared" ca="1" si="5"/>
        <v>0.84051275817733251</v>
      </c>
      <c r="J46" s="2">
        <f t="shared" ca="1" si="5"/>
        <v>0.27845659295499658</v>
      </c>
      <c r="K46" s="2">
        <f t="shared" ca="1" si="5"/>
        <v>0.68740283535340918</v>
      </c>
      <c r="L46" s="2">
        <f t="shared" ca="1" si="5"/>
        <v>2.5266030587382526E-2</v>
      </c>
      <c r="M46" s="2">
        <f t="shared" ca="1" si="5"/>
        <v>0.56880993646884925</v>
      </c>
      <c r="N46" s="2">
        <f t="shared" ca="1" si="5"/>
        <v>0.57066606011735588</v>
      </c>
      <c r="O46" s="2">
        <f t="shared" ca="1" si="5"/>
        <v>0.32910521324320674</v>
      </c>
      <c r="P46" s="2">
        <f t="shared" ca="1" si="5"/>
        <v>0.67626421873351028</v>
      </c>
      <c r="Q46" s="2">
        <f t="shared" ca="1" si="4"/>
        <v>0.91917397398438561</v>
      </c>
      <c r="R46" s="2">
        <f t="shared" ca="1" si="4"/>
        <v>0.67193854402996811</v>
      </c>
      <c r="S46" s="2">
        <f t="shared" ca="1" si="4"/>
        <v>0.15639194710057591</v>
      </c>
      <c r="T46" s="2">
        <f t="shared" ca="1" si="4"/>
        <v>0.71103880646833306</v>
      </c>
      <c r="U46" s="2">
        <f t="shared" ca="1" si="4"/>
        <v>0.34160087407518147</v>
      </c>
      <c r="V46" s="2">
        <f t="shared" ca="1" si="4"/>
        <v>0.13086246704871529</v>
      </c>
      <c r="W46" s="2">
        <f t="shared" ca="1" si="4"/>
        <v>0.20527705701292798</v>
      </c>
      <c r="X46" s="2">
        <f t="shared" ca="1" si="4"/>
        <v>0.12321483816108436</v>
      </c>
      <c r="Y46" s="2">
        <f t="shared" ca="1" si="4"/>
        <v>3.1610767406212603E-2</v>
      </c>
      <c r="Z46" s="2">
        <f t="shared" ca="1" si="4"/>
        <v>3.7774779105741563E-2</v>
      </c>
      <c r="AA46" s="2">
        <f t="shared" ca="1" si="4"/>
        <v>0.85984079759680387</v>
      </c>
      <c r="AB46" s="2">
        <f ca="1">D46*Sheet2!C$16/_xlfn.STDEV.S(D$32:D$61)</f>
        <v>0.1031348831159999</v>
      </c>
      <c r="AC46" s="2">
        <f ca="1">E46*Sheet2!D$16/_xlfn.STDEV.S(E$32:E$61)</f>
        <v>4.5240890786992338</v>
      </c>
      <c r="AD46" s="2">
        <f ca="1">F46*Sheet2!E$16/_xlfn.STDEV.S(F$32:F$61)</f>
        <v>2.3901047135857434</v>
      </c>
      <c r="AE46" s="2">
        <f ca="1">G46*Sheet2!F$16/_xlfn.STDEV.S(G$32:G$61)</f>
        <v>1.3312378627653558</v>
      </c>
      <c r="AF46" s="2">
        <f ca="1">H46*Sheet2!G$16/_xlfn.STDEV.S(H$32:H$61)</f>
        <v>6.0192910796121621</v>
      </c>
      <c r="AG46" s="2">
        <f ca="1">I46*Sheet2!H$16/_xlfn.STDEV.S(I$32:I$61)</f>
        <v>9.0043249885973147</v>
      </c>
      <c r="AH46" s="2">
        <f ca="1">J46*Sheet2!I$16/_xlfn.STDEV.S(J$32:J$61)</f>
        <v>0.67573824146873096</v>
      </c>
      <c r="AI46" s="2">
        <f ca="1">K46*Sheet2!J$16/_xlfn.STDEV.S(K$32:K$61)</f>
        <v>2.2921413709050129</v>
      </c>
      <c r="AJ46" s="2">
        <f ca="1">L46*Sheet2!K$16/_xlfn.STDEV.S(L$32:L$61)</f>
        <v>0.1652102175481153</v>
      </c>
      <c r="AK46" s="2">
        <f ca="1">M46*Sheet2!L$16/_xlfn.STDEV.S(M$32:M$61)</f>
        <v>3.1594743190740218</v>
      </c>
      <c r="AL46" s="2">
        <f ca="1">N46*Sheet2!M$16/_xlfn.STDEV.S(N$32:N$61)</f>
        <v>1.4683306381592158</v>
      </c>
      <c r="AM46" s="2">
        <f ca="1">O46*Sheet2!N$16/_xlfn.STDEV.S(O$32:O$61)</f>
        <v>0.76336278979890049</v>
      </c>
      <c r="AN46" s="2">
        <f ca="1">P46*Sheet2!O$16/_xlfn.STDEV.S(P$32:P$61)</f>
        <v>2.5841159876533415</v>
      </c>
      <c r="AO46" s="2">
        <f ca="1">Q46*Sheet2!P$16/_xlfn.STDEV.S(Q$32:Q$61)</f>
        <v>5.9804789110489498</v>
      </c>
      <c r="AP46" s="2">
        <f ca="1">R46*Sheet2!Q$16/_xlfn.STDEV.S(R$32:R$61)</f>
        <v>2.3537130273627827</v>
      </c>
      <c r="AQ46" s="2">
        <f ca="1">S46*Sheet2!R$16/_xlfn.STDEV.S(S$32:S$61)</f>
        <v>0.49725140619588865</v>
      </c>
      <c r="AR46" s="2">
        <f ca="1">T46*Sheet2!S$16/_xlfn.STDEV.S(T$32:T$61)</f>
        <v>1.7165648209830824</v>
      </c>
      <c r="AS46" s="2">
        <f ca="1">U46*Sheet2!T$16/_xlfn.STDEV.S(U$32:U$61)</f>
        <v>1.897168042308794</v>
      </c>
      <c r="AT46" s="2">
        <f ca="1">V46*Sheet2!U$16/_xlfn.STDEV.S(V$32:V$61)</f>
        <v>0.32889477152294222</v>
      </c>
      <c r="AU46" s="2">
        <f ca="1">W46*Sheet2!V$16/_xlfn.STDEV.S(W$32:W$61)</f>
        <v>0.93141042242314331</v>
      </c>
      <c r="AV46" s="2">
        <f ca="1">X46*Sheet2!W$16/_xlfn.STDEV.S(X$32:X$61)</f>
        <v>0.63686059453879196</v>
      </c>
      <c r="AW46" s="2">
        <f ca="1">Y46*Sheet2!X$16/_xlfn.STDEV.S(Y$32:Y$61)</f>
        <v>0.11987585221000514</v>
      </c>
      <c r="AX46" s="2">
        <f ca="1">Z46*Sheet2!Y$16/_xlfn.STDEV.S(Z$32:Z$61)</f>
        <v>0.14811290179886025</v>
      </c>
      <c r="AY46" s="2">
        <f ca="1">AA46*Sheet2!Z$16/_xlfn.STDEV.S(AA$32:AA$61)</f>
        <v>1.583975751650647</v>
      </c>
      <c r="AZ46" s="2">
        <f ca="1">AB46-AVERAGE(AB$32:AB$61)+Sheet2!C$15</f>
        <v>2.1097427254169738</v>
      </c>
      <c r="BA46" s="2">
        <f ca="1">AC46-AVERAGE(AC$32:AC$61)+Sheet2!D$15</f>
        <v>9.8844041561482534</v>
      </c>
      <c r="BB46" s="2">
        <f ca="1">AD46-AVERAGE(AD$32:AD$61)+Sheet2!E$15</f>
        <v>17.169451463377953</v>
      </c>
      <c r="BC46" s="2">
        <f ca="1">AE46-AVERAGE(AE$32:AE$61)+Sheet2!F$15</f>
        <v>14.083996392701094</v>
      </c>
      <c r="BD46" s="2">
        <f ca="1">AF46-AVERAGE(AF$32:AF$61)+Sheet2!G$15</f>
        <v>20.566239113582494</v>
      </c>
      <c r="BE46" s="2">
        <f ca="1">AG46-AVERAGE(AG$32:AG$61)+Sheet2!H$15</f>
        <v>34.401199791486498</v>
      </c>
      <c r="BF46" s="2">
        <f ca="1">AH46-AVERAGE(AH$32:AH$61)+Sheet2!I$15</f>
        <v>12.00798538061826</v>
      </c>
      <c r="BG46" s="2">
        <f ca="1">AI46-AVERAGE(AI$32:AI$61)+Sheet2!J$15</f>
        <v>22.930454824157763</v>
      </c>
      <c r="BH46" s="2">
        <f ca="1">AJ46-AVERAGE(AJ$32:AJ$61)+Sheet2!K$15</f>
        <v>21.643673556284103</v>
      </c>
      <c r="BI46" s="2">
        <f ca="1">AK46-AVERAGE(AK$32:AK$61)+Sheet2!L$15</f>
        <v>23.613847570035905</v>
      </c>
      <c r="BJ46" s="2">
        <f ca="1">AL46-AVERAGE(AL$32:AL$61)+Sheet2!M$15</f>
        <v>17.022157852608402</v>
      </c>
      <c r="BK46" s="2">
        <f ca="1">AM46-AVERAGE(AM$32:AM$61)+Sheet2!N$15</f>
        <v>8.0709738575065284</v>
      </c>
      <c r="BL46" s="2">
        <f ca="1">AN46-AVERAGE(AN$32:AN$61)+Sheet2!O$15</f>
        <v>5.6496161241227707</v>
      </c>
      <c r="BM46" s="2">
        <f ca="1">AO46-AVERAGE(AO$32:AO$61)+Sheet2!P$15</f>
        <v>25.653791817997451</v>
      </c>
      <c r="BN46" s="2">
        <f ca="1">AP46-AVERAGE(AP$32:AP$61)+Sheet2!Q$15</f>
        <v>10.143877308843271</v>
      </c>
      <c r="BO46" s="2">
        <f ca="1">AQ46-AVERAGE(AQ$32:AQ$61)+Sheet2!R$15</f>
        <v>8.2792343989804689</v>
      </c>
      <c r="BP46" s="2">
        <f ca="1">AR46-AVERAGE(AR$32:AR$61)+Sheet2!S$15</f>
        <v>4.2733544922324587</v>
      </c>
      <c r="BQ46" s="2">
        <f ca="1">AS46-AVERAGE(AS$32:AS$61)+Sheet2!T$15</f>
        <v>16.826694296742286</v>
      </c>
      <c r="BR46" s="2">
        <f ca="1">AT46-AVERAGE(AT$32:AT$61)+Sheet2!U$15</f>
        <v>22.886539909778506</v>
      </c>
      <c r="BS46" s="2">
        <f ca="1">AU46-AVERAGE(AU$32:AU$61)+Sheet2!V$15</f>
        <v>20.739187154885606</v>
      </c>
      <c r="BT46" s="2">
        <f ca="1">AV46-AVERAGE(AV$32:AV$61)+Sheet2!W$15</f>
        <v>24.658098545753891</v>
      </c>
      <c r="BU46" s="2">
        <f ca="1">AW46-AVERAGE(AW$32:AW$61)+Sheet2!X$15</f>
        <v>20.087124642961999</v>
      </c>
      <c r="BV46" s="2">
        <f ca="1">AX46-AVERAGE(AX$32:AX$61)+Sheet2!Y$15</f>
        <v>19.823310743990984</v>
      </c>
      <c r="BW46" s="2">
        <f ca="1">AY46-AVERAGE(AY$32:AY$61)+Sheet2!Z$15</f>
        <v>8.6281102105879341</v>
      </c>
      <c r="BZ46" s="2">
        <f ca="1">BA46-AVERAGE(AH$32:AH$61)+Sheet2!AB$15</f>
        <v>8.5678565497349339</v>
      </c>
      <c r="CA46" s="2">
        <f ca="1">BB46-AVERAGE(AI$32:AI$61)+Sheet2!AC$15</f>
        <v>15.709062267799847</v>
      </c>
      <c r="CB46" s="2">
        <f ca="1">BC46-AVERAGE(AJ$32:AJ$61)+Sheet2!AD$15</f>
        <v>11.056149172134125</v>
      </c>
      <c r="CC46" s="2">
        <f ca="1">BD46-AVERAGE(AK$32:AK$61)+Sheet2!AE$15</f>
        <v>17.90428338589502</v>
      </c>
    </row>
    <row r="47" spans="2:81" x14ac:dyDescent="0.3">
      <c r="B47">
        <v>46</v>
      </c>
      <c r="C47" s="1">
        <v>2</v>
      </c>
      <c r="D47" s="2">
        <f t="shared" ca="1" si="5"/>
        <v>0.21014298268484655</v>
      </c>
      <c r="E47" s="2">
        <f t="shared" ca="1" si="5"/>
        <v>0.82286271544076206</v>
      </c>
      <c r="F47" s="2">
        <f t="shared" ca="1" si="5"/>
        <v>0.25918207824377804</v>
      </c>
      <c r="G47" s="2">
        <f t="shared" ca="1" si="5"/>
        <v>0.92017415488503485</v>
      </c>
      <c r="H47" s="2">
        <f t="shared" ca="1" si="5"/>
        <v>0.45891038363047687</v>
      </c>
      <c r="I47" s="2">
        <f t="shared" ca="1" si="5"/>
        <v>0.51794565070364584</v>
      </c>
      <c r="J47" s="2">
        <f t="shared" ca="1" si="5"/>
        <v>0.89562182542669833</v>
      </c>
      <c r="K47" s="2">
        <f t="shared" ca="1" si="5"/>
        <v>0.93071463679672262</v>
      </c>
      <c r="L47" s="2">
        <f t="shared" ca="1" si="5"/>
        <v>0.58631241123316979</v>
      </c>
      <c r="M47" s="2">
        <f t="shared" ca="1" si="5"/>
        <v>0.23068851636755439</v>
      </c>
      <c r="N47" s="2">
        <f t="shared" ca="1" si="5"/>
        <v>0.81904763189369034</v>
      </c>
      <c r="O47" s="2">
        <f t="shared" ca="1" si="5"/>
        <v>0.97533419258847409</v>
      </c>
      <c r="P47" s="2">
        <f t="shared" ca="1" si="5"/>
        <v>0.26273991005823438</v>
      </c>
      <c r="Q47" s="2">
        <f t="shared" ca="1" si="5"/>
        <v>0.24856880087674049</v>
      </c>
      <c r="R47" s="2">
        <f t="shared" ca="1" si="5"/>
        <v>0.90127437643785058</v>
      </c>
      <c r="S47" s="2">
        <f t="shared" ca="1" si="5"/>
        <v>0.74213074407825164</v>
      </c>
      <c r="T47" s="2">
        <f t="shared" ca="1" si="4"/>
        <v>0.69034206525287223</v>
      </c>
      <c r="U47" s="2">
        <f t="shared" ca="1" si="4"/>
        <v>0.53770283692157261</v>
      </c>
      <c r="V47" s="2">
        <f t="shared" ca="1" si="4"/>
        <v>0.75492026607757079</v>
      </c>
      <c r="W47" s="2">
        <f t="shared" ca="1" si="4"/>
        <v>0.21724549760567946</v>
      </c>
      <c r="X47" s="2">
        <f t="shared" ca="1" si="4"/>
        <v>0.15180897737352395</v>
      </c>
      <c r="Y47" s="2">
        <f t="shared" ca="1" si="4"/>
        <v>0.68529706345547348</v>
      </c>
      <c r="Z47" s="2">
        <f t="shared" ca="1" si="4"/>
        <v>0.29515497103489541</v>
      </c>
      <c r="AA47" s="2">
        <f t="shared" ca="1" si="4"/>
        <v>0.99642101630394397</v>
      </c>
      <c r="AB47" s="2">
        <f ca="1">D47*Sheet2!C$16/_xlfn.STDEV.S(D$32:D$61)</f>
        <v>1.0127347843640526</v>
      </c>
      <c r="AC47" s="2">
        <f ca="1">E47*Sheet2!D$16/_xlfn.STDEV.S(E$32:E$61)</f>
        <v>5.8631867473604542</v>
      </c>
      <c r="AD47" s="2">
        <f ca="1">F47*Sheet2!E$16/_xlfn.STDEV.S(F$32:F$61)</f>
        <v>1.4788692323256856</v>
      </c>
      <c r="AE47" s="2">
        <f ca="1">G47*Sheet2!F$16/_xlfn.STDEV.S(G$32:G$61)</f>
        <v>7.5402754860161343</v>
      </c>
      <c r="AF47" s="2">
        <f ca="1">H47*Sheet2!G$16/_xlfn.STDEV.S(H$32:H$61)</f>
        <v>7.0359444571099798</v>
      </c>
      <c r="AG47" s="2">
        <f ca="1">I47*Sheet2!H$16/_xlfn.STDEV.S(I$32:I$61)</f>
        <v>5.5486974111845315</v>
      </c>
      <c r="AH47" s="2">
        <f ca="1">J47*Sheet2!I$16/_xlfn.STDEV.S(J$32:J$61)</f>
        <v>2.1734300161916571</v>
      </c>
      <c r="AI47" s="2">
        <f ca="1">K47*Sheet2!J$16/_xlfn.STDEV.S(K$32:K$61)</f>
        <v>3.1034633751718652</v>
      </c>
      <c r="AJ47" s="2">
        <f ca="1">L47*Sheet2!K$16/_xlfn.STDEV.S(L$32:L$61)</f>
        <v>3.8337957628914152</v>
      </c>
      <c r="AK47" s="2">
        <f ca="1">M47*Sheet2!L$16/_xlfn.STDEV.S(M$32:M$61)</f>
        <v>1.2813672835838212</v>
      </c>
      <c r="AL47" s="2">
        <f ca="1">N47*Sheet2!M$16/_xlfn.STDEV.S(N$32:N$61)</f>
        <v>2.1074194105287054</v>
      </c>
      <c r="AM47" s="2">
        <f ca="1">O47*Sheet2!N$16/_xlfn.STDEV.S(O$32:O$61)</f>
        <v>2.2622972845173064</v>
      </c>
      <c r="AN47" s="2">
        <f ca="1">P47*Sheet2!O$16/_xlfn.STDEV.S(P$32:P$61)</f>
        <v>1.0039720916295185</v>
      </c>
      <c r="AO47" s="2">
        <f ca="1">Q47*Sheet2!P$16/_xlfn.STDEV.S(Q$32:Q$61)</f>
        <v>1.6172786802744319</v>
      </c>
      <c r="AP47" s="2">
        <f ca="1">R47*Sheet2!Q$16/_xlfn.STDEV.S(R$32:R$61)</f>
        <v>3.1570465184617045</v>
      </c>
      <c r="AQ47" s="2">
        <f ca="1">S47*Sheet2!R$16/_xlfn.STDEV.S(S$32:S$61)</f>
        <v>2.3596199351414868</v>
      </c>
      <c r="AR47" s="2">
        <f ca="1">T47*Sheet2!S$16/_xlfn.STDEV.S(T$32:T$61)</f>
        <v>1.6665994779437738</v>
      </c>
      <c r="AS47" s="2">
        <f ca="1">U47*Sheet2!T$16/_xlfn.STDEV.S(U$32:U$61)</f>
        <v>2.9862705744771381</v>
      </c>
      <c r="AT47" s="2">
        <f ca="1">V47*Sheet2!U$16/_xlfn.STDEV.S(V$32:V$61)</f>
        <v>1.8973303348865673</v>
      </c>
      <c r="AU47" s="2">
        <f ca="1">W47*Sheet2!V$16/_xlfn.STDEV.S(W$32:W$61)</f>
        <v>0.98571522623538266</v>
      </c>
      <c r="AV47" s="2">
        <f ca="1">X47*Sheet2!W$16/_xlfn.STDEV.S(X$32:X$61)</f>
        <v>0.78465513593446279</v>
      </c>
      <c r="AW47" s="2">
        <f ca="1">Y47*Sheet2!X$16/_xlfn.STDEV.S(Y$32:Y$61)</f>
        <v>2.5988160440101633</v>
      </c>
      <c r="AX47" s="2">
        <f ca="1">Z47*Sheet2!Y$16/_xlfn.STDEV.S(Z$32:Z$61)</f>
        <v>1.1572869590570887</v>
      </c>
      <c r="AY47" s="2">
        <f ca="1">AA47*Sheet2!Z$16/_xlfn.STDEV.S(AA$32:AA$61)</f>
        <v>1.8355801826010121</v>
      </c>
      <c r="AZ47" s="2">
        <f ca="1">AB47-AVERAGE(AB$32:AB$61)+Sheet2!C$15</f>
        <v>3.0193426266650265</v>
      </c>
      <c r="BA47" s="2">
        <f ca="1">AC47-AVERAGE(AC$32:AC$61)+Sheet2!D$15</f>
        <v>11.223501824809475</v>
      </c>
      <c r="BB47" s="2">
        <f ca="1">AD47-AVERAGE(AD$32:AD$61)+Sheet2!E$15</f>
        <v>16.258215982117896</v>
      </c>
      <c r="BC47" s="2">
        <f ca="1">AE47-AVERAGE(AE$32:AE$61)+Sheet2!F$15</f>
        <v>20.293034015951871</v>
      </c>
      <c r="BD47" s="2">
        <f ca="1">AF47-AVERAGE(AF$32:AF$61)+Sheet2!G$15</f>
        <v>21.582892491080312</v>
      </c>
      <c r="BE47" s="2">
        <f ca="1">AG47-AVERAGE(AG$32:AG$61)+Sheet2!H$15</f>
        <v>30.945572214073714</v>
      </c>
      <c r="BF47" s="2">
        <f ca="1">AH47-AVERAGE(AH$32:AH$61)+Sheet2!I$15</f>
        <v>13.505677155341186</v>
      </c>
      <c r="BG47" s="2">
        <f ca="1">AI47-AVERAGE(AI$32:AI$61)+Sheet2!J$15</f>
        <v>23.741776828424616</v>
      </c>
      <c r="BH47" s="2">
        <f ca="1">AJ47-AVERAGE(AJ$32:AJ$61)+Sheet2!K$15</f>
        <v>25.312259101627401</v>
      </c>
      <c r="BI47" s="2">
        <f ca="1">AK47-AVERAGE(AK$32:AK$61)+Sheet2!L$15</f>
        <v>21.735740534545705</v>
      </c>
      <c r="BJ47" s="2">
        <f ca="1">AL47-AVERAGE(AL$32:AL$61)+Sheet2!M$15</f>
        <v>17.661246624977892</v>
      </c>
      <c r="BK47" s="2">
        <f ca="1">AM47-AVERAGE(AM$32:AM$61)+Sheet2!N$15</f>
        <v>9.5699083522249335</v>
      </c>
      <c r="BL47" s="2">
        <f ca="1">AN47-AVERAGE(AN$32:AN$61)+Sheet2!O$15</f>
        <v>4.0694722280989479</v>
      </c>
      <c r="BM47" s="2">
        <f ca="1">AO47-AVERAGE(AO$32:AO$61)+Sheet2!P$15</f>
        <v>21.290591587222931</v>
      </c>
      <c r="BN47" s="2">
        <f ca="1">AP47-AVERAGE(AP$32:AP$61)+Sheet2!Q$15</f>
        <v>10.947210799942193</v>
      </c>
      <c r="BO47" s="2">
        <f ca="1">AQ47-AVERAGE(AQ$32:AQ$61)+Sheet2!R$15</f>
        <v>10.141602927926067</v>
      </c>
      <c r="BP47" s="2">
        <f ca="1">AR47-AVERAGE(AR$32:AR$61)+Sheet2!S$15</f>
        <v>4.2233891491931494</v>
      </c>
      <c r="BQ47" s="2">
        <f ca="1">AS47-AVERAGE(AS$32:AS$61)+Sheet2!T$15</f>
        <v>17.915796828910629</v>
      </c>
      <c r="BR47" s="2">
        <f ca="1">AT47-AVERAGE(AT$32:AT$61)+Sheet2!U$15</f>
        <v>24.454975473142131</v>
      </c>
      <c r="BS47" s="2">
        <f ca="1">AU47-AVERAGE(AU$32:AU$61)+Sheet2!V$15</f>
        <v>20.793491958697846</v>
      </c>
      <c r="BT47" s="2">
        <f ca="1">AV47-AVERAGE(AV$32:AV$61)+Sheet2!W$15</f>
        <v>24.80589308714956</v>
      </c>
      <c r="BU47" s="2">
        <f ca="1">AW47-AVERAGE(AW$32:AW$61)+Sheet2!X$15</f>
        <v>22.566064834762159</v>
      </c>
      <c r="BV47" s="2">
        <f ca="1">AX47-AVERAGE(AX$32:AX$61)+Sheet2!Y$15</f>
        <v>20.832484801249212</v>
      </c>
      <c r="BW47" s="2">
        <f ca="1">AY47-AVERAGE(AY$32:AY$61)+Sheet2!Z$15</f>
        <v>8.8797146415382997</v>
      </c>
      <c r="BZ47" s="2">
        <f ca="1">BA47-AVERAGE(AH$32:AH$61)+Sheet2!AB$15</f>
        <v>9.9069542183961552</v>
      </c>
      <c r="CA47" s="2">
        <f ca="1">BB47-AVERAGE(AI$32:AI$61)+Sheet2!AC$15</f>
        <v>14.79782678653979</v>
      </c>
      <c r="CB47" s="2">
        <f ca="1">BC47-AVERAGE(AJ$32:AJ$61)+Sheet2!AD$15</f>
        <v>17.265186795384899</v>
      </c>
      <c r="CC47" s="2">
        <f ca="1">BD47-AVERAGE(AK$32:AK$61)+Sheet2!AE$15</f>
        <v>18.920936763392838</v>
      </c>
    </row>
    <row r="48" spans="2:81" x14ac:dyDescent="0.3">
      <c r="B48">
        <v>47</v>
      </c>
      <c r="C48" s="1">
        <v>2</v>
      </c>
      <c r="D48" s="2">
        <f t="shared" ca="1" si="5"/>
        <v>0.32579630536141391</v>
      </c>
      <c r="E48" s="2">
        <f t="shared" ca="1" si="5"/>
        <v>0.17330767665740598</v>
      </c>
      <c r="F48" s="2">
        <f t="shared" ca="1" si="5"/>
        <v>0.30770370845718886</v>
      </c>
      <c r="G48" s="2">
        <f t="shared" ca="1" si="5"/>
        <v>0.48363926445788141</v>
      </c>
      <c r="H48" s="2">
        <f t="shared" ca="1" si="5"/>
        <v>3.7709540057513924E-2</v>
      </c>
      <c r="I48" s="2">
        <f t="shared" ca="1" si="5"/>
        <v>0.79412695331192895</v>
      </c>
      <c r="J48" s="2">
        <f t="shared" ca="1" si="5"/>
        <v>0.89772783269194856</v>
      </c>
      <c r="K48" s="2">
        <f t="shared" ca="1" si="5"/>
        <v>0.36317896382982751</v>
      </c>
      <c r="L48" s="2">
        <f t="shared" ca="1" si="5"/>
        <v>0.37440894251710066</v>
      </c>
      <c r="M48" s="2">
        <f t="shared" ca="1" si="5"/>
        <v>0.93591046727669591</v>
      </c>
      <c r="N48" s="2">
        <f t="shared" ca="1" si="5"/>
        <v>0.98038440315329256</v>
      </c>
      <c r="O48" s="2">
        <f t="shared" ca="1" si="5"/>
        <v>0.8298061521960215</v>
      </c>
      <c r="P48" s="2">
        <f t="shared" ca="1" si="5"/>
        <v>0.89470213571179824</v>
      </c>
      <c r="Q48" s="2">
        <f t="shared" ca="1" si="5"/>
        <v>0.86553438022788476</v>
      </c>
      <c r="R48" s="2">
        <f t="shared" ca="1" si="5"/>
        <v>0.40629948611276301</v>
      </c>
      <c r="S48" s="2">
        <f t="shared" ca="1" si="5"/>
        <v>4.0276186671767467E-2</v>
      </c>
      <c r="T48" s="2">
        <f t="shared" ca="1" si="4"/>
        <v>0.94644603798501437</v>
      </c>
      <c r="U48" s="2">
        <f t="shared" ca="1" si="4"/>
        <v>0.23555924075042067</v>
      </c>
      <c r="V48" s="2">
        <f t="shared" ca="1" si="4"/>
        <v>0.71157350229589411</v>
      </c>
      <c r="W48" s="2">
        <f t="shared" ca="1" si="4"/>
        <v>0.14549629979095646</v>
      </c>
      <c r="X48" s="2">
        <f t="shared" ca="1" si="4"/>
        <v>0.70458184144832958</v>
      </c>
      <c r="Y48" s="2">
        <f t="shared" ca="1" si="4"/>
        <v>0.37541370487862247</v>
      </c>
      <c r="Z48" s="2">
        <f t="shared" ca="1" si="4"/>
        <v>0.44170470788375205</v>
      </c>
      <c r="AA48" s="2">
        <f t="shared" ca="1" si="4"/>
        <v>0.91393703963934991</v>
      </c>
      <c r="AB48" s="2">
        <f ca="1">D48*Sheet2!C$16/_xlfn.STDEV.S(D$32:D$61)</f>
        <v>1.5700988290987505</v>
      </c>
      <c r="AC48" s="2">
        <f ca="1">E48*Sheet2!D$16/_xlfn.STDEV.S(E$32:E$61)</f>
        <v>1.2348782535969516</v>
      </c>
      <c r="AD48" s="2">
        <f ca="1">F48*Sheet2!E$16/_xlfn.STDEV.S(F$32:F$61)</f>
        <v>1.7557292162841649</v>
      </c>
      <c r="AE48" s="2">
        <f ca="1">G48*Sheet2!F$16/_xlfn.STDEV.S(G$32:G$61)</f>
        <v>3.9631337943003406</v>
      </c>
      <c r="AF48" s="2">
        <f ca="1">H48*Sheet2!G$16/_xlfn.STDEV.S(H$32:H$61)</f>
        <v>0.57815695354035446</v>
      </c>
      <c r="AG48" s="2">
        <f ca="1">I48*Sheet2!H$16/_xlfn.STDEV.S(I$32:I$61)</f>
        <v>8.5073987280471677</v>
      </c>
      <c r="AH48" s="2">
        <f ca="1">J48*Sheet2!I$16/_xlfn.STDEV.S(J$32:J$61)</f>
        <v>2.1785407217089459</v>
      </c>
      <c r="AI48" s="2">
        <f ca="1">K48*Sheet2!J$16/_xlfn.STDEV.S(K$32:K$61)</f>
        <v>1.2110184672263942</v>
      </c>
      <c r="AJ48" s="2">
        <f ca="1">L48*Sheet2!K$16/_xlfn.STDEV.S(L$32:L$61)</f>
        <v>2.4481955181396811</v>
      </c>
      <c r="AK48" s="2">
        <f ca="1">M48*Sheet2!L$16/_xlfn.STDEV.S(M$32:M$61)</f>
        <v>5.1985468198219973</v>
      </c>
      <c r="AL48" s="2">
        <f ca="1">N48*Sheet2!M$16/_xlfn.STDEV.S(N$32:N$61)</f>
        <v>2.5225408639640863</v>
      </c>
      <c r="AM48" s="2">
        <f ca="1">O48*Sheet2!N$16/_xlfn.STDEV.S(O$32:O$61)</f>
        <v>1.9247435587248973</v>
      </c>
      <c r="AN48" s="2">
        <f ca="1">P48*Sheet2!O$16/_xlfn.STDEV.S(P$32:P$61)</f>
        <v>3.4188029309170407</v>
      </c>
      <c r="AO48" s="2">
        <f ca="1">Q48*Sheet2!P$16/_xlfn.STDEV.S(Q$32:Q$61)</f>
        <v>5.631480279301968</v>
      </c>
      <c r="AP48" s="2">
        <f ca="1">R48*Sheet2!Q$16/_xlfn.STDEV.S(R$32:R$61)</f>
        <v>1.4232140751130409</v>
      </c>
      <c r="AQ48" s="2">
        <f ca="1">S48*Sheet2!R$16/_xlfn.STDEV.S(S$32:S$61)</f>
        <v>0.12805896230619107</v>
      </c>
      <c r="AR48" s="2">
        <f ca="1">T48*Sheet2!S$16/_xlfn.STDEV.S(T$32:T$61)</f>
        <v>2.2848766607174609</v>
      </c>
      <c r="AS48" s="2">
        <f ca="1">U48*Sheet2!T$16/_xlfn.STDEV.S(U$32:U$61)</f>
        <v>1.3082386420471106</v>
      </c>
      <c r="AT48" s="2">
        <f ca="1">V48*Sheet2!U$16/_xlfn.STDEV.S(V$32:V$61)</f>
        <v>1.7883875318678353</v>
      </c>
      <c r="AU48" s="2">
        <f ca="1">W48*Sheet2!V$16/_xlfn.STDEV.S(W$32:W$61)</f>
        <v>0.66016520317107064</v>
      </c>
      <c r="AV48" s="2">
        <f ca="1">X48*Sheet2!W$16/_xlfn.STDEV.S(X$32:X$61)</f>
        <v>3.6417725100558704</v>
      </c>
      <c r="AW48" s="2">
        <f ca="1">Y48*Sheet2!X$16/_xlfn.STDEV.S(Y$32:Y$61)</f>
        <v>1.4236616664610169</v>
      </c>
      <c r="AX48" s="2">
        <f ca="1">Z48*Sheet2!Y$16/_xlfn.STDEV.S(Z$32:Z$61)</f>
        <v>1.7319006906631151</v>
      </c>
      <c r="AY48" s="2">
        <f ca="1">AA48*Sheet2!Z$16/_xlfn.STDEV.S(AA$32:AA$61)</f>
        <v>1.6836304038726708</v>
      </c>
      <c r="AZ48" s="2">
        <f ca="1">AB48-AVERAGE(AB$32:AB$61)+Sheet2!C$15</f>
        <v>3.5767066713997249</v>
      </c>
      <c r="BA48" s="2">
        <f ca="1">AC48-AVERAGE(AC$32:AC$61)+Sheet2!D$15</f>
        <v>6.5951933310459721</v>
      </c>
      <c r="BB48" s="2">
        <f ca="1">AD48-AVERAGE(AD$32:AD$61)+Sheet2!E$15</f>
        <v>16.535075966076377</v>
      </c>
      <c r="BC48" s="2">
        <f ca="1">AE48-AVERAGE(AE$32:AE$61)+Sheet2!F$15</f>
        <v>16.71589232423608</v>
      </c>
      <c r="BD48" s="2">
        <f ca="1">AF48-AVERAGE(AF$32:AF$61)+Sheet2!G$15</f>
        <v>15.125104987510685</v>
      </c>
      <c r="BE48" s="2">
        <f ca="1">AG48-AVERAGE(AG$32:AG$61)+Sheet2!H$15</f>
        <v>33.904273530936351</v>
      </c>
      <c r="BF48" s="2">
        <f ca="1">AH48-AVERAGE(AH$32:AH$61)+Sheet2!I$15</f>
        <v>13.510787860858475</v>
      </c>
      <c r="BG48" s="2">
        <f ca="1">AI48-AVERAGE(AI$32:AI$61)+Sheet2!J$15</f>
        <v>21.849331920479145</v>
      </c>
      <c r="BH48" s="2">
        <f ca="1">AJ48-AVERAGE(AJ$32:AJ$61)+Sheet2!K$15</f>
        <v>23.926658856875669</v>
      </c>
      <c r="BI48" s="2">
        <f ca="1">AK48-AVERAGE(AK$32:AK$61)+Sheet2!L$15</f>
        <v>25.652920070783882</v>
      </c>
      <c r="BJ48" s="2">
        <f ca="1">AL48-AVERAGE(AL$32:AL$61)+Sheet2!M$15</f>
        <v>18.076368078413271</v>
      </c>
      <c r="BK48" s="2">
        <f ca="1">AM48-AVERAGE(AM$32:AM$61)+Sheet2!N$15</f>
        <v>9.2323546264325245</v>
      </c>
      <c r="BL48" s="2">
        <f ca="1">AN48-AVERAGE(AN$32:AN$61)+Sheet2!O$15</f>
        <v>6.4843030673864703</v>
      </c>
      <c r="BM48" s="2">
        <f ca="1">AO48-AVERAGE(AO$32:AO$61)+Sheet2!P$15</f>
        <v>25.304793186250468</v>
      </c>
      <c r="BN48" s="2">
        <f ca="1">AP48-AVERAGE(AP$32:AP$61)+Sheet2!Q$15</f>
        <v>9.2133783565935286</v>
      </c>
      <c r="BO48" s="2">
        <f ca="1">AQ48-AVERAGE(AQ$32:AQ$61)+Sheet2!R$15</f>
        <v>7.9100419550907706</v>
      </c>
      <c r="BP48" s="2">
        <f ca="1">AR48-AVERAGE(AR$32:AR$61)+Sheet2!S$15</f>
        <v>4.8416663319668363</v>
      </c>
      <c r="BQ48" s="2">
        <f ca="1">AS48-AVERAGE(AS$32:AS$61)+Sheet2!T$15</f>
        <v>16.237764896480602</v>
      </c>
      <c r="BR48" s="2">
        <f ca="1">AT48-AVERAGE(AT$32:AT$61)+Sheet2!U$15</f>
        <v>24.3460326701234</v>
      </c>
      <c r="BS48" s="2">
        <f ca="1">AU48-AVERAGE(AU$32:AU$61)+Sheet2!V$15</f>
        <v>20.467941935633533</v>
      </c>
      <c r="BT48" s="2">
        <f ca="1">AV48-AVERAGE(AV$32:AV$61)+Sheet2!W$15</f>
        <v>27.663010461270968</v>
      </c>
      <c r="BU48" s="2">
        <f ca="1">AW48-AVERAGE(AW$32:AW$61)+Sheet2!X$15</f>
        <v>21.39091045721301</v>
      </c>
      <c r="BV48" s="2">
        <f ca="1">AX48-AVERAGE(AX$32:AX$61)+Sheet2!Y$15</f>
        <v>21.40709853285524</v>
      </c>
      <c r="BW48" s="2">
        <f ca="1">AY48-AVERAGE(AY$32:AY$61)+Sheet2!Z$15</f>
        <v>8.7277648628099573</v>
      </c>
      <c r="BZ48" s="2">
        <f ca="1">BA48-AVERAGE(AH$32:AH$61)+Sheet2!AB$15</f>
        <v>5.2786457246326517</v>
      </c>
      <c r="CA48" s="2">
        <f ca="1">BB48-AVERAGE(AI$32:AI$61)+Sheet2!AC$15</f>
        <v>15.074686770498271</v>
      </c>
      <c r="CB48" s="2">
        <f ca="1">BC48-AVERAGE(AJ$32:AJ$61)+Sheet2!AD$15</f>
        <v>13.688045103669111</v>
      </c>
      <c r="CC48" s="2">
        <f ca="1">BD48-AVERAGE(AK$32:AK$61)+Sheet2!AE$15</f>
        <v>12.463149259823211</v>
      </c>
    </row>
    <row r="49" spans="2:81" x14ac:dyDescent="0.3">
      <c r="B49">
        <v>48</v>
      </c>
      <c r="C49" s="1">
        <v>2</v>
      </c>
      <c r="D49" s="2">
        <f t="shared" ca="1" si="5"/>
        <v>0.36837537742944237</v>
      </c>
      <c r="E49" s="2">
        <f t="shared" ca="1" si="5"/>
        <v>0.87723133019185584</v>
      </c>
      <c r="F49" s="2">
        <f t="shared" ca="1" si="5"/>
        <v>0.87890262389236462</v>
      </c>
      <c r="G49" s="2">
        <f t="shared" ca="1" si="5"/>
        <v>0.26023535649194685</v>
      </c>
      <c r="H49" s="2">
        <f t="shared" ca="1" si="5"/>
        <v>7.3975877234253695E-2</v>
      </c>
      <c r="I49" s="2">
        <f t="shared" ca="1" si="5"/>
        <v>0.51645998752622901</v>
      </c>
      <c r="J49" s="2">
        <f t="shared" ca="1" si="5"/>
        <v>1.2000319917821689E-2</v>
      </c>
      <c r="K49" s="2">
        <f t="shared" ca="1" si="5"/>
        <v>0.32233767288949955</v>
      </c>
      <c r="L49" s="2">
        <f t="shared" ca="1" si="5"/>
        <v>0.67051141608753462</v>
      </c>
      <c r="M49" s="2">
        <f t="shared" ca="1" si="5"/>
        <v>0.66211250211472239</v>
      </c>
      <c r="N49" s="2">
        <f t="shared" ca="1" si="5"/>
        <v>0.55357188661228418</v>
      </c>
      <c r="O49" s="2">
        <f t="shared" ca="1" si="5"/>
        <v>0.98080127216440094</v>
      </c>
      <c r="P49" s="2">
        <f t="shared" ca="1" si="5"/>
        <v>0.40490511289476405</v>
      </c>
      <c r="Q49" s="2">
        <f t="shared" ca="1" si="4"/>
        <v>0.36131240729547931</v>
      </c>
      <c r="R49" s="2">
        <f t="shared" ca="1" si="4"/>
        <v>0.17822860150486153</v>
      </c>
      <c r="S49" s="2">
        <f t="shared" ca="1" si="4"/>
        <v>0.91943200293865734</v>
      </c>
      <c r="T49" s="2">
        <f t="shared" ca="1" si="4"/>
        <v>0.38552610694041056</v>
      </c>
      <c r="U49" s="2">
        <f t="shared" ca="1" si="4"/>
        <v>0.8237376995852016</v>
      </c>
      <c r="V49" s="2">
        <f t="shared" ca="1" si="4"/>
        <v>0.28705142510688797</v>
      </c>
      <c r="W49" s="2">
        <f t="shared" ca="1" si="4"/>
        <v>0.47213755503997856</v>
      </c>
      <c r="X49" s="2">
        <f t="shared" ca="1" si="4"/>
        <v>3.3720325899746828E-2</v>
      </c>
      <c r="Y49" s="2">
        <f t="shared" ca="1" si="4"/>
        <v>0.40448936819089332</v>
      </c>
      <c r="Z49" s="2">
        <f t="shared" ca="1" si="4"/>
        <v>0.97125635738669713</v>
      </c>
      <c r="AA49" s="2">
        <f t="shared" ca="1" si="4"/>
        <v>0.7402240552584205</v>
      </c>
      <c r="AB49" s="2">
        <f ca="1">D49*Sheet2!C$16/_xlfn.STDEV.S(D$32:D$61)</f>
        <v>1.7752986735965595</v>
      </c>
      <c r="AC49" s="2">
        <f ca="1">E49*Sheet2!D$16/_xlfn.STDEV.S(E$32:E$61)</f>
        <v>6.2505822818758441</v>
      </c>
      <c r="AD49" s="2">
        <f ca="1">F49*Sheet2!E$16/_xlfn.STDEV.S(F$32:F$61)</f>
        <v>5.0149379829503502</v>
      </c>
      <c r="AE49" s="2">
        <f ca="1">G49*Sheet2!F$16/_xlfn.STDEV.S(G$32:G$61)</f>
        <v>2.1324727158806764</v>
      </c>
      <c r="AF49" s="2">
        <f ca="1">H49*Sheet2!G$16/_xlfn.STDEV.S(H$32:H$61)</f>
        <v>1.1341869392201507</v>
      </c>
      <c r="AG49" s="2">
        <f ca="1">I49*Sheet2!H$16/_xlfn.STDEV.S(I$32:I$61)</f>
        <v>5.5327816574462281</v>
      </c>
      <c r="AH49" s="2">
        <f ca="1">J49*Sheet2!I$16/_xlfn.STDEV.S(J$32:J$61)</f>
        <v>2.9121505051387241E-2</v>
      </c>
      <c r="AI49" s="2">
        <f ca="1">K49*Sheet2!J$16/_xlfn.STDEV.S(K$32:K$61)</f>
        <v>1.0748333836176471</v>
      </c>
      <c r="AJ49" s="2">
        <f ca="1">L49*Sheet2!K$16/_xlfn.STDEV.S(L$32:L$61)</f>
        <v>4.3843585377291507</v>
      </c>
      <c r="AK49" s="2">
        <f ca="1">M49*Sheet2!L$16/_xlfn.STDEV.S(M$32:M$61)</f>
        <v>3.6777266229839736</v>
      </c>
      <c r="AL49" s="2">
        <f ca="1">N49*Sheet2!M$16/_xlfn.STDEV.S(N$32:N$61)</f>
        <v>1.4243471240768388</v>
      </c>
      <c r="AM49" s="2">
        <f ca="1">O49*Sheet2!N$16/_xlfn.STDEV.S(O$32:O$61)</f>
        <v>2.27497822954399</v>
      </c>
      <c r="AN49" s="2">
        <f ca="1">P49*Sheet2!O$16/_xlfn.STDEV.S(P$32:P$61)</f>
        <v>1.5472085417641417</v>
      </c>
      <c r="AO49" s="2">
        <f ca="1">Q49*Sheet2!P$16/_xlfn.STDEV.S(Q$32:Q$61)</f>
        <v>2.350829433044467</v>
      </c>
      <c r="AP49" s="2">
        <f ca="1">R49*Sheet2!Q$16/_xlfn.STDEV.S(R$32:R$61)</f>
        <v>0.62431153107349235</v>
      </c>
      <c r="AQ49" s="2">
        <f ca="1">S49*Sheet2!R$16/_xlfn.STDEV.S(S$32:S$61)</f>
        <v>2.9233529273008596</v>
      </c>
      <c r="AR49" s="2">
        <f ca="1">T49*Sheet2!S$16/_xlfn.STDEV.S(T$32:T$61)</f>
        <v>0.93072353678060971</v>
      </c>
      <c r="AS49" s="2">
        <f ca="1">U49*Sheet2!T$16/_xlfn.STDEV.S(U$32:U$61)</f>
        <v>4.5748385250151999</v>
      </c>
      <c r="AT49" s="2">
        <f ca="1">V49*Sheet2!U$16/_xlfn.STDEV.S(V$32:V$61)</f>
        <v>0.72144225158707731</v>
      </c>
      <c r="AU49" s="2">
        <f ca="1">W49*Sheet2!V$16/_xlfn.STDEV.S(W$32:W$61)</f>
        <v>2.1422454412619603</v>
      </c>
      <c r="AV49" s="2">
        <f ca="1">X49*Sheet2!W$16/_xlfn.STDEV.S(X$32:X$61)</f>
        <v>0.17429026504485728</v>
      </c>
      <c r="AW49" s="2">
        <f ca="1">Y49*Sheet2!X$16/_xlfn.STDEV.S(Y$32:Y$61)</f>
        <v>1.5339237766255627</v>
      </c>
      <c r="AX49" s="2">
        <f ca="1">Z49*Sheet2!Y$16/_xlfn.STDEV.S(Z$32:Z$61)</f>
        <v>3.8082445718728057</v>
      </c>
      <c r="AY49" s="2">
        <f ca="1">AA49*Sheet2!Z$16/_xlfn.STDEV.S(AA$32:AA$61)</f>
        <v>1.3636209837854814</v>
      </c>
      <c r="AZ49" s="2">
        <f ca="1">AB49-AVERAGE(AB$32:AB$61)+Sheet2!C$15</f>
        <v>3.7819065158975338</v>
      </c>
      <c r="BA49" s="2">
        <f ca="1">AC49-AVERAGE(AC$32:AC$61)+Sheet2!D$15</f>
        <v>11.610897359324865</v>
      </c>
      <c r="BB49" s="2">
        <f ca="1">AD49-AVERAGE(AD$32:AD$61)+Sheet2!E$15</f>
        <v>19.794284732742561</v>
      </c>
      <c r="BC49" s="2">
        <f ca="1">AE49-AVERAGE(AE$32:AE$61)+Sheet2!F$15</f>
        <v>14.885231245816414</v>
      </c>
      <c r="BD49" s="2">
        <f ca="1">AF49-AVERAGE(AF$32:AF$61)+Sheet2!G$15</f>
        <v>15.681134973190483</v>
      </c>
      <c r="BE49" s="2">
        <f ca="1">AG49-AVERAGE(AG$32:AG$61)+Sheet2!H$15</f>
        <v>30.929656460335408</v>
      </c>
      <c r="BF49" s="2">
        <f ca="1">AH49-AVERAGE(AH$32:AH$61)+Sheet2!I$15</f>
        <v>11.361368644200917</v>
      </c>
      <c r="BG49" s="2">
        <f ca="1">AI49-AVERAGE(AI$32:AI$61)+Sheet2!J$15</f>
        <v>21.713146836870397</v>
      </c>
      <c r="BH49" s="2">
        <f ca="1">AJ49-AVERAGE(AJ$32:AJ$61)+Sheet2!K$15</f>
        <v>25.862821876465137</v>
      </c>
      <c r="BI49" s="2">
        <f ca="1">AK49-AVERAGE(AK$32:AK$61)+Sheet2!L$15</f>
        <v>24.132099873945858</v>
      </c>
      <c r="BJ49" s="2">
        <f ca="1">AL49-AVERAGE(AL$32:AL$61)+Sheet2!M$15</f>
        <v>16.978174338526024</v>
      </c>
      <c r="BK49" s="2">
        <f ca="1">AM49-AVERAGE(AM$32:AM$61)+Sheet2!N$15</f>
        <v>9.5825892972516176</v>
      </c>
      <c r="BL49" s="2">
        <f ca="1">AN49-AVERAGE(AN$32:AN$61)+Sheet2!O$15</f>
        <v>4.6127086782335711</v>
      </c>
      <c r="BM49" s="2">
        <f ca="1">AO49-AVERAGE(AO$32:AO$61)+Sheet2!P$15</f>
        <v>22.024142339992967</v>
      </c>
      <c r="BN49" s="2">
        <f ca="1">AP49-AVERAGE(AP$32:AP$61)+Sheet2!Q$15</f>
        <v>8.4144758125539809</v>
      </c>
      <c r="BO49" s="2">
        <f ca="1">AQ49-AVERAGE(AQ$32:AQ$61)+Sheet2!R$15</f>
        <v>10.705335920085439</v>
      </c>
      <c r="BP49" s="2">
        <f ca="1">AR49-AVERAGE(AR$32:AR$61)+Sheet2!S$15</f>
        <v>3.4875132080299855</v>
      </c>
      <c r="BQ49" s="2">
        <f ca="1">AS49-AVERAGE(AS$32:AS$61)+Sheet2!T$15</f>
        <v>19.504364779448689</v>
      </c>
      <c r="BR49" s="2">
        <f ca="1">AT49-AVERAGE(AT$32:AT$61)+Sheet2!U$15</f>
        <v>23.27908738984264</v>
      </c>
      <c r="BS49" s="2">
        <f ca="1">AU49-AVERAGE(AU$32:AU$61)+Sheet2!V$15</f>
        <v>21.950022173724424</v>
      </c>
      <c r="BT49" s="2">
        <f ca="1">AV49-AVERAGE(AV$32:AV$61)+Sheet2!W$15</f>
        <v>24.195528216259955</v>
      </c>
      <c r="BU49" s="2">
        <f ca="1">AW49-AVERAGE(AW$32:AW$61)+Sheet2!X$15</f>
        <v>21.501172567377559</v>
      </c>
      <c r="BV49" s="2">
        <f ca="1">AX49-AVERAGE(AX$32:AX$61)+Sheet2!Y$15</f>
        <v>23.483442414064928</v>
      </c>
      <c r="BW49" s="2">
        <f ca="1">AY49-AVERAGE(AY$32:AY$61)+Sheet2!Z$15</f>
        <v>8.4077554427227685</v>
      </c>
      <c r="BZ49" s="2">
        <f ca="1">BA49-AVERAGE(AH$32:AH$61)+Sheet2!AB$15</f>
        <v>10.294349752911545</v>
      </c>
      <c r="CA49" s="2">
        <f ca="1">BB49-AVERAGE(AI$32:AI$61)+Sheet2!AC$15</f>
        <v>18.333895537164455</v>
      </c>
      <c r="CB49" s="2">
        <f ca="1">BC49-AVERAGE(AJ$32:AJ$61)+Sheet2!AD$15</f>
        <v>11.857384025249445</v>
      </c>
      <c r="CC49" s="2">
        <f ca="1">BD49-AVERAGE(AK$32:AK$61)+Sheet2!AE$15</f>
        <v>13.019179245503011</v>
      </c>
    </row>
    <row r="50" spans="2:81" x14ac:dyDescent="0.3">
      <c r="B50">
        <v>49</v>
      </c>
      <c r="C50" s="1">
        <v>2</v>
      </c>
      <c r="D50" s="2">
        <f t="shared" ca="1" si="5"/>
        <v>0.83197773586852086</v>
      </c>
      <c r="E50" s="2">
        <f t="shared" ca="1" si="5"/>
        <v>0.22855886462921171</v>
      </c>
      <c r="F50" s="2">
        <f t="shared" ca="1" si="5"/>
        <v>0.78087761958969015</v>
      </c>
      <c r="G50" s="2">
        <f t="shared" ca="1" si="5"/>
        <v>3.9440246281460589E-2</v>
      </c>
      <c r="H50" s="2">
        <f t="shared" ca="1" si="5"/>
        <v>0.27109903947107028</v>
      </c>
      <c r="I50" s="2">
        <f t="shared" ca="1" si="5"/>
        <v>3.0765922707096327E-2</v>
      </c>
      <c r="J50" s="2">
        <f t="shared" ca="1" si="5"/>
        <v>0.18872334678186398</v>
      </c>
      <c r="K50" s="2">
        <f t="shared" ca="1" si="5"/>
        <v>0.93519228887087946</v>
      </c>
      <c r="L50" s="2">
        <f t="shared" ca="1" si="5"/>
        <v>0.30992638471137157</v>
      </c>
      <c r="M50" s="2">
        <f t="shared" ca="1" si="5"/>
        <v>0.12994314741743285</v>
      </c>
      <c r="N50" s="2">
        <f t="shared" ca="1" si="5"/>
        <v>0.16837578516497909</v>
      </c>
      <c r="O50" s="2">
        <f t="shared" ca="1" si="5"/>
        <v>3.725990457195627E-2</v>
      </c>
      <c r="P50" s="2">
        <f t="shared" ca="1" si="5"/>
        <v>0.7910607201474813</v>
      </c>
      <c r="Q50" s="2">
        <f t="shared" ca="1" si="4"/>
        <v>0.4598093645048662</v>
      </c>
      <c r="R50" s="2">
        <f t="shared" ca="1" si="4"/>
        <v>0.17123061210872859</v>
      </c>
      <c r="S50" s="2">
        <f t="shared" ca="1" si="4"/>
        <v>0.62702151917446303</v>
      </c>
      <c r="T50" s="2">
        <f t="shared" ca="1" si="4"/>
        <v>0.67765726971712015</v>
      </c>
      <c r="U50" s="2">
        <f t="shared" ca="1" si="4"/>
        <v>0.45735979528968296</v>
      </c>
      <c r="V50" s="2">
        <f t="shared" ca="1" si="4"/>
        <v>0.75405586926252233</v>
      </c>
      <c r="W50" s="2">
        <f t="shared" ca="1" si="4"/>
        <v>0.41554269597310423</v>
      </c>
      <c r="X50" s="2">
        <f t="shared" ca="1" si="4"/>
        <v>0.78341469810423581</v>
      </c>
      <c r="Y50" s="2">
        <f t="shared" ca="1" si="4"/>
        <v>0.42856055488544509</v>
      </c>
      <c r="Z50" s="2">
        <f t="shared" ca="1" si="4"/>
        <v>3.6802026712055791E-2</v>
      </c>
      <c r="AA50" s="2">
        <f t="shared" ca="1" si="4"/>
        <v>0.49750889375750096</v>
      </c>
      <c r="AB50" s="2">
        <f ca="1">D50*Sheet2!C$16/_xlfn.STDEV.S(D$32:D$61)</f>
        <v>4.0095214323388264</v>
      </c>
      <c r="AC50" s="2">
        <f ca="1">E50*Sheet2!D$16/_xlfn.STDEV.S(E$32:E$61)</f>
        <v>1.6285624332461555</v>
      </c>
      <c r="AD50" s="2">
        <f ca="1">F50*Sheet2!E$16/_xlfn.STDEV.S(F$32:F$61)</f>
        <v>4.4556162742731482</v>
      </c>
      <c r="AE50" s="2">
        <f ca="1">G50*Sheet2!F$16/_xlfn.STDEV.S(G$32:G$61)</f>
        <v>0.32318917089742838</v>
      </c>
      <c r="AF50" s="2">
        <f ca="1">H50*Sheet2!G$16/_xlfn.STDEV.S(H$32:H$61)</f>
        <v>4.1564493899754966</v>
      </c>
      <c r="AG50" s="2">
        <f ca="1">I50*Sheet2!H$16/_xlfn.STDEV.S(I$32:I$61)</f>
        <v>0.32959210188492305</v>
      </c>
      <c r="AH50" s="2">
        <f ca="1">J50*Sheet2!I$16/_xlfn.STDEV.S(J$32:J$61)</f>
        <v>0.45798011505183112</v>
      </c>
      <c r="AI50" s="2">
        <f ca="1">K50*Sheet2!J$16/_xlfn.STDEV.S(K$32:K$61)</f>
        <v>3.1183940839729378</v>
      </c>
      <c r="AJ50" s="2">
        <f ca="1">L50*Sheet2!K$16/_xlfn.STDEV.S(L$32:L$61)</f>
        <v>2.0265551909699888</v>
      </c>
      <c r="AK50" s="2">
        <f ca="1">M50*Sheet2!L$16/_xlfn.STDEV.S(M$32:M$61)</f>
        <v>0.72177367321274399</v>
      </c>
      <c r="AL50" s="2">
        <f ca="1">N50*Sheet2!M$16/_xlfn.STDEV.S(N$32:N$61)</f>
        <v>0.43323292089774945</v>
      </c>
      <c r="AM50" s="2">
        <f ca="1">O50*Sheet2!N$16/_xlfn.STDEV.S(O$32:O$61)</f>
        <v>8.642471634343353E-2</v>
      </c>
      <c r="AN50" s="2">
        <f ca="1">P50*Sheet2!O$16/_xlfn.STDEV.S(P$32:P$61)</f>
        <v>3.0227721613986649</v>
      </c>
      <c r="AO50" s="2">
        <f ca="1">Q50*Sheet2!P$16/_xlfn.STDEV.S(Q$32:Q$61)</f>
        <v>2.991686324194037</v>
      </c>
      <c r="AP50" s="2">
        <f ca="1">R50*Sheet2!Q$16/_xlfn.STDEV.S(R$32:R$61)</f>
        <v>0.59979848750221876</v>
      </c>
      <c r="AQ50" s="2">
        <f ca="1">S50*Sheet2!R$16/_xlfn.STDEV.S(S$32:S$61)</f>
        <v>1.9936277916155949</v>
      </c>
      <c r="AR50" s="2">
        <f ca="1">T50*Sheet2!S$16/_xlfn.STDEV.S(T$32:T$61)</f>
        <v>1.6359762917267147</v>
      </c>
      <c r="AS50" s="2">
        <f ca="1">U50*Sheet2!T$16/_xlfn.STDEV.S(U$32:U$61)</f>
        <v>2.5400648924262201</v>
      </c>
      <c r="AT50" s="2">
        <f ca="1">V50*Sheet2!U$16/_xlfn.STDEV.S(V$32:V$61)</f>
        <v>1.8951578587029669</v>
      </c>
      <c r="AU50" s="2">
        <f ca="1">W50*Sheet2!V$16/_xlfn.STDEV.S(W$32:W$61)</f>
        <v>1.8854557037359789</v>
      </c>
      <c r="AV50" s="2">
        <f ca="1">X50*Sheet2!W$16/_xlfn.STDEV.S(X$32:X$61)</f>
        <v>4.049235934983928</v>
      </c>
      <c r="AW50" s="2">
        <f ca="1">Y50*Sheet2!X$16/_xlfn.STDEV.S(Y$32:Y$61)</f>
        <v>1.6252076730787823</v>
      </c>
      <c r="AX50" s="2">
        <f ca="1">Z50*Sheet2!Y$16/_xlfn.STDEV.S(Z$32:Z$61)</f>
        <v>0.14429879134814719</v>
      </c>
      <c r="AY50" s="2">
        <f ca="1">AA50*Sheet2!Z$16/_xlfn.STDEV.S(AA$32:AA$61)</f>
        <v>0.91649759600258895</v>
      </c>
      <c r="AZ50" s="2">
        <f ca="1">AB50-AVERAGE(AB$32:AB$61)+Sheet2!C$15</f>
        <v>6.0161292746398001</v>
      </c>
      <c r="BA50" s="2">
        <f ca="1">AC50-AVERAGE(AC$32:AC$61)+Sheet2!D$15</f>
        <v>6.9888775106951755</v>
      </c>
      <c r="BB50" s="2">
        <f ca="1">AD50-AVERAGE(AD$32:AD$61)+Sheet2!E$15</f>
        <v>19.234963024065358</v>
      </c>
      <c r="BC50" s="2">
        <f ca="1">AE50-AVERAGE(AE$32:AE$61)+Sheet2!F$15</f>
        <v>13.075947700833167</v>
      </c>
      <c r="BD50" s="2">
        <f ca="1">AF50-AVERAGE(AF$32:AF$61)+Sheet2!G$15</f>
        <v>18.70339742394583</v>
      </c>
      <c r="BE50" s="2">
        <f ca="1">AG50-AVERAGE(AG$32:AG$61)+Sheet2!H$15</f>
        <v>25.726466904774107</v>
      </c>
      <c r="BF50" s="2">
        <f ca="1">AH50-AVERAGE(AH$32:AH$61)+Sheet2!I$15</f>
        <v>11.79022725420136</v>
      </c>
      <c r="BG50" s="2">
        <f ca="1">AI50-AVERAGE(AI$32:AI$61)+Sheet2!J$15</f>
        <v>23.756707537225687</v>
      </c>
      <c r="BH50" s="2">
        <f ca="1">AJ50-AVERAGE(AJ$32:AJ$61)+Sheet2!K$15</f>
        <v>23.505018529705975</v>
      </c>
      <c r="BI50" s="2">
        <f ca="1">AK50-AVERAGE(AK$32:AK$61)+Sheet2!L$15</f>
        <v>21.176146924174628</v>
      </c>
      <c r="BJ50" s="2">
        <f ca="1">AL50-AVERAGE(AL$32:AL$61)+Sheet2!M$15</f>
        <v>15.987060135346935</v>
      </c>
      <c r="BK50" s="2">
        <f ca="1">AM50-AVERAGE(AM$32:AM$61)+Sheet2!N$15</f>
        <v>7.3940357840510611</v>
      </c>
      <c r="BL50" s="2">
        <f ca="1">AN50-AVERAGE(AN$32:AN$61)+Sheet2!O$15</f>
        <v>6.0882722978680945</v>
      </c>
      <c r="BM50" s="2">
        <f ca="1">AO50-AVERAGE(AO$32:AO$61)+Sheet2!P$15</f>
        <v>22.664999231142538</v>
      </c>
      <c r="BN50" s="2">
        <f ca="1">AP50-AVERAGE(AP$32:AP$61)+Sheet2!Q$15</f>
        <v>8.3899627689827074</v>
      </c>
      <c r="BO50" s="2">
        <f ca="1">AQ50-AVERAGE(AQ$32:AQ$61)+Sheet2!R$15</f>
        <v>9.7756107844001754</v>
      </c>
      <c r="BP50" s="2">
        <f ca="1">AR50-AVERAGE(AR$32:AR$61)+Sheet2!S$15</f>
        <v>4.1927659629760905</v>
      </c>
      <c r="BQ50" s="2">
        <f ca="1">AS50-AVERAGE(AS$32:AS$61)+Sheet2!T$15</f>
        <v>17.46959114685971</v>
      </c>
      <c r="BR50" s="2">
        <f ca="1">AT50-AVERAGE(AT$32:AT$61)+Sheet2!U$15</f>
        <v>24.452802996958532</v>
      </c>
      <c r="BS50" s="2">
        <f ca="1">AU50-AVERAGE(AU$32:AU$61)+Sheet2!V$15</f>
        <v>21.693232436198443</v>
      </c>
      <c r="BT50" s="2">
        <f ca="1">AV50-AVERAGE(AV$32:AV$61)+Sheet2!W$15</f>
        <v>28.070473886199025</v>
      </c>
      <c r="BU50" s="2">
        <f ca="1">AW50-AVERAGE(AW$32:AW$61)+Sheet2!X$15</f>
        <v>21.592456463830779</v>
      </c>
      <c r="BV50" s="2">
        <f ca="1">AX50-AVERAGE(AX$32:AX$61)+Sheet2!Y$15</f>
        <v>19.819496633540272</v>
      </c>
      <c r="BW50" s="2">
        <f ca="1">AY50-AVERAGE(AY$32:AY$61)+Sheet2!Z$15</f>
        <v>7.9606320549398761</v>
      </c>
      <c r="BZ50" s="2">
        <f ca="1">BA50-AVERAGE(AH$32:AH$61)+Sheet2!AB$15</f>
        <v>5.672329904281856</v>
      </c>
      <c r="CA50" s="2">
        <f ca="1">BB50-AVERAGE(AI$32:AI$61)+Sheet2!AC$15</f>
        <v>17.774573828487252</v>
      </c>
      <c r="CB50" s="2">
        <f ca="1">BC50-AVERAGE(AJ$32:AJ$61)+Sheet2!AD$15</f>
        <v>10.048100480266198</v>
      </c>
      <c r="CC50" s="2">
        <f ca="1">BD50-AVERAGE(AK$32:AK$61)+Sheet2!AE$15</f>
        <v>16.041441696258357</v>
      </c>
    </row>
    <row r="51" spans="2:81" x14ac:dyDescent="0.3">
      <c r="B51">
        <v>50</v>
      </c>
      <c r="C51" s="1">
        <v>2</v>
      </c>
      <c r="D51" s="2">
        <f t="shared" ca="1" si="5"/>
        <v>0.69085141859591281</v>
      </c>
      <c r="E51" s="2">
        <f t="shared" ca="1" si="5"/>
        <v>0.68886214973181159</v>
      </c>
      <c r="F51" s="2">
        <f t="shared" ca="1" si="5"/>
        <v>0.71789060851052611</v>
      </c>
      <c r="G51" s="2">
        <f t="shared" ca="1" si="5"/>
        <v>0.77102987100159837</v>
      </c>
      <c r="H51" s="2">
        <f t="shared" ca="1" si="5"/>
        <v>0.49459876697743721</v>
      </c>
      <c r="I51" s="2">
        <f t="shared" ca="1" si="5"/>
        <v>0.10452623136145134</v>
      </c>
      <c r="J51" s="2">
        <f t="shared" ca="1" si="5"/>
        <v>0.58165512093879246</v>
      </c>
      <c r="K51" s="2">
        <f t="shared" ca="1" si="5"/>
        <v>0.58842632640906056</v>
      </c>
      <c r="L51" s="2">
        <f t="shared" ca="1" si="5"/>
        <v>0.41571964887602808</v>
      </c>
      <c r="M51" s="2">
        <f t="shared" ca="1" si="5"/>
        <v>0.50431670656181793</v>
      </c>
      <c r="N51" s="2">
        <f t="shared" ca="1" si="5"/>
        <v>0.27863109238689676</v>
      </c>
      <c r="O51" s="2">
        <f t="shared" ca="1" si="5"/>
        <v>0.26138514807403623</v>
      </c>
      <c r="P51" s="2">
        <f t="shared" ca="1" si="5"/>
        <v>0.21309260900353466</v>
      </c>
      <c r="Q51" s="2">
        <f t="shared" ca="1" si="4"/>
        <v>0.53313984261755276</v>
      </c>
      <c r="R51" s="2">
        <f t="shared" ca="1" si="4"/>
        <v>0.94958898607757614</v>
      </c>
      <c r="S51" s="2">
        <f t="shared" ca="1" si="4"/>
        <v>1.8317968034070597E-2</v>
      </c>
      <c r="T51" s="2">
        <f t="shared" ca="1" si="4"/>
        <v>0.20169601136436544</v>
      </c>
      <c r="U51" s="2">
        <f t="shared" ca="1" si="4"/>
        <v>0.67044510105126165</v>
      </c>
      <c r="V51" s="2">
        <f t="shared" ca="1" si="4"/>
        <v>0.8864734001382486</v>
      </c>
      <c r="W51" s="2">
        <f t="shared" ca="1" si="4"/>
        <v>0.35900752723033402</v>
      </c>
      <c r="X51" s="2">
        <f t="shared" ca="1" si="4"/>
        <v>0.83192973772187229</v>
      </c>
      <c r="Y51" s="2">
        <f t="shared" ca="1" si="4"/>
        <v>9.4031060060827287E-2</v>
      </c>
      <c r="Z51" s="2">
        <f t="shared" ca="1" si="4"/>
        <v>0.80761358369416048</v>
      </c>
      <c r="AA51" s="2">
        <f t="shared" ca="1" si="4"/>
        <v>0.88111419872386298</v>
      </c>
      <c r="AB51" s="2">
        <f ca="1">D51*Sheet2!C$16/_xlfn.STDEV.S(D$32:D$61)</f>
        <v>3.3293962686758012</v>
      </c>
      <c r="AC51" s="2">
        <f ca="1">E51*Sheet2!D$16/_xlfn.STDEV.S(E$32:E$61)</f>
        <v>4.908385507420105</v>
      </c>
      <c r="AD51" s="2">
        <f ca="1">F51*Sheet2!E$16/_xlfn.STDEV.S(F$32:F$61)</f>
        <v>4.0962181501732271</v>
      </c>
      <c r="AE51" s="2">
        <f ca="1">G51*Sheet2!F$16/_xlfn.STDEV.S(G$32:G$61)</f>
        <v>6.3181275027507144</v>
      </c>
      <c r="AF51" s="2">
        <f ca="1">H51*Sheet2!G$16/_xlfn.STDEV.S(H$32:H$61)</f>
        <v>7.5831133422565262</v>
      </c>
      <c r="AG51" s="2">
        <f ca="1">I51*Sheet2!H$16/_xlfn.STDEV.S(I$32:I$61)</f>
        <v>1.1197785492903221</v>
      </c>
      <c r="AH51" s="2">
        <f ca="1">J51*Sheet2!I$16/_xlfn.STDEV.S(J$32:J$61)</f>
        <v>1.4115184143906581</v>
      </c>
      <c r="AI51" s="2">
        <f ca="1">K51*Sheet2!J$16/_xlfn.STDEV.S(K$32:K$61)</f>
        <v>1.9621046890189782</v>
      </c>
      <c r="AJ51" s="2">
        <f ca="1">L51*Sheet2!K$16/_xlfn.STDEV.S(L$32:L$61)</f>
        <v>2.718319104075376</v>
      </c>
      <c r="AK51" s="2">
        <f ca="1">M51*Sheet2!L$16/_xlfn.STDEV.S(M$32:M$61)</f>
        <v>2.8012444595354111</v>
      </c>
      <c r="AL51" s="2">
        <f ca="1">N51*Sheet2!M$16/_xlfn.STDEV.S(N$32:N$61)</f>
        <v>0.71692115282152347</v>
      </c>
      <c r="AM51" s="2">
        <f ca="1">O51*Sheet2!N$16/_xlfn.STDEV.S(O$32:O$61)</f>
        <v>0.60628543036278881</v>
      </c>
      <c r="AN51" s="2">
        <f ca="1">P51*Sheet2!O$16/_xlfn.STDEV.S(P$32:P$61)</f>
        <v>0.81426164880947027</v>
      </c>
      <c r="AO51" s="2">
        <f ca="1">Q51*Sheet2!P$16/_xlfn.STDEV.S(Q$32:Q$61)</f>
        <v>3.4688009839891238</v>
      </c>
      <c r="AP51" s="2">
        <f ca="1">R51*Sheet2!Q$16/_xlfn.STDEV.S(R$32:R$61)</f>
        <v>3.3262862906571473</v>
      </c>
      <c r="AQ51" s="2">
        <f ca="1">S51*Sheet2!R$16/_xlfn.STDEV.S(S$32:S$61)</f>
        <v>5.8242355392731086E-2</v>
      </c>
      <c r="AR51" s="2">
        <f ca="1">T51*Sheet2!S$16/_xlfn.STDEV.S(T$32:T$61)</f>
        <v>0.48692740043309179</v>
      </c>
      <c r="AS51" s="2">
        <f ca="1">U51*Sheet2!T$16/_xlfn.STDEV.S(U$32:U$61)</f>
        <v>3.7234887740861176</v>
      </c>
      <c r="AT51" s="2">
        <f ca="1">V51*Sheet2!U$16/_xlfn.STDEV.S(V$32:V$61)</f>
        <v>2.2279609499574788</v>
      </c>
      <c r="AU51" s="2">
        <f ca="1">W51*Sheet2!V$16/_xlfn.STDEV.S(W$32:W$61)</f>
        <v>1.6289368011040546</v>
      </c>
      <c r="AV51" s="2">
        <f ca="1">X51*Sheet2!W$16/_xlfn.STDEV.S(X$32:X$61)</f>
        <v>4.2999956440911022</v>
      </c>
      <c r="AW51" s="2">
        <f ca="1">Y51*Sheet2!X$16/_xlfn.STDEV.S(Y$32:Y$61)</f>
        <v>0.35658904809715253</v>
      </c>
      <c r="AX51" s="2">
        <f ca="1">Z51*Sheet2!Y$16/_xlfn.STDEV.S(Z$32:Z$61)</f>
        <v>3.1666099510013419</v>
      </c>
      <c r="AY51" s="2">
        <f ca="1">AA51*Sheet2!Z$16/_xlfn.STDEV.S(AA$32:AA$61)</f>
        <v>1.6231650430108369</v>
      </c>
      <c r="AZ51" s="2">
        <f ca="1">AB51-AVERAGE(AB$32:AB$61)+Sheet2!C$15</f>
        <v>5.3360041109767753</v>
      </c>
      <c r="BA51" s="2">
        <f ca="1">AC51-AVERAGE(AC$32:AC$61)+Sheet2!D$15</f>
        <v>10.268700584869126</v>
      </c>
      <c r="BB51" s="2">
        <f ca="1">AD51-AVERAGE(AD$32:AD$61)+Sheet2!E$15</f>
        <v>18.87556489996544</v>
      </c>
      <c r="BC51" s="2">
        <f ca="1">AE51-AVERAGE(AE$32:AE$61)+Sheet2!F$15</f>
        <v>19.070886032686452</v>
      </c>
      <c r="BD51" s="2">
        <f ca="1">AF51-AVERAGE(AF$32:AF$61)+Sheet2!G$15</f>
        <v>22.130061376226859</v>
      </c>
      <c r="BE51" s="2">
        <f ca="1">AG51-AVERAGE(AG$32:AG$61)+Sheet2!H$15</f>
        <v>26.516653352179503</v>
      </c>
      <c r="BF51" s="2">
        <f ca="1">AH51-AVERAGE(AH$32:AH$61)+Sheet2!I$15</f>
        <v>12.743765553540188</v>
      </c>
      <c r="BG51" s="2">
        <f ca="1">AI51-AVERAGE(AI$32:AI$61)+Sheet2!J$15</f>
        <v>22.600418142271728</v>
      </c>
      <c r="BH51" s="2">
        <f ca="1">AJ51-AVERAGE(AJ$32:AJ$61)+Sheet2!K$15</f>
        <v>24.196782442811362</v>
      </c>
      <c r="BI51" s="2">
        <f ca="1">AK51-AVERAGE(AK$32:AK$61)+Sheet2!L$15</f>
        <v>23.255617710497294</v>
      </c>
      <c r="BJ51" s="2">
        <f ca="1">AL51-AVERAGE(AL$32:AL$61)+Sheet2!M$15</f>
        <v>16.270748367270709</v>
      </c>
      <c r="BK51" s="2">
        <f ca="1">AM51-AVERAGE(AM$32:AM$61)+Sheet2!N$15</f>
        <v>7.9138964980704163</v>
      </c>
      <c r="BL51" s="2">
        <f ca="1">AN51-AVERAGE(AN$32:AN$61)+Sheet2!O$15</f>
        <v>3.8797617852788995</v>
      </c>
      <c r="BM51" s="2">
        <f ca="1">AO51-AVERAGE(AO$32:AO$61)+Sheet2!P$15</f>
        <v>23.142113890937623</v>
      </c>
      <c r="BN51" s="2">
        <f ca="1">AP51-AVERAGE(AP$32:AP$61)+Sheet2!Q$15</f>
        <v>11.116450572137635</v>
      </c>
      <c r="BO51" s="2">
        <f ca="1">AQ51-AVERAGE(AQ$32:AQ$61)+Sheet2!R$15</f>
        <v>7.8402253481773112</v>
      </c>
      <c r="BP51" s="2">
        <f ca="1">AR51-AVERAGE(AR$32:AR$61)+Sheet2!S$15</f>
        <v>3.0437170716824675</v>
      </c>
      <c r="BQ51" s="2">
        <f ca="1">AS51-AVERAGE(AS$32:AS$61)+Sheet2!T$15</f>
        <v>18.653015028519608</v>
      </c>
      <c r="BR51" s="2">
        <f ca="1">AT51-AVERAGE(AT$32:AT$61)+Sheet2!U$15</f>
        <v>24.785606088213044</v>
      </c>
      <c r="BS51" s="2">
        <f ca="1">AU51-AVERAGE(AU$32:AU$61)+Sheet2!V$15</f>
        <v>21.436713533566518</v>
      </c>
      <c r="BT51" s="2">
        <f ca="1">AV51-AVERAGE(AV$32:AV$61)+Sheet2!W$15</f>
        <v>28.3212335953062</v>
      </c>
      <c r="BU51" s="2">
        <f ca="1">AW51-AVERAGE(AW$32:AW$61)+Sheet2!X$15</f>
        <v>20.323837838849148</v>
      </c>
      <c r="BV51" s="2">
        <f ca="1">AX51-AVERAGE(AX$32:AX$61)+Sheet2!Y$15</f>
        <v>22.841807793193468</v>
      </c>
      <c r="BW51" s="2">
        <f ca="1">AY51-AVERAGE(AY$32:AY$61)+Sheet2!Z$15</f>
        <v>8.6672995019481238</v>
      </c>
      <c r="BZ51" s="2">
        <f ca="1">BA51-AVERAGE(AH$32:AH$61)+Sheet2!AB$15</f>
        <v>8.9521529784558069</v>
      </c>
      <c r="CA51" s="2">
        <f ca="1">BB51-AVERAGE(AI$32:AI$61)+Sheet2!AC$15</f>
        <v>17.415175704387334</v>
      </c>
      <c r="CB51" s="2">
        <f ca="1">BC51-AVERAGE(AJ$32:AJ$61)+Sheet2!AD$15</f>
        <v>16.043038812119484</v>
      </c>
      <c r="CC51" s="2">
        <f ca="1">BD51-AVERAGE(AK$32:AK$61)+Sheet2!AE$15</f>
        <v>19.468105648539385</v>
      </c>
    </row>
    <row r="52" spans="2:81" x14ac:dyDescent="0.3">
      <c r="B52">
        <v>51</v>
      </c>
      <c r="C52" s="1">
        <v>2</v>
      </c>
      <c r="D52" s="2">
        <f t="shared" ca="1" si="5"/>
        <v>0.45612780092261107</v>
      </c>
      <c r="E52" s="2">
        <f t="shared" ca="1" si="5"/>
        <v>0.13527565314447165</v>
      </c>
      <c r="F52" s="2">
        <f t="shared" ca="1" si="5"/>
        <v>0.85112657898233202</v>
      </c>
      <c r="G52" s="2">
        <f t="shared" ca="1" si="5"/>
        <v>0.25557101792553294</v>
      </c>
      <c r="H52" s="2">
        <f t="shared" ca="1" si="5"/>
        <v>0.59594644662139107</v>
      </c>
      <c r="I52" s="2">
        <f t="shared" ca="1" si="5"/>
        <v>3.9662849006288581E-2</v>
      </c>
      <c r="J52" s="2">
        <f t="shared" ca="1" si="5"/>
        <v>0.63281202324985752</v>
      </c>
      <c r="K52" s="2">
        <f t="shared" ca="1" si="5"/>
        <v>1.8000382535234838E-3</v>
      </c>
      <c r="L52" s="2">
        <f t="shared" ca="1" si="5"/>
        <v>0.83120453557972951</v>
      </c>
      <c r="M52" s="2">
        <f t="shared" ca="1" si="5"/>
        <v>0.85634802655250941</v>
      </c>
      <c r="N52" s="2">
        <f t="shared" ca="1" si="5"/>
        <v>0.29400925513147402</v>
      </c>
      <c r="O52" s="2">
        <f t="shared" ca="1" si="5"/>
        <v>0.81429278385860504</v>
      </c>
      <c r="P52" s="2">
        <f t="shared" ca="1" si="5"/>
        <v>0.13925454924047453</v>
      </c>
      <c r="Q52" s="2">
        <f t="shared" ca="1" si="5"/>
        <v>0.31682475245368091</v>
      </c>
      <c r="R52" s="2">
        <f t="shared" ca="1" si="5"/>
        <v>0.44979860616695211</v>
      </c>
      <c r="S52" s="2">
        <f t="shared" ca="1" si="5"/>
        <v>5.2785687373020584E-2</v>
      </c>
      <c r="T52" s="2">
        <f t="shared" ca="1" si="4"/>
        <v>0.41088080016171746</v>
      </c>
      <c r="U52" s="2">
        <f t="shared" ca="1" si="4"/>
        <v>0.53169572282528366</v>
      </c>
      <c r="V52" s="2">
        <f t="shared" ca="1" si="4"/>
        <v>0.22145611623434547</v>
      </c>
      <c r="W52" s="2">
        <f t="shared" ca="1" si="4"/>
        <v>0.60904771255078916</v>
      </c>
      <c r="X52" s="2">
        <f t="shared" ca="1" si="4"/>
        <v>0.28914397808215275</v>
      </c>
      <c r="Y52" s="2">
        <f t="shared" ca="1" si="4"/>
        <v>0.70888095907990389</v>
      </c>
      <c r="Z52" s="2">
        <f t="shared" ca="1" si="4"/>
        <v>0.84846920770416812</v>
      </c>
      <c r="AA52" s="2">
        <f t="shared" ca="1" si="4"/>
        <v>0.56237357624901285</v>
      </c>
      <c r="AB52" s="2">
        <f ca="1">D52*Sheet2!C$16/_xlfn.STDEV.S(D$32:D$61)</f>
        <v>2.1982008830748381</v>
      </c>
      <c r="AC52" s="2">
        <f ca="1">E52*Sheet2!D$16/_xlfn.STDEV.S(E$32:E$61)</f>
        <v>0.96388668713996983</v>
      </c>
      <c r="AD52" s="2">
        <f ca="1">F52*Sheet2!E$16/_xlfn.STDEV.S(F$32:F$61)</f>
        <v>4.856450411234424</v>
      </c>
      <c r="AE52" s="2">
        <f ca="1">G52*Sheet2!F$16/_xlfn.STDEV.S(G$32:G$61)</f>
        <v>2.094251257948939</v>
      </c>
      <c r="AF52" s="2">
        <f ca="1">H52*Sheet2!G$16/_xlfn.STDEV.S(H$32:H$61)</f>
        <v>9.1369606080137942</v>
      </c>
      <c r="AG52" s="2">
        <f ca="1">I52*Sheet2!H$16/_xlfn.STDEV.S(I$32:I$61)</f>
        <v>0.42490393982923602</v>
      </c>
      <c r="AH52" s="2">
        <f ca="1">J52*Sheet2!I$16/_xlfn.STDEV.S(J$32:J$61)</f>
        <v>1.5356622704934069</v>
      </c>
      <c r="AI52" s="2">
        <f ca="1">K52*Sheet2!J$16/_xlfn.STDEV.S(K$32:K$61)</f>
        <v>6.0022186961034927E-3</v>
      </c>
      <c r="AJ52" s="2">
        <f ca="1">L52*Sheet2!K$16/_xlfn.STDEV.S(L$32:L$61)</f>
        <v>5.4351031387844726</v>
      </c>
      <c r="AK52" s="2">
        <f ca="1">M52*Sheet2!L$16/_xlfn.STDEV.S(M$32:M$61)</f>
        <v>4.7566145114811027</v>
      </c>
      <c r="AL52" s="2">
        <f ca="1">N52*Sheet2!M$16/_xlfn.STDEV.S(N$32:N$61)</f>
        <v>0.75648935057244249</v>
      </c>
      <c r="AM52" s="2">
        <f ca="1">O52*Sheet2!N$16/_xlfn.STDEV.S(O$32:O$61)</f>
        <v>1.8887601477769924</v>
      </c>
      <c r="AN52" s="2">
        <f ca="1">P52*Sheet2!O$16/_xlfn.STDEV.S(P$32:P$61)</f>
        <v>0.5321143675465887</v>
      </c>
      <c r="AO52" s="2">
        <f ca="1">Q52*Sheet2!P$16/_xlfn.STDEV.S(Q$32:Q$61)</f>
        <v>2.0613766318189182</v>
      </c>
      <c r="AP52" s="2">
        <f ca="1">R52*Sheet2!Q$16/_xlfn.STDEV.S(R$32:R$61)</f>
        <v>1.5755858157432319</v>
      </c>
      <c r="AQ52" s="2">
        <f ca="1">S52*Sheet2!R$16/_xlfn.STDEV.S(S$32:S$61)</f>
        <v>0.16783317657891345</v>
      </c>
      <c r="AR52" s="2">
        <f ca="1">T52*Sheet2!S$16/_xlfn.STDEV.S(T$32:T$61)</f>
        <v>0.9919339433499621</v>
      </c>
      <c r="AS52" s="2">
        <f ca="1">U52*Sheet2!T$16/_xlfn.STDEV.S(U$32:U$61)</f>
        <v>2.9529085260900079</v>
      </c>
      <c r="AT52" s="2">
        <f ca="1">V52*Sheet2!U$16/_xlfn.STDEV.S(V$32:V$61)</f>
        <v>0.55658249759374556</v>
      </c>
      <c r="AU52" s="2">
        <f ca="1">W52*Sheet2!V$16/_xlfn.STDEV.S(W$32:W$61)</f>
        <v>2.76345245531776</v>
      </c>
      <c r="AV52" s="2">
        <f ca="1">X52*Sheet2!W$16/_xlfn.STDEV.S(X$32:X$61)</f>
        <v>1.4944986215700002</v>
      </c>
      <c r="AW52" s="2">
        <f ca="1">Y52*Sheet2!X$16/_xlfn.STDEV.S(Y$32:Y$61)</f>
        <v>2.6882520121434386</v>
      </c>
      <c r="AX52" s="2">
        <f ca="1">Z52*Sheet2!Y$16/_xlfn.STDEV.S(Z$32:Z$61)</f>
        <v>3.3268026819763237</v>
      </c>
      <c r="AY52" s="2">
        <f ca="1">AA52*Sheet2!Z$16/_xlfn.STDEV.S(AA$32:AA$61)</f>
        <v>1.0359895816029883</v>
      </c>
      <c r="AZ52" s="2">
        <f ca="1">AB52-AVERAGE(AB$32:AB$61)+Sheet2!C$15</f>
        <v>4.2048087253758126</v>
      </c>
      <c r="BA52" s="2">
        <f ca="1">AC52-AVERAGE(AC$32:AC$61)+Sheet2!D$15</f>
        <v>6.3242017645889899</v>
      </c>
      <c r="BB52" s="2">
        <f ca="1">AD52-AVERAGE(AD$32:AD$61)+Sheet2!E$15</f>
        <v>19.635797161026634</v>
      </c>
      <c r="BC52" s="2">
        <f ca="1">AE52-AVERAGE(AE$32:AE$61)+Sheet2!F$15</f>
        <v>14.847009787884677</v>
      </c>
      <c r="BD52" s="2">
        <f ca="1">AF52-AVERAGE(AF$32:AF$61)+Sheet2!G$15</f>
        <v>23.683908641984125</v>
      </c>
      <c r="BE52" s="2">
        <f ca="1">AG52-AVERAGE(AG$32:AG$61)+Sheet2!H$15</f>
        <v>25.821778742718418</v>
      </c>
      <c r="BF52" s="2">
        <f ca="1">AH52-AVERAGE(AH$32:AH$61)+Sheet2!I$15</f>
        <v>12.867909409642936</v>
      </c>
      <c r="BG52" s="2">
        <f ca="1">AI52-AVERAGE(AI$32:AI$61)+Sheet2!J$15</f>
        <v>20.644315671948853</v>
      </c>
      <c r="BH52" s="2">
        <f ca="1">AJ52-AVERAGE(AJ$32:AJ$61)+Sheet2!K$15</f>
        <v>26.913566477520458</v>
      </c>
      <c r="BI52" s="2">
        <f ca="1">AK52-AVERAGE(AK$32:AK$61)+Sheet2!L$15</f>
        <v>25.210987762442986</v>
      </c>
      <c r="BJ52" s="2">
        <f ca="1">AL52-AVERAGE(AL$32:AL$61)+Sheet2!M$15</f>
        <v>16.31031656502163</v>
      </c>
      <c r="BK52" s="2">
        <f ca="1">AM52-AVERAGE(AM$32:AM$61)+Sheet2!N$15</f>
        <v>9.1963712154846196</v>
      </c>
      <c r="BL52" s="2">
        <f ca="1">AN52-AVERAGE(AN$32:AN$61)+Sheet2!O$15</f>
        <v>3.5976145040160179</v>
      </c>
      <c r="BM52" s="2">
        <f ca="1">AO52-AVERAGE(AO$32:AO$61)+Sheet2!P$15</f>
        <v>21.734689538767419</v>
      </c>
      <c r="BN52" s="2">
        <f ca="1">AP52-AVERAGE(AP$32:AP$61)+Sheet2!Q$15</f>
        <v>9.3657500972237209</v>
      </c>
      <c r="BO52" s="2">
        <f ca="1">AQ52-AVERAGE(AQ$32:AQ$61)+Sheet2!R$15</f>
        <v>7.9498161693634932</v>
      </c>
      <c r="BP52" s="2">
        <f ca="1">AR52-AVERAGE(AR$32:AR$61)+Sheet2!S$15</f>
        <v>3.5487236145993379</v>
      </c>
      <c r="BQ52" s="2">
        <f ca="1">AS52-AVERAGE(AS$32:AS$61)+Sheet2!T$15</f>
        <v>17.8824347805235</v>
      </c>
      <c r="BR52" s="2">
        <f ca="1">AT52-AVERAGE(AT$32:AT$61)+Sheet2!U$15</f>
        <v>23.114227635849311</v>
      </c>
      <c r="BS52" s="2">
        <f ca="1">AU52-AVERAGE(AU$32:AU$61)+Sheet2!V$15</f>
        <v>22.571229187780222</v>
      </c>
      <c r="BT52" s="2">
        <f ca="1">AV52-AVERAGE(AV$32:AV$61)+Sheet2!W$15</f>
        <v>25.515736572785098</v>
      </c>
      <c r="BU52" s="2">
        <f ca="1">AW52-AVERAGE(AW$32:AW$61)+Sheet2!X$15</f>
        <v>22.655500802895435</v>
      </c>
      <c r="BV52" s="2">
        <f ca="1">AX52-AVERAGE(AX$32:AX$61)+Sheet2!Y$15</f>
        <v>23.002000524168448</v>
      </c>
      <c r="BW52" s="2">
        <f ca="1">AY52-AVERAGE(AY$32:AY$61)+Sheet2!Z$15</f>
        <v>8.0801240405402748</v>
      </c>
      <c r="BZ52" s="2">
        <f ca="1">BA52-AVERAGE(AH$32:AH$61)+Sheet2!AB$15</f>
        <v>5.0076541581756704</v>
      </c>
      <c r="CA52" s="2">
        <f ca="1">BB52-AVERAGE(AI$32:AI$61)+Sheet2!AC$15</f>
        <v>18.175407965448528</v>
      </c>
      <c r="CB52" s="2">
        <f ca="1">BC52-AVERAGE(AJ$32:AJ$61)+Sheet2!AD$15</f>
        <v>11.819162567317708</v>
      </c>
      <c r="CC52" s="2">
        <f ca="1">BD52-AVERAGE(AK$32:AK$61)+Sheet2!AE$15</f>
        <v>21.021952914296651</v>
      </c>
    </row>
    <row r="53" spans="2:81" x14ac:dyDescent="0.3">
      <c r="B53">
        <v>52</v>
      </c>
      <c r="C53" s="1">
        <v>2</v>
      </c>
      <c r="D53" s="2">
        <f t="shared" ref="D53:S70" ca="1" si="6">RAND()</f>
        <v>0.12561565798547947</v>
      </c>
      <c r="E53" s="2">
        <f t="shared" ca="1" si="6"/>
        <v>1.9749081878335795E-2</v>
      </c>
      <c r="F53" s="2">
        <f t="shared" ca="1" si="6"/>
        <v>7.0816314072528086E-2</v>
      </c>
      <c r="G53" s="2">
        <f t="shared" ca="1" si="6"/>
        <v>0.84331976769684647</v>
      </c>
      <c r="H53" s="2">
        <f t="shared" ca="1" si="6"/>
        <v>0.9217216050049275</v>
      </c>
      <c r="I53" s="2">
        <f t="shared" ca="1" si="6"/>
        <v>0.20045979488604981</v>
      </c>
      <c r="J53" s="2">
        <f t="shared" ca="1" si="6"/>
        <v>0.75563146364649991</v>
      </c>
      <c r="K53" s="2">
        <f t="shared" ca="1" si="6"/>
        <v>0.92712756868756552</v>
      </c>
      <c r="L53" s="2">
        <f t="shared" ca="1" si="6"/>
        <v>0.84195391548892962</v>
      </c>
      <c r="M53" s="2">
        <f t="shared" ca="1" si="6"/>
        <v>0.12692653255578745</v>
      </c>
      <c r="N53" s="2">
        <f t="shared" ca="1" si="6"/>
        <v>0.62676594961550691</v>
      </c>
      <c r="O53" s="2">
        <f t="shared" ca="1" si="6"/>
        <v>0.22318991972379021</v>
      </c>
      <c r="P53" s="2">
        <f t="shared" ca="1" si="6"/>
        <v>0.57104409628555841</v>
      </c>
      <c r="Q53" s="2">
        <f t="shared" ca="1" si="6"/>
        <v>0.92466280045694438</v>
      </c>
      <c r="R53" s="2">
        <f t="shared" ca="1" si="6"/>
        <v>0.31571210349345469</v>
      </c>
      <c r="S53" s="2">
        <f t="shared" ca="1" si="6"/>
        <v>0.93877345781144916</v>
      </c>
      <c r="T53" s="2">
        <f t="shared" ca="1" si="4"/>
        <v>0.20812352603308992</v>
      </c>
      <c r="U53" s="2">
        <f t="shared" ca="1" si="4"/>
        <v>0.82662638509876862</v>
      </c>
      <c r="V53" s="2">
        <f t="shared" ca="1" si="4"/>
        <v>0.98721253690502098</v>
      </c>
      <c r="W53" s="2">
        <f t="shared" ca="1" si="4"/>
        <v>0.7672493084427755</v>
      </c>
      <c r="X53" s="2">
        <f t="shared" ca="1" si="4"/>
        <v>0.42899232417720656</v>
      </c>
      <c r="Y53" s="2">
        <f t="shared" ca="1" si="4"/>
        <v>0.81684843454931466</v>
      </c>
      <c r="Z53" s="2">
        <f t="shared" ca="1" si="4"/>
        <v>0.29678836710437084</v>
      </c>
      <c r="AA53" s="2">
        <f t="shared" ca="1" si="4"/>
        <v>0.70124690112475918</v>
      </c>
      <c r="AB53" s="2">
        <f ca="1">D53*Sheet2!C$16/_xlfn.STDEV.S(D$32:D$61)</f>
        <v>0.60537518158985693</v>
      </c>
      <c r="AC53" s="2">
        <f ca="1">E53*Sheet2!D$16/_xlfn.STDEV.S(E$32:E$61)</f>
        <v>0.14071916611213972</v>
      </c>
      <c r="AD53" s="2">
        <f ca="1">F53*Sheet2!E$16/_xlfn.STDEV.S(F$32:F$61)</f>
        <v>0.40407141087151299</v>
      </c>
      <c r="AE53" s="2">
        <f ca="1">G53*Sheet2!F$16/_xlfn.STDEV.S(G$32:G$61)</f>
        <v>6.9104998629654171</v>
      </c>
      <c r="AF53" s="2">
        <f ca="1">H53*Sheet2!G$16/_xlfn.STDEV.S(H$32:H$61)</f>
        <v>14.131695967365435</v>
      </c>
      <c r="AG53" s="2">
        <f ca="1">I53*Sheet2!H$16/_xlfn.STDEV.S(I$32:I$61)</f>
        <v>2.1475047496194319</v>
      </c>
      <c r="AH53" s="2">
        <f ca="1">J53*Sheet2!I$16/_xlfn.STDEV.S(J$32:J$61)</f>
        <v>1.8337115707131146</v>
      </c>
      <c r="AI53" s="2">
        <f ca="1">K53*Sheet2!J$16/_xlfn.STDEV.S(K$32:K$61)</f>
        <v>3.0915023142183906</v>
      </c>
      <c r="AJ53" s="2">
        <f ca="1">L53*Sheet2!K$16/_xlfn.STDEV.S(L$32:L$61)</f>
        <v>5.5053914805627473</v>
      </c>
      <c r="AK53" s="2">
        <f ca="1">M53*Sheet2!L$16/_xlfn.STDEV.S(M$32:M$61)</f>
        <v>0.70501778240487023</v>
      </c>
      <c r="AL53" s="2">
        <f ca="1">N53*Sheet2!M$16/_xlfn.STDEV.S(N$32:N$61)</f>
        <v>1.6126763287554671</v>
      </c>
      <c r="AM53" s="2">
        <f ca="1">O53*Sheet2!N$16/_xlfn.STDEV.S(O$32:O$61)</f>
        <v>0.51769122128563527</v>
      </c>
      <c r="AN53" s="2">
        <f ca="1">P53*Sheet2!O$16/_xlfn.STDEV.S(P$32:P$61)</f>
        <v>2.1820527213906318</v>
      </c>
      <c r="AO53" s="2">
        <f ca="1">Q53*Sheet2!P$16/_xlfn.STDEV.S(Q$32:Q$61)</f>
        <v>6.0161912047981447</v>
      </c>
      <c r="AP53" s="2">
        <f ca="1">R53*Sheet2!Q$16/_xlfn.STDEV.S(R$32:R$61)</f>
        <v>1.1058982960434396</v>
      </c>
      <c r="AQ53" s="2">
        <f ca="1">S53*Sheet2!R$16/_xlfn.STDEV.S(S$32:S$61)</f>
        <v>2.9848494801072838</v>
      </c>
      <c r="AR53" s="2">
        <f ca="1">T53*Sheet2!S$16/_xlfn.STDEV.S(T$32:T$61)</f>
        <v>0.50244447976310247</v>
      </c>
      <c r="AS53" s="2">
        <f ca="1">U53*Sheet2!T$16/_xlfn.STDEV.S(U$32:U$61)</f>
        <v>4.5908815806878671</v>
      </c>
      <c r="AT53" s="2">
        <f ca="1">V53*Sheet2!U$16/_xlfn.STDEV.S(V$32:V$61)</f>
        <v>2.4811471852283757</v>
      </c>
      <c r="AU53" s="2">
        <f ca="1">W53*Sheet2!V$16/_xlfn.STDEV.S(W$32:W$61)</f>
        <v>3.4812658213213976</v>
      </c>
      <c r="AV53" s="2">
        <f ca="1">X53*Sheet2!W$16/_xlfn.STDEV.S(X$32:X$61)</f>
        <v>2.2173328367391623</v>
      </c>
      <c r="AW53" s="2">
        <f ca="1">Y53*Sheet2!X$16/_xlfn.STDEV.S(Y$32:Y$61)</f>
        <v>3.0976913960893895</v>
      </c>
      <c r="AX53" s="2">
        <f ca="1">Z53*Sheet2!Y$16/_xlfn.STDEV.S(Z$32:Z$61)</f>
        <v>1.1636914182588127</v>
      </c>
      <c r="AY53" s="2">
        <f ca="1">AA53*Sheet2!Z$16/_xlfn.STDEV.S(AA$32:AA$61)</f>
        <v>1.291818311490069</v>
      </c>
      <c r="AZ53" s="2">
        <f ca="1">AB53-AVERAGE(AB$32:AB$61)+Sheet2!C$15</f>
        <v>2.611983023890831</v>
      </c>
      <c r="BA53" s="2">
        <f ca="1">AC53-AVERAGE(AC$32:AC$61)+Sheet2!D$15</f>
        <v>5.5010342435611603</v>
      </c>
      <c r="BB53" s="2">
        <f ca="1">AD53-AVERAGE(AD$32:AD$61)+Sheet2!E$15</f>
        <v>15.183418160663724</v>
      </c>
      <c r="BC53" s="2">
        <f ca="1">AE53-AVERAGE(AE$32:AE$61)+Sheet2!F$15</f>
        <v>19.663258392901156</v>
      </c>
      <c r="BD53" s="2">
        <f ca="1">AF53-AVERAGE(AF$32:AF$61)+Sheet2!G$15</f>
        <v>28.678644001335766</v>
      </c>
      <c r="BE53" s="2">
        <f ca="1">AG53-AVERAGE(AG$32:AG$61)+Sheet2!H$15</f>
        <v>27.544379552508612</v>
      </c>
      <c r="BF53" s="2">
        <f ca="1">AH53-AVERAGE(AH$32:AH$61)+Sheet2!I$15</f>
        <v>13.165958709862643</v>
      </c>
      <c r="BG53" s="2">
        <f ca="1">AI53-AVERAGE(AI$32:AI$61)+Sheet2!J$15</f>
        <v>23.729815767471141</v>
      </c>
      <c r="BH53" s="2">
        <f ca="1">AJ53-AVERAGE(AJ$32:AJ$61)+Sheet2!K$15</f>
        <v>26.983854819298735</v>
      </c>
      <c r="BI53" s="2">
        <f ca="1">AK53-AVERAGE(AK$32:AK$61)+Sheet2!L$15</f>
        <v>21.159391033366752</v>
      </c>
      <c r="BJ53" s="2">
        <f ca="1">AL53-AVERAGE(AL$32:AL$61)+Sheet2!M$15</f>
        <v>17.166503543204652</v>
      </c>
      <c r="BK53" s="2">
        <f ca="1">AM53-AVERAGE(AM$32:AM$61)+Sheet2!N$15</f>
        <v>7.8253022889932629</v>
      </c>
      <c r="BL53" s="2">
        <f ca="1">AN53-AVERAGE(AN$32:AN$61)+Sheet2!O$15</f>
        <v>5.247552857860061</v>
      </c>
      <c r="BM53" s="2">
        <f ca="1">AO53-AVERAGE(AO$32:AO$61)+Sheet2!P$15</f>
        <v>25.689504111746643</v>
      </c>
      <c r="BN53" s="2">
        <f ca="1">AP53-AVERAGE(AP$32:AP$61)+Sheet2!Q$15</f>
        <v>8.8960625775239279</v>
      </c>
      <c r="BO53" s="2">
        <f ca="1">AQ53-AVERAGE(AQ$32:AQ$61)+Sheet2!R$15</f>
        <v>10.766832472891863</v>
      </c>
      <c r="BP53" s="2">
        <f ca="1">AR53-AVERAGE(AR$32:AR$61)+Sheet2!S$15</f>
        <v>3.0592341510124781</v>
      </c>
      <c r="BQ53" s="2">
        <f ca="1">AS53-AVERAGE(AS$32:AS$61)+Sheet2!T$15</f>
        <v>19.520407835121357</v>
      </c>
      <c r="BR53" s="2">
        <f ca="1">AT53-AVERAGE(AT$32:AT$61)+Sheet2!U$15</f>
        <v>25.038792323483939</v>
      </c>
      <c r="BS53" s="2">
        <f ca="1">AU53-AVERAGE(AU$32:AU$61)+Sheet2!V$15</f>
        <v>23.289042553783862</v>
      </c>
      <c r="BT53" s="2">
        <f ca="1">AV53-AVERAGE(AV$32:AV$61)+Sheet2!W$15</f>
        <v>26.238570787954259</v>
      </c>
      <c r="BU53" s="2">
        <f ca="1">AW53-AVERAGE(AW$32:AW$61)+Sheet2!X$15</f>
        <v>23.064940186841383</v>
      </c>
      <c r="BV53" s="2">
        <f ca="1">AX53-AVERAGE(AX$32:AX$61)+Sheet2!Y$15</f>
        <v>20.838889260450937</v>
      </c>
      <c r="BW53" s="2">
        <f ca="1">AY53-AVERAGE(AY$32:AY$61)+Sheet2!Z$15</f>
        <v>8.3359527704273564</v>
      </c>
      <c r="BZ53" s="2">
        <f ca="1">BA53-AVERAGE(AH$32:AH$61)+Sheet2!AB$15</f>
        <v>4.18448663714784</v>
      </c>
      <c r="CA53" s="2">
        <f ca="1">BB53-AVERAGE(AI$32:AI$61)+Sheet2!AC$15</f>
        <v>13.723028965085618</v>
      </c>
      <c r="CB53" s="2">
        <f ca="1">BC53-AVERAGE(AJ$32:AJ$61)+Sheet2!AD$15</f>
        <v>16.635411172334187</v>
      </c>
      <c r="CC53" s="2">
        <f ca="1">BD53-AVERAGE(AK$32:AK$61)+Sheet2!AE$15</f>
        <v>26.016688273648292</v>
      </c>
    </row>
    <row r="54" spans="2:81" x14ac:dyDescent="0.3">
      <c r="B54">
        <v>53</v>
      </c>
      <c r="C54" s="1">
        <v>2</v>
      </c>
      <c r="D54" s="2">
        <f t="shared" ca="1" si="6"/>
        <v>0.94963475138784459</v>
      </c>
      <c r="E54" s="2">
        <f t="shared" ca="1" si="6"/>
        <v>0.4567944734958681</v>
      </c>
      <c r="F54" s="2">
        <f t="shared" ca="1" si="6"/>
        <v>0.42974486920333888</v>
      </c>
      <c r="G54" s="2">
        <f t="shared" ca="1" si="6"/>
        <v>0.12654848523004747</v>
      </c>
      <c r="H54" s="2">
        <f t="shared" ca="1" si="6"/>
        <v>0.76869798463988492</v>
      </c>
      <c r="I54" s="2">
        <f t="shared" ca="1" si="6"/>
        <v>0.65317338947974801</v>
      </c>
      <c r="J54" s="2">
        <f t="shared" ca="1" si="6"/>
        <v>0.78659051497254939</v>
      </c>
      <c r="K54" s="2">
        <f t="shared" ca="1" si="6"/>
        <v>0.72203067977848423</v>
      </c>
      <c r="L54" s="2">
        <f t="shared" ca="1" si="6"/>
        <v>0.49059209347384214</v>
      </c>
      <c r="M54" s="2">
        <f t="shared" ca="1" si="6"/>
        <v>0.78747341395092052</v>
      </c>
      <c r="N54" s="2">
        <f t="shared" ca="1" si="6"/>
        <v>0.60823037697402604</v>
      </c>
      <c r="O54" s="2">
        <f t="shared" ca="1" si="6"/>
        <v>0.62207132142816068</v>
      </c>
      <c r="P54" s="2">
        <f t="shared" ca="1" si="6"/>
        <v>0.6477828792075625</v>
      </c>
      <c r="Q54" s="2">
        <f t="shared" ca="1" si="4"/>
        <v>0.1461164076319269</v>
      </c>
      <c r="R54" s="2">
        <f t="shared" ca="1" si="4"/>
        <v>0.86406527806905764</v>
      </c>
      <c r="S54" s="2">
        <f t="shared" ca="1" si="4"/>
        <v>0.32997216010526964</v>
      </c>
      <c r="T54" s="2">
        <f t="shared" ca="1" si="4"/>
        <v>0.95423935542636573</v>
      </c>
      <c r="U54" s="2">
        <f t="shared" ca="1" si="4"/>
        <v>0.91254819334912884</v>
      </c>
      <c r="V54" s="2">
        <f t="shared" ca="1" si="4"/>
        <v>0.59000139453129297</v>
      </c>
      <c r="W54" s="2">
        <f t="shared" ca="1" si="4"/>
        <v>0.80068998789800272</v>
      </c>
      <c r="X54" s="2">
        <f t="shared" ca="1" si="4"/>
        <v>0.98285558915250404</v>
      </c>
      <c r="Y54" s="2">
        <f t="shared" ca="1" si="4"/>
        <v>0.71232238805662429</v>
      </c>
      <c r="Z54" s="2">
        <f t="shared" ca="1" si="4"/>
        <v>0.40764727569305836</v>
      </c>
      <c r="AA54" s="2">
        <f t="shared" ca="1" si="4"/>
        <v>0.54747252305538052</v>
      </c>
      <c r="AB54" s="2">
        <f ca="1">D54*Sheet2!C$16/_xlfn.STDEV.S(D$32:D$61)</f>
        <v>4.5765418044612627</v>
      </c>
      <c r="AC54" s="2">
        <f ca="1">E54*Sheet2!D$16/_xlfn.STDEV.S(E$32:E$61)</f>
        <v>3.2548215552990127</v>
      </c>
      <c r="AD54" s="2">
        <f ca="1">F54*Sheet2!E$16/_xlfn.STDEV.S(F$32:F$61)</f>
        <v>2.4520849169859633</v>
      </c>
      <c r="AE54" s="2">
        <f ca="1">G54*Sheet2!F$16/_xlfn.STDEV.S(G$32:G$61)</f>
        <v>1.0369889611731373</v>
      </c>
      <c r="AF54" s="2">
        <f ca="1">H54*Sheet2!G$16/_xlfn.STDEV.S(H$32:H$61)</f>
        <v>11.78556100960585</v>
      </c>
      <c r="AG54" s="2">
        <f ca="1">I54*Sheet2!H$16/_xlfn.STDEV.S(I$32:I$61)</f>
        <v>6.997377988090502</v>
      </c>
      <c r="AH54" s="2">
        <f ca="1">J54*Sheet2!I$16/_xlfn.STDEV.S(J$32:J$61)</f>
        <v>1.9088407485810128</v>
      </c>
      <c r="AI54" s="2">
        <f ca="1">K54*Sheet2!J$16/_xlfn.STDEV.S(K$32:K$61)</f>
        <v>2.4076077476928979</v>
      </c>
      <c r="AJ54" s="2">
        <f ca="1">L54*Sheet2!K$16/_xlfn.STDEV.S(L$32:L$61)</f>
        <v>3.207897109515665</v>
      </c>
      <c r="AK54" s="2">
        <f ca="1">M54*Sheet2!L$16/_xlfn.STDEV.S(M$32:M$61)</f>
        <v>4.3740481113549166</v>
      </c>
      <c r="AL54" s="2">
        <f ca="1">N54*Sheet2!M$16/_xlfn.STDEV.S(N$32:N$61)</f>
        <v>1.564984077354157</v>
      </c>
      <c r="AM54" s="2">
        <f ca="1">O54*Sheet2!N$16/_xlfn.STDEV.S(O$32:O$61)</f>
        <v>1.4429005687866943</v>
      </c>
      <c r="AN54" s="2">
        <f ca="1">P54*Sheet2!O$16/_xlfn.STDEV.S(P$32:P$61)</f>
        <v>2.4752841394200886</v>
      </c>
      <c r="AO54" s="2">
        <f ca="1">Q54*Sheet2!P$16/_xlfn.STDEV.S(Q$32:Q$61)</f>
        <v>0.95068628913966069</v>
      </c>
      <c r="AP54" s="2">
        <f ca="1">R54*Sheet2!Q$16/_xlfn.STDEV.S(R$32:R$61)</f>
        <v>3.0267079029064918</v>
      </c>
      <c r="AQ54" s="2">
        <f ca="1">S54*Sheet2!R$16/_xlfn.STDEV.S(S$32:S$61)</f>
        <v>1.0491532566719737</v>
      </c>
      <c r="AR54" s="2">
        <f ca="1">T54*Sheet2!S$16/_xlfn.STDEV.S(T$32:T$61)</f>
        <v>2.3036910129537667</v>
      </c>
      <c r="AS54" s="2">
        <f ca="1">U54*Sheet2!T$16/_xlfn.STDEV.S(U$32:U$61)</f>
        <v>5.0680703735774655</v>
      </c>
      <c r="AT54" s="2">
        <f ca="1">V54*Sheet2!U$16/_xlfn.STDEV.S(V$32:V$61)</f>
        <v>1.4828420877955004</v>
      </c>
      <c r="AU54" s="2">
        <f ca="1">W54*Sheet2!V$16/_xlfn.STDEV.S(W$32:W$61)</f>
        <v>3.632997329122333</v>
      </c>
      <c r="AV54" s="2">
        <f ca="1">X54*Sheet2!W$16/_xlfn.STDEV.S(X$32:X$61)</f>
        <v>5.0800861665306574</v>
      </c>
      <c r="AW54" s="2">
        <f ca="1">Y54*Sheet2!X$16/_xlfn.STDEV.S(Y$32:Y$61)</f>
        <v>2.7013027624179631</v>
      </c>
      <c r="AX54" s="2">
        <f ca="1">Z54*Sheet2!Y$16/_xlfn.STDEV.S(Z$32:Z$61)</f>
        <v>1.5983633086056026</v>
      </c>
      <c r="AY54" s="2">
        <f ca="1">AA54*Sheet2!Z$16/_xlfn.STDEV.S(AA$32:AA$61)</f>
        <v>1.008539259405276</v>
      </c>
      <c r="AZ54" s="2">
        <f ca="1">AB54-AVERAGE(AB$32:AB$61)+Sheet2!C$15</f>
        <v>6.5831496467622372</v>
      </c>
      <c r="BA54" s="2">
        <f ca="1">AC54-AVERAGE(AC$32:AC$61)+Sheet2!D$15</f>
        <v>8.6151366327480332</v>
      </c>
      <c r="BB54" s="2">
        <f ca="1">AD54-AVERAGE(AD$32:AD$61)+Sheet2!E$15</f>
        <v>17.231431666778175</v>
      </c>
      <c r="BC54" s="2">
        <f ca="1">AE54-AVERAGE(AE$32:AE$61)+Sheet2!F$15</f>
        <v>13.789747491108876</v>
      </c>
      <c r="BD54" s="2">
        <f ca="1">AF54-AVERAGE(AF$32:AF$61)+Sheet2!G$15</f>
        <v>26.332509043576181</v>
      </c>
      <c r="BE54" s="2">
        <f ca="1">AG54-AVERAGE(AG$32:AG$61)+Sheet2!H$15</f>
        <v>32.394252790979685</v>
      </c>
      <c r="BF54" s="2">
        <f ca="1">AH54-AVERAGE(AH$32:AH$61)+Sheet2!I$15</f>
        <v>13.241087887730542</v>
      </c>
      <c r="BG54" s="2">
        <f ca="1">AI54-AVERAGE(AI$32:AI$61)+Sheet2!J$15</f>
        <v>23.045921200945649</v>
      </c>
      <c r="BH54" s="2">
        <f ca="1">AJ54-AVERAGE(AJ$32:AJ$61)+Sheet2!K$15</f>
        <v>24.686360448251651</v>
      </c>
      <c r="BI54" s="2">
        <f ca="1">AK54-AVERAGE(AK$32:AK$61)+Sheet2!L$15</f>
        <v>24.828421362316799</v>
      </c>
      <c r="BJ54" s="2">
        <f ca="1">AL54-AVERAGE(AL$32:AL$61)+Sheet2!M$15</f>
        <v>17.118811291803343</v>
      </c>
      <c r="BK54" s="2">
        <f ca="1">AM54-AVERAGE(AM$32:AM$61)+Sheet2!N$15</f>
        <v>8.7505116364943216</v>
      </c>
      <c r="BL54" s="2">
        <f ca="1">AN54-AVERAGE(AN$32:AN$61)+Sheet2!O$15</f>
        <v>5.5407842758895178</v>
      </c>
      <c r="BM54" s="2">
        <f ca="1">AO54-AVERAGE(AO$32:AO$61)+Sheet2!P$15</f>
        <v>20.62399919608816</v>
      </c>
      <c r="BN54" s="2">
        <f ca="1">AP54-AVERAGE(AP$32:AP$61)+Sheet2!Q$15</f>
        <v>10.81687218438698</v>
      </c>
      <c r="BO54" s="2">
        <f ca="1">AQ54-AVERAGE(AQ$32:AQ$61)+Sheet2!R$15</f>
        <v>8.831136249456554</v>
      </c>
      <c r="BP54" s="2">
        <f ca="1">AR54-AVERAGE(AR$32:AR$61)+Sheet2!S$15</f>
        <v>4.8604806842031429</v>
      </c>
      <c r="BQ54" s="2">
        <f ca="1">AS54-AVERAGE(AS$32:AS$61)+Sheet2!T$15</f>
        <v>19.997596628010957</v>
      </c>
      <c r="BR54" s="2">
        <f ca="1">AT54-AVERAGE(AT$32:AT$61)+Sheet2!U$15</f>
        <v>24.040487226051063</v>
      </c>
      <c r="BS54" s="2">
        <f ca="1">AU54-AVERAGE(AU$32:AU$61)+Sheet2!V$15</f>
        <v>23.440774061584797</v>
      </c>
      <c r="BT54" s="2">
        <f ca="1">AV54-AVERAGE(AV$32:AV$61)+Sheet2!W$15</f>
        <v>29.101324117745754</v>
      </c>
      <c r="BU54" s="2">
        <f ca="1">AW54-AVERAGE(AW$32:AW$61)+Sheet2!X$15</f>
        <v>22.668551553169959</v>
      </c>
      <c r="BV54" s="2">
        <f ca="1">AX54-AVERAGE(AX$32:AX$61)+Sheet2!Y$15</f>
        <v>21.273561150797725</v>
      </c>
      <c r="BW54" s="2">
        <f ca="1">AY54-AVERAGE(AY$32:AY$61)+Sheet2!Z$15</f>
        <v>8.0526737183425627</v>
      </c>
      <c r="BZ54" s="2">
        <f ca="1">BA54-AVERAGE(AH$32:AH$61)+Sheet2!AB$15</f>
        <v>7.2985890263347137</v>
      </c>
      <c r="CA54" s="2">
        <f ca="1">BB54-AVERAGE(AI$32:AI$61)+Sheet2!AC$15</f>
        <v>15.771042471200069</v>
      </c>
      <c r="CB54" s="2">
        <f ca="1">BC54-AVERAGE(AJ$32:AJ$61)+Sheet2!AD$15</f>
        <v>10.761900270541908</v>
      </c>
      <c r="CC54" s="2">
        <f ca="1">BD54-AVERAGE(AK$32:AK$61)+Sheet2!AE$15</f>
        <v>23.670553315888707</v>
      </c>
    </row>
    <row r="55" spans="2:81" x14ac:dyDescent="0.3">
      <c r="B55">
        <v>54</v>
      </c>
      <c r="C55" s="1">
        <v>2</v>
      </c>
      <c r="D55" s="2">
        <f t="shared" ca="1" si="6"/>
        <v>0.49588775338640378</v>
      </c>
      <c r="E55" s="2">
        <f t="shared" ca="1" si="6"/>
        <v>0.20523822378213297</v>
      </c>
      <c r="F55" s="2">
        <f t="shared" ca="1" si="6"/>
        <v>0.13047368232144718</v>
      </c>
      <c r="G55" s="2">
        <f t="shared" ca="1" si="6"/>
        <v>0.38426312079720315</v>
      </c>
      <c r="H55" s="2">
        <f t="shared" ca="1" si="6"/>
        <v>0.77812780269487647</v>
      </c>
      <c r="I55" s="2">
        <f t="shared" ca="1" si="6"/>
        <v>0.61170738632644961</v>
      </c>
      <c r="J55" s="2">
        <f t="shared" ca="1" si="6"/>
        <v>0.63353811706739416</v>
      </c>
      <c r="K55" s="2">
        <f t="shared" ca="1" si="6"/>
        <v>0.14120585971949395</v>
      </c>
      <c r="L55" s="2">
        <f t="shared" ca="1" si="6"/>
        <v>0.30449000985884123</v>
      </c>
      <c r="M55" s="2">
        <f t="shared" ca="1" si="6"/>
        <v>0.3067496235341034</v>
      </c>
      <c r="N55" s="2">
        <f t="shared" ca="1" si="6"/>
        <v>0.44171417169770888</v>
      </c>
      <c r="O55" s="2">
        <f t="shared" ca="1" si="6"/>
        <v>0.11992999835798202</v>
      </c>
      <c r="P55" s="2">
        <f t="shared" ca="1" si="6"/>
        <v>0.10761763983251649</v>
      </c>
      <c r="Q55" s="2">
        <f t="shared" ca="1" si="4"/>
        <v>0.91448855059443845</v>
      </c>
      <c r="R55" s="2">
        <f t="shared" ca="1" si="4"/>
        <v>0.4070724177892181</v>
      </c>
      <c r="S55" s="2">
        <f t="shared" ca="1" si="4"/>
        <v>0.16123781534939252</v>
      </c>
      <c r="T55" s="2">
        <f t="shared" ca="1" si="4"/>
        <v>0.30529220966831172</v>
      </c>
      <c r="U55" s="2">
        <f t="shared" ca="1" si="4"/>
        <v>0.50025290808444312</v>
      </c>
      <c r="V55" s="2">
        <f t="shared" ca="1" si="4"/>
        <v>0.56963604433146897</v>
      </c>
      <c r="W55" s="2">
        <f t="shared" ca="1" si="4"/>
        <v>0.9325305465789564</v>
      </c>
      <c r="X55" s="2">
        <f t="shared" ca="1" si="4"/>
        <v>0.57879511462967059</v>
      </c>
      <c r="Y55" s="2">
        <f t="shared" ca="1" si="4"/>
        <v>0.51937414260392567</v>
      </c>
      <c r="Z55" s="2">
        <f t="shared" ca="1" si="4"/>
        <v>0.23366259310731996</v>
      </c>
      <c r="AA55" s="2">
        <f t="shared" ca="1" si="4"/>
        <v>0.87539199520924194</v>
      </c>
      <c r="AB55" s="2">
        <f ca="1">D55*Sheet2!C$16/_xlfn.STDEV.S(D$32:D$61)</f>
        <v>2.3898146422891147</v>
      </c>
      <c r="AC55" s="2">
        <f ca="1">E55*Sheet2!D$16/_xlfn.STDEV.S(E$32:E$61)</f>
        <v>1.4623946511984482</v>
      </c>
      <c r="AD55" s="2">
        <f ca="1">F55*Sheet2!E$16/_xlfn.STDEV.S(F$32:F$61)</f>
        <v>0.74447089752840978</v>
      </c>
      <c r="AE55" s="2">
        <f ca="1">G55*Sheet2!F$16/_xlfn.STDEV.S(G$32:G$61)</f>
        <v>3.1488058804359813</v>
      </c>
      <c r="AF55" s="2">
        <f ca="1">H55*Sheet2!G$16/_xlfn.STDEV.S(H$32:H$61)</f>
        <v>11.930137551000907</v>
      </c>
      <c r="AG55" s="2">
        <f ca="1">I55*Sheet2!H$16/_xlfn.STDEV.S(I$32:I$61)</f>
        <v>6.5531570470780585</v>
      </c>
      <c r="AH55" s="2">
        <f ca="1">J55*Sheet2!I$16/_xlfn.STDEV.S(J$32:J$61)</f>
        <v>1.5374243022492244</v>
      </c>
      <c r="AI55" s="2">
        <f ca="1">K55*Sheet2!J$16/_xlfn.STDEV.S(K$32:K$61)</f>
        <v>0.47085024418157806</v>
      </c>
      <c r="AJ55" s="2">
        <f ca="1">L55*Sheet2!K$16/_xlfn.STDEV.S(L$32:L$61)</f>
        <v>1.9910076731692243</v>
      </c>
      <c r="AK55" s="2">
        <f ca="1">M55*Sheet2!L$16/_xlfn.STDEV.S(M$32:M$61)</f>
        <v>1.7038513144798064</v>
      </c>
      <c r="AL55" s="2">
        <f ca="1">N55*Sheet2!M$16/_xlfn.STDEV.S(N$32:N$61)</f>
        <v>1.1365358778818688</v>
      </c>
      <c r="AM55" s="2">
        <f ca="1">O55*Sheet2!N$16/_xlfn.STDEV.S(O$32:O$61)</f>
        <v>0.27817881468645023</v>
      </c>
      <c r="AN55" s="2">
        <f ca="1">P55*Sheet2!O$16/_xlfn.STDEV.S(P$32:P$61)</f>
        <v>0.41122457161128029</v>
      </c>
      <c r="AO55" s="2">
        <f ca="1">Q55*Sheet2!P$16/_xlfn.STDEV.S(Q$32:Q$61)</f>
        <v>5.9499938488452733</v>
      </c>
      <c r="AP55" s="2">
        <f ca="1">R55*Sheet2!Q$16/_xlfn.STDEV.S(R$32:R$61)</f>
        <v>1.4259215539030246</v>
      </c>
      <c r="AQ55" s="2">
        <f ca="1">S55*Sheet2!R$16/_xlfn.STDEV.S(S$32:S$61)</f>
        <v>0.51265894376823207</v>
      </c>
      <c r="AR55" s="2">
        <f ca="1">T55*Sheet2!S$16/_xlfn.STDEV.S(T$32:T$61)</f>
        <v>0.73702569039760912</v>
      </c>
      <c r="AS55" s="2">
        <f ca="1">U55*Sheet2!T$16/_xlfn.STDEV.S(U$32:U$61)</f>
        <v>2.7782827923355038</v>
      </c>
      <c r="AT55" s="2">
        <f ca="1">V55*Sheet2!U$16/_xlfn.STDEV.S(V$32:V$61)</f>
        <v>1.4316581436745146</v>
      </c>
      <c r="AU55" s="2">
        <f ca="1">W55*Sheet2!V$16/_xlfn.STDEV.S(W$32:W$61)</f>
        <v>4.2312018836907308</v>
      </c>
      <c r="AV55" s="2">
        <f ca="1">X55*Sheet2!W$16/_xlfn.STDEV.S(X$32:X$61)</f>
        <v>2.9916185933491004</v>
      </c>
      <c r="AW55" s="2">
        <f ca="1">Y55*Sheet2!X$16/_xlfn.STDEV.S(Y$32:Y$61)</f>
        <v>1.9695952698778836</v>
      </c>
      <c r="AX55" s="2">
        <f ca="1">Z55*Sheet2!Y$16/_xlfn.STDEV.S(Z$32:Z$61)</f>
        <v>0.91617861245709376</v>
      </c>
      <c r="AY55" s="2">
        <f ca="1">AA55*Sheet2!Z$16/_xlfn.STDEV.S(AA$32:AA$61)</f>
        <v>1.6126237525318288</v>
      </c>
      <c r="AZ55" s="2">
        <f ca="1">AB55-AVERAGE(AB$32:AB$61)+Sheet2!C$15</f>
        <v>4.3964224845900883</v>
      </c>
      <c r="BA55" s="2">
        <f ca="1">AC55-AVERAGE(AC$32:AC$61)+Sheet2!D$15</f>
        <v>6.8227097286474692</v>
      </c>
      <c r="BB55" s="2">
        <f ca="1">AD55-AVERAGE(AD$32:AD$61)+Sheet2!E$15</f>
        <v>15.523817647320621</v>
      </c>
      <c r="BC55" s="2">
        <f ca="1">AE55-AVERAGE(AE$32:AE$61)+Sheet2!F$15</f>
        <v>15.901564410371719</v>
      </c>
      <c r="BD55" s="2">
        <f ca="1">AF55-AVERAGE(AF$32:AF$61)+Sheet2!G$15</f>
        <v>26.477085584971238</v>
      </c>
      <c r="BE55" s="2">
        <f ca="1">AG55-AVERAGE(AG$32:AG$61)+Sheet2!H$15</f>
        <v>31.950031849967239</v>
      </c>
      <c r="BF55" s="2">
        <f ca="1">AH55-AVERAGE(AH$32:AH$61)+Sheet2!I$15</f>
        <v>12.869671441398754</v>
      </c>
      <c r="BG55" s="2">
        <f ca="1">AI55-AVERAGE(AI$32:AI$61)+Sheet2!J$15</f>
        <v>21.10916369743433</v>
      </c>
      <c r="BH55" s="2">
        <f ca="1">AJ55-AVERAGE(AJ$32:AJ$61)+Sheet2!K$15</f>
        <v>23.46947101190521</v>
      </c>
      <c r="BI55" s="2">
        <f ca="1">AK55-AVERAGE(AK$32:AK$61)+Sheet2!L$15</f>
        <v>22.158224565441689</v>
      </c>
      <c r="BJ55" s="2">
        <f ca="1">AL55-AVERAGE(AL$32:AL$61)+Sheet2!M$15</f>
        <v>16.690363092331054</v>
      </c>
      <c r="BK55" s="2">
        <f ca="1">AM55-AVERAGE(AM$32:AM$61)+Sheet2!N$15</f>
        <v>7.5857898823940779</v>
      </c>
      <c r="BL55" s="2">
        <f ca="1">AN55-AVERAGE(AN$32:AN$61)+Sheet2!O$15</f>
        <v>3.4767247080807095</v>
      </c>
      <c r="BM55" s="2">
        <f ca="1">AO55-AVERAGE(AO$32:AO$61)+Sheet2!P$15</f>
        <v>25.623306755793774</v>
      </c>
      <c r="BN55" s="2">
        <f ca="1">AP55-AVERAGE(AP$32:AP$61)+Sheet2!Q$15</f>
        <v>9.2160858353835131</v>
      </c>
      <c r="BO55" s="2">
        <f ca="1">AQ55-AVERAGE(AQ$32:AQ$61)+Sheet2!R$15</f>
        <v>8.2946419365528126</v>
      </c>
      <c r="BP55" s="2">
        <f ca="1">AR55-AVERAGE(AR$32:AR$61)+Sheet2!S$15</f>
        <v>3.2938153616469847</v>
      </c>
      <c r="BQ55" s="2">
        <f ca="1">AS55-AVERAGE(AS$32:AS$61)+Sheet2!T$15</f>
        <v>17.707809046768993</v>
      </c>
      <c r="BR55" s="2">
        <f ca="1">AT55-AVERAGE(AT$32:AT$61)+Sheet2!U$15</f>
        <v>23.989303281930077</v>
      </c>
      <c r="BS55" s="2">
        <f ca="1">AU55-AVERAGE(AU$32:AU$61)+Sheet2!V$15</f>
        <v>24.038978616153194</v>
      </c>
      <c r="BT55" s="2">
        <f ca="1">AV55-AVERAGE(AV$32:AV$61)+Sheet2!W$15</f>
        <v>27.012856544564197</v>
      </c>
      <c r="BU55" s="2">
        <f ca="1">AW55-AVERAGE(AW$32:AW$61)+Sheet2!X$15</f>
        <v>21.93684406062988</v>
      </c>
      <c r="BV55" s="2">
        <f ca="1">AX55-AVERAGE(AX$32:AX$61)+Sheet2!Y$15</f>
        <v>20.591376454649218</v>
      </c>
      <c r="BW55" s="2">
        <f ca="1">AY55-AVERAGE(AY$32:AY$61)+Sheet2!Z$15</f>
        <v>8.6567582114691159</v>
      </c>
      <c r="BZ55" s="2">
        <f ca="1">BA55-AVERAGE(AH$32:AH$61)+Sheet2!AB$15</f>
        <v>5.5061621222341497</v>
      </c>
      <c r="CA55" s="2">
        <f ca="1">BB55-AVERAGE(AI$32:AI$61)+Sheet2!AC$15</f>
        <v>14.063428451742517</v>
      </c>
      <c r="CB55" s="2">
        <f ca="1">BC55-AVERAGE(AJ$32:AJ$61)+Sheet2!AD$15</f>
        <v>12.873717189804751</v>
      </c>
      <c r="CC55" s="2">
        <f ca="1">BD55-AVERAGE(AK$32:AK$61)+Sheet2!AE$15</f>
        <v>23.815129857283765</v>
      </c>
    </row>
    <row r="56" spans="2:81" x14ac:dyDescent="0.3">
      <c r="B56">
        <v>55</v>
      </c>
      <c r="C56" s="1">
        <v>2</v>
      </c>
      <c r="D56" s="2">
        <f t="shared" ca="1" si="6"/>
        <v>0.71426073580880001</v>
      </c>
      <c r="E56" s="2">
        <f t="shared" ca="1" si="6"/>
        <v>0.2659613276853956</v>
      </c>
      <c r="F56" s="2">
        <f t="shared" ca="1" si="6"/>
        <v>0.3430370736251307</v>
      </c>
      <c r="G56" s="2">
        <f t="shared" ca="1" si="6"/>
        <v>0.97195440465330285</v>
      </c>
      <c r="H56" s="2">
        <f t="shared" ca="1" si="6"/>
        <v>3.4218316386054548E-2</v>
      </c>
      <c r="I56" s="2">
        <f t="shared" ca="1" si="6"/>
        <v>0.38884123535452242</v>
      </c>
      <c r="J56" s="2">
        <f t="shared" ca="1" si="6"/>
        <v>0.28348245949305795</v>
      </c>
      <c r="K56" s="2">
        <f t="shared" ca="1" si="6"/>
        <v>0.91969281958908822</v>
      </c>
      <c r="L56" s="2">
        <f t="shared" ca="1" si="6"/>
        <v>0.68299224519841073</v>
      </c>
      <c r="M56" s="2">
        <f t="shared" ca="1" si="6"/>
        <v>7.8878082364960855E-2</v>
      </c>
      <c r="N56" s="2">
        <f t="shared" ca="1" si="6"/>
        <v>0.35196519673815507</v>
      </c>
      <c r="O56" s="2">
        <f t="shared" ca="1" si="6"/>
        <v>0.61043408485391359</v>
      </c>
      <c r="P56" s="2">
        <f t="shared" ca="1" si="6"/>
        <v>0.69610653784084164</v>
      </c>
      <c r="Q56" s="2">
        <f t="shared" ca="1" si="4"/>
        <v>0.39702005287439446</v>
      </c>
      <c r="R56" s="2">
        <f t="shared" ca="1" si="4"/>
        <v>0.28597800884462599</v>
      </c>
      <c r="S56" s="2">
        <f t="shared" ca="1" si="4"/>
        <v>0.83769426073359787</v>
      </c>
      <c r="T56" s="2">
        <f t="shared" ca="1" si="4"/>
        <v>0.30553139040184574</v>
      </c>
      <c r="U56" s="2">
        <f t="shared" ca="1" si="4"/>
        <v>0.80664399309654733</v>
      </c>
      <c r="V56" s="2">
        <f t="shared" ca="1" si="4"/>
        <v>0.96611622217881277</v>
      </c>
      <c r="W56" s="2">
        <f t="shared" ca="1" si="4"/>
        <v>0.64594186533779396</v>
      </c>
      <c r="X56" s="2">
        <f t="shared" ca="1" si="4"/>
        <v>0.36085072292174281</v>
      </c>
      <c r="Y56" s="2">
        <f t="shared" ca="1" si="4"/>
        <v>0.87280666059386869</v>
      </c>
      <c r="Z56" s="2">
        <f t="shared" ca="1" si="4"/>
        <v>6.0861009616040018E-3</v>
      </c>
      <c r="AA56" s="2">
        <f t="shared" ca="1" si="4"/>
        <v>0.42763768142575009</v>
      </c>
      <c r="AB56" s="2">
        <f ca="1">D56*Sheet2!C$16/_xlfn.STDEV.S(D$32:D$61)</f>
        <v>3.4422119788023551</v>
      </c>
      <c r="AC56" s="2">
        <f ca="1">E56*Sheet2!D$16/_xlfn.STDEV.S(E$32:E$61)</f>
        <v>1.8950681596505785</v>
      </c>
      <c r="AD56" s="2">
        <f ca="1">F56*Sheet2!E$16/_xlfn.STDEV.S(F$32:F$61)</f>
        <v>1.9573381661601257</v>
      </c>
      <c r="AE56" s="2">
        <f ca="1">G56*Sheet2!F$16/_xlfn.STDEV.S(G$32:G$61)</f>
        <v>7.9645835867323989</v>
      </c>
      <c r="AF56" s="2">
        <f ca="1">H56*Sheet2!G$16/_xlfn.STDEV.S(H$32:H$61)</f>
        <v>0.52463004128047586</v>
      </c>
      <c r="AG56" s="2">
        <f ca="1">I56*Sheet2!H$16/_xlfn.STDEV.S(I$32:I$61)</f>
        <v>4.1656153556696847</v>
      </c>
      <c r="AH56" s="2">
        <f ca="1">J56*Sheet2!I$16/_xlfn.STDEV.S(J$32:J$61)</f>
        <v>0.68793464946268723</v>
      </c>
      <c r="AI56" s="2">
        <f ca="1">K56*Sheet2!J$16/_xlfn.STDEV.S(K$32:K$61)</f>
        <v>3.0667111799453455</v>
      </c>
      <c r="AJ56" s="2">
        <f ca="1">L56*Sheet2!K$16/_xlfn.STDEV.S(L$32:L$61)</f>
        <v>4.4659685272942866</v>
      </c>
      <c r="AK56" s="2">
        <f ca="1">M56*Sheet2!L$16/_xlfn.STDEV.S(M$32:M$61)</f>
        <v>0.4381310163408994</v>
      </c>
      <c r="AL56" s="2">
        <f ca="1">N56*Sheet2!M$16/_xlfn.STDEV.S(N$32:N$61)</f>
        <v>0.90561068557343405</v>
      </c>
      <c r="AM56" s="2">
        <f ca="1">O56*Sheet2!N$16/_xlfn.STDEV.S(O$32:O$61)</f>
        <v>1.4159078837139656</v>
      </c>
      <c r="AN56" s="2">
        <f ca="1">P56*Sheet2!O$16/_xlfn.STDEV.S(P$32:P$61)</f>
        <v>2.6599367284481161</v>
      </c>
      <c r="AO56" s="2">
        <f ca="1">Q56*Sheet2!P$16/_xlfn.STDEV.S(Q$32:Q$61)</f>
        <v>2.5831563128213522</v>
      </c>
      <c r="AP56" s="2">
        <f ca="1">R56*Sheet2!Q$16/_xlfn.STDEV.S(R$32:R$61)</f>
        <v>1.0017436429823929</v>
      </c>
      <c r="AQ56" s="2">
        <f ca="1">S56*Sheet2!R$16/_xlfn.STDEV.S(S$32:S$61)</f>
        <v>2.6634660980601921</v>
      </c>
      <c r="AR56" s="2">
        <f ca="1">T56*Sheet2!S$16/_xlfn.STDEV.S(T$32:T$61)</f>
        <v>0.73760311209288998</v>
      </c>
      <c r="AS56" s="2">
        <f ca="1">U56*Sheet2!T$16/_xlfn.STDEV.S(U$32:U$61)</f>
        <v>4.4799042431206404</v>
      </c>
      <c r="AT56" s="2">
        <f ca="1">V56*Sheet2!U$16/_xlfn.STDEV.S(V$32:V$61)</f>
        <v>2.428126118391317</v>
      </c>
      <c r="AU56" s="2">
        <f ca="1">W56*Sheet2!V$16/_xlfn.STDEV.S(W$32:W$61)</f>
        <v>2.9308535225988637</v>
      </c>
      <c r="AV56" s="2">
        <f ca="1">X56*Sheet2!W$16/_xlfn.STDEV.S(X$32:X$61)</f>
        <v>1.8651293088519976</v>
      </c>
      <c r="AW56" s="2">
        <f ca="1">Y56*Sheet2!X$16/_xlfn.STDEV.S(Y$32:Y$61)</f>
        <v>3.3098988363280175</v>
      </c>
      <c r="AX56" s="2">
        <f ca="1">Z56*Sheet2!Y$16/_xlfn.STDEV.S(Z$32:Z$61)</f>
        <v>2.3863278499674668E-2</v>
      </c>
      <c r="AY56" s="2">
        <f ca="1">AA56*Sheet2!Z$16/_xlfn.STDEV.S(AA$32:AA$61)</f>
        <v>0.78778271485103846</v>
      </c>
      <c r="AZ56" s="2">
        <f ca="1">AB56-AVERAGE(AB$32:AB$61)+Sheet2!C$15</f>
        <v>5.4488198211033296</v>
      </c>
      <c r="BA56" s="2">
        <f ca="1">AC56-AVERAGE(AC$32:AC$61)+Sheet2!D$15</f>
        <v>7.2553832370995988</v>
      </c>
      <c r="BB56" s="2">
        <f ca="1">AD56-AVERAGE(AD$32:AD$61)+Sheet2!E$15</f>
        <v>16.736684915952338</v>
      </c>
      <c r="BC56" s="2">
        <f ca="1">AE56-AVERAGE(AE$32:AE$61)+Sheet2!F$15</f>
        <v>20.717342116668135</v>
      </c>
      <c r="BD56" s="2">
        <f ca="1">AF56-AVERAGE(AF$32:AF$61)+Sheet2!G$15</f>
        <v>15.071578075250809</v>
      </c>
      <c r="BE56" s="2">
        <f ca="1">AG56-AVERAGE(AG$32:AG$61)+Sheet2!H$15</f>
        <v>29.562490158558866</v>
      </c>
      <c r="BF56" s="2">
        <f ca="1">AH56-AVERAGE(AH$32:AH$61)+Sheet2!I$15</f>
        <v>12.020181788612216</v>
      </c>
      <c r="BG56" s="2">
        <f ca="1">AI56-AVERAGE(AI$32:AI$61)+Sheet2!J$15</f>
        <v>23.705024633198096</v>
      </c>
      <c r="BH56" s="2">
        <f ca="1">AJ56-AVERAGE(AJ$32:AJ$61)+Sheet2!K$15</f>
        <v>25.944431866030271</v>
      </c>
      <c r="BI56" s="2">
        <f ca="1">AK56-AVERAGE(AK$32:AK$61)+Sheet2!L$15</f>
        <v>20.892504267302783</v>
      </c>
      <c r="BJ56" s="2">
        <f ca="1">AL56-AVERAGE(AL$32:AL$61)+Sheet2!M$15</f>
        <v>16.459437900022621</v>
      </c>
      <c r="BK56" s="2">
        <f ca="1">AM56-AVERAGE(AM$32:AM$61)+Sheet2!N$15</f>
        <v>8.7235189514215925</v>
      </c>
      <c r="BL56" s="2">
        <f ca="1">AN56-AVERAGE(AN$32:AN$61)+Sheet2!O$15</f>
        <v>5.7254368649175458</v>
      </c>
      <c r="BM56" s="2">
        <f ca="1">AO56-AVERAGE(AO$32:AO$61)+Sheet2!P$15</f>
        <v>22.256469219769851</v>
      </c>
      <c r="BN56" s="2">
        <f ca="1">AP56-AVERAGE(AP$32:AP$61)+Sheet2!Q$15</f>
        <v>8.7919079244628815</v>
      </c>
      <c r="BO56" s="2">
        <f ca="1">AQ56-AVERAGE(AQ$32:AQ$61)+Sheet2!R$15</f>
        <v>10.445449090844772</v>
      </c>
      <c r="BP56" s="2">
        <f ca="1">AR56-AVERAGE(AR$32:AR$61)+Sheet2!S$15</f>
        <v>3.2943927833422659</v>
      </c>
      <c r="BQ56" s="2">
        <f ca="1">AS56-AVERAGE(AS$32:AS$61)+Sheet2!T$15</f>
        <v>19.40943049755413</v>
      </c>
      <c r="BR56" s="2">
        <f ca="1">AT56-AVERAGE(AT$32:AT$61)+Sheet2!U$15</f>
        <v>24.985771256646881</v>
      </c>
      <c r="BS56" s="2">
        <f ca="1">AU56-AVERAGE(AU$32:AU$61)+Sheet2!V$15</f>
        <v>22.738630255061327</v>
      </c>
      <c r="BT56" s="2">
        <f ca="1">AV56-AVERAGE(AV$32:AV$61)+Sheet2!W$15</f>
        <v>25.886367260067097</v>
      </c>
      <c r="BU56" s="2">
        <f ca="1">AW56-AVERAGE(AW$32:AW$61)+Sheet2!X$15</f>
        <v>23.277147627080012</v>
      </c>
      <c r="BV56" s="2">
        <f ca="1">AX56-AVERAGE(AX$32:AX$61)+Sheet2!Y$15</f>
        <v>19.699061120691798</v>
      </c>
      <c r="BW56" s="2">
        <f ca="1">AY56-AVERAGE(AY$32:AY$61)+Sheet2!Z$15</f>
        <v>7.8319171737883257</v>
      </c>
      <c r="BZ56" s="2">
        <f ca="1">BA56-AVERAGE(AH$32:AH$61)+Sheet2!AB$15</f>
        <v>5.9388356306862793</v>
      </c>
      <c r="CA56" s="2">
        <f ca="1">BB56-AVERAGE(AI$32:AI$61)+Sheet2!AC$15</f>
        <v>15.276295720374232</v>
      </c>
      <c r="CB56" s="2">
        <f ca="1">BC56-AVERAGE(AJ$32:AJ$61)+Sheet2!AD$15</f>
        <v>17.689494896101166</v>
      </c>
      <c r="CC56" s="2">
        <f ca="1">BD56-AVERAGE(AK$32:AK$61)+Sheet2!AE$15</f>
        <v>12.409622347563335</v>
      </c>
    </row>
    <row r="57" spans="2:81" x14ac:dyDescent="0.3">
      <c r="B57">
        <v>56</v>
      </c>
      <c r="C57" s="1">
        <v>2</v>
      </c>
      <c r="D57" s="2">
        <f t="shared" ca="1" si="6"/>
        <v>0.85516856822780629</v>
      </c>
      <c r="E57" s="2">
        <f t="shared" ca="1" si="6"/>
        <v>0.82794053116656841</v>
      </c>
      <c r="F57" s="2">
        <f t="shared" ca="1" si="6"/>
        <v>0.68196709881720141</v>
      </c>
      <c r="G57" s="2">
        <f t="shared" ca="1" si="6"/>
        <v>0.28801852629790348</v>
      </c>
      <c r="H57" s="2">
        <f t="shared" ca="1" si="6"/>
        <v>0.38882007777127181</v>
      </c>
      <c r="I57" s="2">
        <f t="shared" ca="1" si="6"/>
        <v>0.69034829128091912</v>
      </c>
      <c r="J57" s="2">
        <f t="shared" ca="1" si="6"/>
        <v>0.91641390666103617</v>
      </c>
      <c r="K57" s="2">
        <f t="shared" ca="1" si="6"/>
        <v>0.51784905262934056</v>
      </c>
      <c r="L57" s="2">
        <f t="shared" ca="1" si="6"/>
        <v>0.81139824055322052</v>
      </c>
      <c r="M57" s="2">
        <f t="shared" ca="1" si="6"/>
        <v>0.6645911280903205</v>
      </c>
      <c r="N57" s="2">
        <f t="shared" ca="1" si="6"/>
        <v>0.76897484494343771</v>
      </c>
      <c r="O57" s="2">
        <f t="shared" ca="1" si="6"/>
        <v>0.37758366311408798</v>
      </c>
      <c r="P57" s="2">
        <f t="shared" ca="1" si="6"/>
        <v>0.16715428574972624</v>
      </c>
      <c r="Q57" s="2">
        <f t="shared" ca="1" si="6"/>
        <v>0.95769031017351613</v>
      </c>
      <c r="R57" s="2">
        <f t="shared" ca="1" si="6"/>
        <v>5.2654707235662124E-2</v>
      </c>
      <c r="S57" s="2">
        <f t="shared" ca="1" si="6"/>
        <v>0.48770220043179913</v>
      </c>
      <c r="T57" s="2">
        <f t="shared" ca="1" si="4"/>
        <v>0.4736101604690427</v>
      </c>
      <c r="U57" s="2">
        <f t="shared" ca="1" si="4"/>
        <v>0.20088349505173653</v>
      </c>
      <c r="V57" s="2">
        <f t="shared" ca="1" si="4"/>
        <v>0.34952725737745094</v>
      </c>
      <c r="W57" s="2">
        <f t="shared" ca="1" si="4"/>
        <v>0.44623094394030327</v>
      </c>
      <c r="X57" s="2">
        <f t="shared" ca="1" si="4"/>
        <v>7.4395636087074557E-3</v>
      </c>
      <c r="Y57" s="2">
        <f t="shared" ca="1" si="4"/>
        <v>9.1930929632426217E-2</v>
      </c>
      <c r="Z57" s="2">
        <f t="shared" ca="1" si="4"/>
        <v>0.8106184571486863</v>
      </c>
      <c r="AA57" s="2">
        <f t="shared" ca="1" si="4"/>
        <v>0.33280724629284841</v>
      </c>
      <c r="AB57" s="2">
        <f ca="1">D57*Sheet2!C$16/_xlfn.STDEV.S(D$32:D$61)</f>
        <v>4.1212842059919748</v>
      </c>
      <c r="AC57" s="2">
        <f ca="1">E57*Sheet2!D$16/_xlfn.STDEV.S(E$32:E$61)</f>
        <v>5.8993679733540745</v>
      </c>
      <c r="AD57" s="2">
        <f ca="1">F57*Sheet2!E$16/_xlfn.STDEV.S(F$32:F$61)</f>
        <v>3.8912418896131022</v>
      </c>
      <c r="AE57" s="2">
        <f ca="1">G57*Sheet2!F$16/_xlfn.STDEV.S(G$32:G$61)</f>
        <v>2.3601391343510496</v>
      </c>
      <c r="AF57" s="2">
        <f ca="1">H57*Sheet2!G$16/_xlfn.STDEV.S(H$32:H$61)</f>
        <v>5.9613305093804563</v>
      </c>
      <c r="AG57" s="2">
        <f ca="1">I57*Sheet2!H$16/_xlfn.STDEV.S(I$32:I$61)</f>
        <v>7.3956288105560839</v>
      </c>
      <c r="AH57" s="2">
        <f ca="1">J57*Sheet2!I$16/_xlfn.STDEV.S(J$32:J$61)</f>
        <v>2.2238867292493985</v>
      </c>
      <c r="AI57" s="2">
        <f ca="1">K57*Sheet2!J$16/_xlfn.STDEV.S(K$32:K$61)</f>
        <v>1.726765117000753</v>
      </c>
      <c r="AJ57" s="2">
        <f ca="1">L57*Sheet2!K$16/_xlfn.STDEV.S(L$32:L$61)</f>
        <v>5.3055931906810372</v>
      </c>
      <c r="AK57" s="2">
        <f ca="1">M57*Sheet2!L$16/_xlfn.STDEV.S(M$32:M$61)</f>
        <v>3.6914942360554108</v>
      </c>
      <c r="AL57" s="2">
        <f ca="1">N57*Sheet2!M$16/_xlfn.STDEV.S(N$32:N$61)</f>
        <v>1.9785815272980904</v>
      </c>
      <c r="AM57" s="2">
        <f ca="1">O57*Sheet2!N$16/_xlfn.STDEV.S(O$32:O$61)</f>
        <v>0.87580903267021692</v>
      </c>
      <c r="AN57" s="2">
        <f ca="1">P57*Sheet2!O$16/_xlfn.STDEV.S(P$32:P$61)</f>
        <v>0.63872381569969772</v>
      </c>
      <c r="AO57" s="2">
        <f ca="1">Q57*Sheet2!P$16/_xlfn.STDEV.S(Q$32:Q$61)</f>
        <v>6.2310801495843213</v>
      </c>
      <c r="AP57" s="2">
        <f ca="1">R57*Sheet2!Q$16/_xlfn.STDEV.S(R$32:R$61)</f>
        <v>0.18444256766289019</v>
      </c>
      <c r="AQ57" s="2">
        <f ca="1">S57*Sheet2!R$16/_xlfn.STDEV.S(S$32:S$61)</f>
        <v>1.5506591577479516</v>
      </c>
      <c r="AR57" s="2">
        <f ca="1">T57*Sheet2!S$16/_xlfn.STDEV.S(T$32:T$61)</f>
        <v>1.1433729536638424</v>
      </c>
      <c r="AS57" s="2">
        <f ca="1">U57*Sheet2!T$16/_xlfn.STDEV.S(U$32:U$61)</f>
        <v>1.1156579972789369</v>
      </c>
      <c r="AT57" s="2">
        <f ca="1">V57*Sheet2!U$16/_xlfn.STDEV.S(V$32:V$61)</f>
        <v>0.87846186953974215</v>
      </c>
      <c r="AU57" s="2">
        <f ca="1">W57*Sheet2!V$16/_xlfn.STDEV.S(W$32:W$61)</f>
        <v>2.0246985125451236</v>
      </c>
      <c r="AV57" s="2">
        <f ca="1">X57*Sheet2!W$16/_xlfn.STDEV.S(X$32:X$61)</f>
        <v>3.8452876079392601E-2</v>
      </c>
      <c r="AW57" s="2">
        <f ca="1">Y57*Sheet2!X$16/_xlfn.STDEV.S(Y$32:Y$61)</f>
        <v>0.34862483382732551</v>
      </c>
      <c r="AX57" s="2">
        <f ca="1">Z57*Sheet2!Y$16/_xlfn.STDEV.S(Z$32:Z$61)</f>
        <v>3.1783919001595975</v>
      </c>
      <c r="AY57" s="2">
        <f ca="1">AA57*Sheet2!Z$16/_xlfn.STDEV.S(AA$32:AA$61)</f>
        <v>0.61308862009673037</v>
      </c>
      <c r="AZ57" s="2">
        <f ca="1">AB57-AVERAGE(AB$32:AB$61)+Sheet2!C$15</f>
        <v>6.1278920482929493</v>
      </c>
      <c r="BA57" s="2">
        <f ca="1">AC57-AVERAGE(AC$32:AC$61)+Sheet2!D$15</f>
        <v>11.259683050803094</v>
      </c>
      <c r="BB57" s="2">
        <f ca="1">AD57-AVERAGE(AD$32:AD$61)+Sheet2!E$15</f>
        <v>18.670588639405313</v>
      </c>
      <c r="BC57" s="2">
        <f ca="1">AE57-AVERAGE(AE$32:AE$61)+Sheet2!F$15</f>
        <v>15.112897664286788</v>
      </c>
      <c r="BD57" s="2">
        <f ca="1">AF57-AVERAGE(AF$32:AF$61)+Sheet2!G$15</f>
        <v>20.508278543350787</v>
      </c>
      <c r="BE57" s="2">
        <f ca="1">AG57-AVERAGE(AG$32:AG$61)+Sheet2!H$15</f>
        <v>32.792503613445263</v>
      </c>
      <c r="BF57" s="2">
        <f ca="1">AH57-AVERAGE(AH$32:AH$61)+Sheet2!I$15</f>
        <v>13.556133868398927</v>
      </c>
      <c r="BG57" s="2">
        <f ca="1">AI57-AVERAGE(AI$32:AI$61)+Sheet2!J$15</f>
        <v>22.365078570253502</v>
      </c>
      <c r="BH57" s="2">
        <f ca="1">AJ57-AVERAGE(AJ$32:AJ$61)+Sheet2!K$15</f>
        <v>26.784056529417022</v>
      </c>
      <c r="BI57" s="2">
        <f ca="1">AK57-AVERAGE(AK$32:AK$61)+Sheet2!L$15</f>
        <v>24.145867487017295</v>
      </c>
      <c r="BJ57" s="2">
        <f ca="1">AL57-AVERAGE(AL$32:AL$61)+Sheet2!M$15</f>
        <v>17.532408741747275</v>
      </c>
      <c r="BK57" s="2">
        <f ca="1">AM57-AVERAGE(AM$32:AM$61)+Sheet2!N$15</f>
        <v>8.1834201003778446</v>
      </c>
      <c r="BL57" s="2">
        <f ca="1">AN57-AVERAGE(AN$32:AN$61)+Sheet2!O$15</f>
        <v>3.7042239521691269</v>
      </c>
      <c r="BM57" s="2">
        <f ca="1">AO57-AVERAGE(AO$32:AO$61)+Sheet2!P$15</f>
        <v>25.904393056532822</v>
      </c>
      <c r="BN57" s="2">
        <f ca="1">AP57-AVERAGE(AP$32:AP$61)+Sheet2!Q$15</f>
        <v>7.9746068491433784</v>
      </c>
      <c r="BO57" s="2">
        <f ca="1">AQ57-AVERAGE(AQ$32:AQ$61)+Sheet2!R$15</f>
        <v>9.3326421505325321</v>
      </c>
      <c r="BP57" s="2">
        <f ca="1">AR57-AVERAGE(AR$32:AR$61)+Sheet2!S$15</f>
        <v>3.7001626249132182</v>
      </c>
      <c r="BQ57" s="2">
        <f ca="1">AS57-AVERAGE(AS$32:AS$61)+Sheet2!T$15</f>
        <v>16.045184251712428</v>
      </c>
      <c r="BR57" s="2">
        <f ca="1">AT57-AVERAGE(AT$32:AT$61)+Sheet2!U$15</f>
        <v>23.436107007795307</v>
      </c>
      <c r="BS57" s="2">
        <f ca="1">AU57-AVERAGE(AU$32:AU$61)+Sheet2!V$15</f>
        <v>21.832475245007586</v>
      </c>
      <c r="BT57" s="2">
        <f ca="1">AV57-AVERAGE(AV$32:AV$61)+Sheet2!W$15</f>
        <v>24.059690827294489</v>
      </c>
      <c r="BU57" s="2">
        <f ca="1">AW57-AVERAGE(AW$32:AW$61)+Sheet2!X$15</f>
        <v>20.315873624579321</v>
      </c>
      <c r="BV57" s="2">
        <f ca="1">AX57-AVERAGE(AX$32:AX$61)+Sheet2!Y$15</f>
        <v>22.853589742351723</v>
      </c>
      <c r="BW57" s="2">
        <f ca="1">AY57-AVERAGE(AY$32:AY$61)+Sheet2!Z$15</f>
        <v>7.6572230790340177</v>
      </c>
      <c r="BZ57" s="2">
        <f ca="1">BA57-AVERAGE(AH$32:AH$61)+Sheet2!AB$15</f>
        <v>9.9431354443897746</v>
      </c>
      <c r="CA57" s="2">
        <f ca="1">BB57-AVERAGE(AI$32:AI$61)+Sheet2!AC$15</f>
        <v>17.210199443827207</v>
      </c>
      <c r="CB57" s="2">
        <f ca="1">BC57-AVERAGE(AJ$32:AJ$61)+Sheet2!AD$15</f>
        <v>12.085050443719819</v>
      </c>
      <c r="CC57" s="2">
        <f ca="1">BD57-AVERAGE(AK$32:AK$61)+Sheet2!AE$15</f>
        <v>17.846322815663314</v>
      </c>
    </row>
    <row r="58" spans="2:81" x14ac:dyDescent="0.3">
      <c r="B58">
        <v>57</v>
      </c>
      <c r="C58" s="1">
        <v>2</v>
      </c>
      <c r="D58" s="2">
        <f t="shared" ca="1" si="6"/>
        <v>0.34608683386944794</v>
      </c>
      <c r="E58" s="2">
        <f t="shared" ca="1" si="6"/>
        <v>0.567271819022235</v>
      </c>
      <c r="F58" s="2">
        <f t="shared" ca="1" si="6"/>
        <v>0.5339581757965165</v>
      </c>
      <c r="G58" s="2">
        <f t="shared" ca="1" si="6"/>
        <v>9.4570888776102979E-2</v>
      </c>
      <c r="H58" s="2">
        <f t="shared" ca="1" si="6"/>
        <v>0.17063747595958578</v>
      </c>
      <c r="I58" s="2">
        <f t="shared" ca="1" si="6"/>
        <v>0.15288879843800651</v>
      </c>
      <c r="J58" s="2">
        <f t="shared" ca="1" si="6"/>
        <v>0.80029286334660921</v>
      </c>
      <c r="K58" s="2">
        <f t="shared" ca="1" si="6"/>
        <v>0.6589911270568255</v>
      </c>
      <c r="L58" s="2">
        <f t="shared" ca="1" si="6"/>
        <v>0.32026958428597074</v>
      </c>
      <c r="M58" s="2">
        <f t="shared" ca="1" si="6"/>
        <v>1.4746372260008522E-2</v>
      </c>
      <c r="N58" s="2">
        <f t="shared" ca="1" si="6"/>
        <v>0.73127358386152785</v>
      </c>
      <c r="O58" s="2">
        <f t="shared" ca="1" si="6"/>
        <v>0.18140890698945955</v>
      </c>
      <c r="P58" s="2">
        <f t="shared" ca="1" si="6"/>
        <v>0.22499858833660691</v>
      </c>
      <c r="Q58" s="2">
        <f t="shared" ca="1" si="6"/>
        <v>5.6347589626206895E-2</v>
      </c>
      <c r="R58" s="2">
        <f t="shared" ca="1" si="6"/>
        <v>0.10921096861481183</v>
      </c>
      <c r="S58" s="2">
        <f t="shared" ca="1" si="6"/>
        <v>0.21590303966257107</v>
      </c>
      <c r="T58" s="2">
        <f t="shared" ca="1" si="4"/>
        <v>0.74240353290542538</v>
      </c>
      <c r="U58" s="2">
        <f t="shared" ca="1" si="4"/>
        <v>0.7772658936732435</v>
      </c>
      <c r="V58" s="2">
        <f t="shared" ca="1" si="4"/>
        <v>1.36438454586153E-2</v>
      </c>
      <c r="W58" s="2">
        <f t="shared" ca="1" si="4"/>
        <v>0.28183880487411428</v>
      </c>
      <c r="X58" s="2">
        <f t="shared" ca="1" si="4"/>
        <v>0.32999799238705996</v>
      </c>
      <c r="Y58" s="2">
        <f t="shared" ca="1" si="4"/>
        <v>5.7412588827668865E-3</v>
      </c>
      <c r="Z58" s="2">
        <f t="shared" ca="1" si="4"/>
        <v>0.55136588394034558</v>
      </c>
      <c r="AA58" s="2">
        <f t="shared" ca="1" si="4"/>
        <v>0.58506720827983949</v>
      </c>
      <c r="AB58" s="2">
        <f ca="1">D58*Sheet2!C$16/_xlfn.STDEV.S(D$32:D$61)</f>
        <v>1.667884269043866</v>
      </c>
      <c r="AC58" s="2">
        <f ca="1">E58*Sheet2!D$16/_xlfn.STDEV.S(E$32:E$61)</f>
        <v>4.0420115640561756</v>
      </c>
      <c r="AD58" s="2">
        <f ca="1">F58*Sheet2!E$16/_xlfn.STDEV.S(F$32:F$61)</f>
        <v>3.0467165125186448</v>
      </c>
      <c r="AE58" s="2">
        <f ca="1">G58*Sheet2!F$16/_xlfn.STDEV.S(G$32:G$61)</f>
        <v>0.77495173119516714</v>
      </c>
      <c r="AF58" s="2">
        <f ca="1">H58*Sheet2!G$16/_xlfn.STDEV.S(H$32:H$61)</f>
        <v>2.6161879224764437</v>
      </c>
      <c r="AG58" s="2">
        <f ca="1">I58*Sheet2!H$16/_xlfn.STDEV.S(I$32:I$61)</f>
        <v>1.6378816559992189</v>
      </c>
      <c r="AH58" s="2">
        <f ca="1">J58*Sheet2!I$16/_xlfn.STDEV.S(J$32:J$61)</f>
        <v>1.9420926127082723</v>
      </c>
      <c r="AI58" s="2">
        <f ca="1">K58*Sheet2!J$16/_xlfn.STDEV.S(K$32:K$61)</f>
        <v>2.1974026694400952</v>
      </c>
      <c r="AJ58" s="2">
        <f ca="1">L58*Sheet2!K$16/_xlfn.STDEV.S(L$32:L$61)</f>
        <v>2.0941875895754292</v>
      </c>
      <c r="AK58" s="2">
        <f ca="1">M58*Sheet2!L$16/_xlfn.STDEV.S(M$32:M$61)</f>
        <v>8.1909230953728263E-2</v>
      </c>
      <c r="AL58" s="2">
        <f ca="1">N58*Sheet2!M$16/_xlfn.STDEV.S(N$32:N$61)</f>
        <v>1.8815757289640811</v>
      </c>
      <c r="AM58" s="2">
        <f ca="1">O58*Sheet2!N$16/_xlfn.STDEV.S(O$32:O$61)</f>
        <v>0.42077974994430312</v>
      </c>
      <c r="AN58" s="2">
        <f ca="1">P58*Sheet2!O$16/_xlfn.STDEV.S(P$32:P$61)</f>
        <v>0.85975633962851261</v>
      </c>
      <c r="AO58" s="2">
        <f ca="1">Q58*Sheet2!P$16/_xlfn.STDEV.S(Q$32:Q$61)</f>
        <v>0.36661783403986525</v>
      </c>
      <c r="AP58" s="2">
        <f ca="1">R58*Sheet2!Q$16/_xlfn.STDEV.S(R$32:R$61)</f>
        <v>0.38255177031208715</v>
      </c>
      <c r="AQ58" s="2">
        <f ca="1">S58*Sheet2!R$16/_xlfn.STDEV.S(S$32:S$61)</f>
        <v>0.68646814663122024</v>
      </c>
      <c r="AR58" s="2">
        <f ca="1">T58*Sheet2!S$16/_xlfn.STDEV.S(T$32:T$61)</f>
        <v>1.7922844378758469</v>
      </c>
      <c r="AS58" s="2">
        <f ca="1">U58*Sheet2!T$16/_xlfn.STDEV.S(U$32:U$61)</f>
        <v>4.3167454352851662</v>
      </c>
      <c r="AT58" s="2">
        <f ca="1">V58*Sheet2!U$16/_xlfn.STDEV.S(V$32:V$61)</f>
        <v>3.429088214526111E-2</v>
      </c>
      <c r="AU58" s="2">
        <f ca="1">W58*Sheet2!V$16/_xlfn.STDEV.S(W$32:W$61)</f>
        <v>1.2787965889753592</v>
      </c>
      <c r="AV58" s="2">
        <f ca="1">X58*Sheet2!W$16/_xlfn.STDEV.S(X$32:X$61)</f>
        <v>1.7056607853793995</v>
      </c>
      <c r="AW58" s="2">
        <f ca="1">Y58*Sheet2!X$16/_xlfn.STDEV.S(Y$32:Y$61)</f>
        <v>2.177227437998484E-2</v>
      </c>
      <c r="AX58" s="2">
        <f ca="1">Z58*Sheet2!Y$16/_xlfn.STDEV.S(Z$32:Z$61)</f>
        <v>2.1618763353902879</v>
      </c>
      <c r="AY58" s="2">
        <f ca="1">AA58*Sheet2!Z$16/_xlfn.STDEV.S(AA$32:AA$61)</f>
        <v>1.0777951844008304</v>
      </c>
      <c r="AZ58" s="2">
        <f ca="1">AB58-AVERAGE(AB$32:AB$61)+Sheet2!C$15</f>
        <v>3.6744921113448399</v>
      </c>
      <c r="BA58" s="2">
        <f ca="1">AC58-AVERAGE(AC$32:AC$61)+Sheet2!D$15</f>
        <v>9.402326641505196</v>
      </c>
      <c r="BB58" s="2">
        <f ca="1">AD58-AVERAGE(AD$32:AD$61)+Sheet2!E$15</f>
        <v>17.826063262310857</v>
      </c>
      <c r="BC58" s="2">
        <f ca="1">AE58-AVERAGE(AE$32:AE$61)+Sheet2!F$15</f>
        <v>13.527710261130906</v>
      </c>
      <c r="BD58" s="2">
        <f ca="1">AF58-AVERAGE(AF$32:AF$61)+Sheet2!G$15</f>
        <v>17.163135956446776</v>
      </c>
      <c r="BE58" s="2">
        <f ca="1">AG58-AVERAGE(AG$32:AG$61)+Sheet2!H$15</f>
        <v>27.034756458888399</v>
      </c>
      <c r="BF58" s="2">
        <f ca="1">AH58-AVERAGE(AH$32:AH$61)+Sheet2!I$15</f>
        <v>13.274339751857802</v>
      </c>
      <c r="BG58" s="2">
        <f ca="1">AI58-AVERAGE(AI$32:AI$61)+Sheet2!J$15</f>
        <v>22.835716122692844</v>
      </c>
      <c r="BH58" s="2">
        <f ca="1">AJ58-AVERAGE(AJ$32:AJ$61)+Sheet2!K$15</f>
        <v>23.572650928311415</v>
      </c>
      <c r="BI58" s="2">
        <f ca="1">AK58-AVERAGE(AK$32:AK$61)+Sheet2!L$15</f>
        <v>20.536282481915613</v>
      </c>
      <c r="BJ58" s="2">
        <f ca="1">AL58-AVERAGE(AL$32:AL$61)+Sheet2!M$15</f>
        <v>17.435402943413266</v>
      </c>
      <c r="BK58" s="2">
        <f ca="1">AM58-AVERAGE(AM$32:AM$61)+Sheet2!N$15</f>
        <v>7.7283908176519303</v>
      </c>
      <c r="BL58" s="2">
        <f ca="1">AN58-AVERAGE(AN$32:AN$61)+Sheet2!O$15</f>
        <v>3.9252564760979416</v>
      </c>
      <c r="BM58" s="2">
        <f ca="1">AO58-AVERAGE(AO$32:AO$61)+Sheet2!P$15</f>
        <v>20.039930740988368</v>
      </c>
      <c r="BN58" s="2">
        <f ca="1">AP58-AVERAGE(AP$32:AP$61)+Sheet2!Q$15</f>
        <v>8.172716051792575</v>
      </c>
      <c r="BO58" s="2">
        <f ca="1">AQ58-AVERAGE(AQ$32:AQ$61)+Sheet2!R$15</f>
        <v>8.4684511394157997</v>
      </c>
      <c r="BP58" s="2">
        <f ca="1">AR58-AVERAGE(AR$32:AR$61)+Sheet2!S$15</f>
        <v>4.3490741091252225</v>
      </c>
      <c r="BQ58" s="2">
        <f ca="1">AS58-AVERAGE(AS$32:AS$61)+Sheet2!T$15</f>
        <v>19.246271689718657</v>
      </c>
      <c r="BR58" s="2">
        <f ca="1">AT58-AVERAGE(AT$32:AT$61)+Sheet2!U$15</f>
        <v>22.591936020400826</v>
      </c>
      <c r="BS58" s="2">
        <f ca="1">AU58-AVERAGE(AU$32:AU$61)+Sheet2!V$15</f>
        <v>21.086573321437822</v>
      </c>
      <c r="BT58" s="2">
        <f ca="1">AV58-AVERAGE(AV$32:AV$61)+Sheet2!W$15</f>
        <v>25.726898736594496</v>
      </c>
      <c r="BU58" s="2">
        <f ca="1">AW58-AVERAGE(AW$32:AW$61)+Sheet2!X$15</f>
        <v>19.989021065131979</v>
      </c>
      <c r="BV58" s="2">
        <f ca="1">AX58-AVERAGE(AX$32:AX$61)+Sheet2!Y$15</f>
        <v>21.837074177582412</v>
      </c>
      <c r="BW58" s="2">
        <f ca="1">AY58-AVERAGE(AY$32:AY$61)+Sheet2!Z$15</f>
        <v>8.1219296433381167</v>
      </c>
      <c r="BZ58" s="2">
        <f ca="1">BA58-AVERAGE(AH$32:AH$61)+Sheet2!AB$15</f>
        <v>8.0857790350918766</v>
      </c>
      <c r="CA58" s="2">
        <f ca="1">BB58-AVERAGE(AI$32:AI$61)+Sheet2!AC$15</f>
        <v>16.365674066732751</v>
      </c>
      <c r="CB58" s="2">
        <f ca="1">BC58-AVERAGE(AJ$32:AJ$61)+Sheet2!AD$15</f>
        <v>10.499863040563937</v>
      </c>
      <c r="CC58" s="2">
        <f ca="1">BD58-AVERAGE(AK$32:AK$61)+Sheet2!AE$15</f>
        <v>14.501180228759303</v>
      </c>
    </row>
    <row r="59" spans="2:81" x14ac:dyDescent="0.3">
      <c r="B59">
        <v>58</v>
      </c>
      <c r="C59" s="1">
        <v>2</v>
      </c>
      <c r="D59" s="2">
        <f t="shared" ca="1" si="6"/>
        <v>0.96519339045800334</v>
      </c>
      <c r="E59" s="2">
        <f t="shared" ca="1" si="6"/>
        <v>0.97631251200696156</v>
      </c>
      <c r="F59" s="2">
        <f t="shared" ca="1" si="6"/>
        <v>3.7757532240626945E-2</v>
      </c>
      <c r="G59" s="2">
        <f t="shared" ca="1" si="6"/>
        <v>0.82915528081719214</v>
      </c>
      <c r="H59" s="2">
        <f t="shared" ca="1" si="6"/>
        <v>0.74573759600581291</v>
      </c>
      <c r="I59" s="2">
        <f t="shared" ca="1" si="6"/>
        <v>0.98081042212733827</v>
      </c>
      <c r="J59" s="2">
        <f t="shared" ca="1" si="6"/>
        <v>0.20556415301529907</v>
      </c>
      <c r="K59" s="2">
        <f t="shared" ca="1" si="6"/>
        <v>0.69913677162153443</v>
      </c>
      <c r="L59" s="2">
        <f t="shared" ca="1" si="6"/>
        <v>0.74392283671883441</v>
      </c>
      <c r="M59" s="2">
        <f t="shared" ca="1" si="6"/>
        <v>0.69129579740816149</v>
      </c>
      <c r="N59" s="2">
        <f t="shared" ca="1" si="6"/>
        <v>0.87175249804784094</v>
      </c>
      <c r="O59" s="2">
        <f t="shared" ca="1" si="6"/>
        <v>3.1365926475326433E-2</v>
      </c>
      <c r="P59" s="2">
        <f t="shared" ca="1" si="6"/>
        <v>0.78465818550939948</v>
      </c>
      <c r="Q59" s="2">
        <f t="shared" ca="1" si="4"/>
        <v>0.33932142752321193</v>
      </c>
      <c r="R59" s="2">
        <f t="shared" ca="1" si="4"/>
        <v>0.36407077467984716</v>
      </c>
      <c r="S59" s="2">
        <f t="shared" ca="1" si="4"/>
        <v>0.5589167907111523</v>
      </c>
      <c r="T59" s="2">
        <f t="shared" ca="1" si="4"/>
        <v>0.81426834091093503</v>
      </c>
      <c r="U59" s="2">
        <f t="shared" ca="1" si="4"/>
        <v>0.36489469941817121</v>
      </c>
      <c r="V59" s="2">
        <f t="shared" ca="1" si="4"/>
        <v>0.37185270909237467</v>
      </c>
      <c r="W59" s="2">
        <f t="shared" ca="1" si="4"/>
        <v>0.41650298520110063</v>
      </c>
      <c r="X59" s="2">
        <f t="shared" ca="1" si="4"/>
        <v>0.38167698267694472</v>
      </c>
      <c r="Y59" s="2">
        <f t="shared" ca="1" si="4"/>
        <v>0.97403902635624917</v>
      </c>
      <c r="Z59" s="2">
        <f t="shared" ca="1" si="4"/>
        <v>5.2126106443554421E-2</v>
      </c>
      <c r="AA59" s="2">
        <f t="shared" ca="1" si="4"/>
        <v>0.71992505715006916</v>
      </c>
      <c r="AB59" s="2">
        <f ca="1">D59*Sheet2!C$16/_xlfn.STDEV.S(D$32:D$61)</f>
        <v>4.6515230138378616</v>
      </c>
      <c r="AC59" s="2">
        <f ca="1">E59*Sheet2!D$16/_xlfn.STDEV.S(E$32:E$61)</f>
        <v>6.9565706092482502</v>
      </c>
      <c r="AD59" s="2">
        <f ca="1">F59*Sheet2!E$16/_xlfn.STDEV.S(F$32:F$61)</f>
        <v>0.21544102546584454</v>
      </c>
      <c r="AE59" s="2">
        <f ca="1">G59*Sheet2!F$16/_xlfn.STDEV.S(G$32:G$61)</f>
        <v>6.7944303856565282</v>
      </c>
      <c r="AF59" s="2">
        <f ca="1">H59*Sheet2!G$16/_xlfn.STDEV.S(H$32:H$61)</f>
        <v>11.433535810557245</v>
      </c>
      <c r="AG59" s="2">
        <f ca="1">I59*Sheet2!H$16/_xlfn.STDEV.S(I$32:I$61)</f>
        <v>10.507319141935719</v>
      </c>
      <c r="AH59" s="2">
        <f ca="1">J59*Sheet2!I$16/_xlfn.STDEV.S(J$32:J$61)</f>
        <v>0.49884816083351707</v>
      </c>
      <c r="AI59" s="2">
        <f ca="1">K59*Sheet2!J$16/_xlfn.STDEV.S(K$32:K$61)</f>
        <v>2.3312681236334982</v>
      </c>
      <c r="AJ59" s="2">
        <f ca="1">L59*Sheet2!K$16/_xlfn.STDEV.S(L$32:L$61)</f>
        <v>4.8643831593675788</v>
      </c>
      <c r="AK59" s="2">
        <f ca="1">M59*Sheet2!L$16/_xlfn.STDEV.S(M$32:M$61)</f>
        <v>3.8398262385391675</v>
      </c>
      <c r="AL59" s="2">
        <f ca="1">N59*Sheet2!M$16/_xlfn.STDEV.S(N$32:N$61)</f>
        <v>2.2430296652165436</v>
      </c>
      <c r="AM59" s="2">
        <f ca="1">O59*Sheet2!N$16/_xlfn.STDEV.S(O$32:O$61)</f>
        <v>7.2753575985252533E-2</v>
      </c>
      <c r="AN59" s="2">
        <f ca="1">P59*Sheet2!O$16/_xlfn.STDEV.S(P$32:P$61)</f>
        <v>2.9983070312595066</v>
      </c>
      <c r="AO59" s="2">
        <f ca="1">Q59*Sheet2!P$16/_xlfn.STDEV.S(Q$32:Q$61)</f>
        <v>2.207748150845779</v>
      </c>
      <c r="AP59" s="2">
        <f ca="1">R59*Sheet2!Q$16/_xlfn.STDEV.S(R$32:R$61)</f>
        <v>1.275292410086537</v>
      </c>
      <c r="AQ59" s="2">
        <f ca="1">S59*Sheet2!R$16/_xlfn.STDEV.S(S$32:S$61)</f>
        <v>1.777087409423207</v>
      </c>
      <c r="AR59" s="2">
        <f ca="1">T59*Sheet2!S$16/_xlfn.STDEV.S(T$32:T$61)</f>
        <v>1.9657779239792037</v>
      </c>
      <c r="AS59" s="2">
        <f ca="1">U59*Sheet2!T$16/_xlfn.STDEV.S(U$32:U$61)</f>
        <v>2.0265362740016575</v>
      </c>
      <c r="AT59" s="2">
        <f ca="1">V59*Sheet2!U$16/_xlfn.STDEV.S(V$32:V$61)</f>
        <v>0.93457210883542108</v>
      </c>
      <c r="AU59" s="2">
        <f ca="1">W59*Sheet2!V$16/_xlfn.STDEV.S(W$32:W$61)</f>
        <v>1.8898128560086764</v>
      </c>
      <c r="AV59" s="2">
        <f ca="1">X59*Sheet2!W$16/_xlfn.STDEV.S(X$32:X$61)</f>
        <v>1.9727740078806759</v>
      </c>
      <c r="AW59" s="2">
        <f ca="1">Y59*Sheet2!X$16/_xlfn.STDEV.S(Y$32:Y$61)</f>
        <v>3.6937970176361778</v>
      </c>
      <c r="AX59" s="2">
        <f ca="1">Z59*Sheet2!Y$16/_xlfn.STDEV.S(Z$32:Z$61)</f>
        <v>0.20438369376613061</v>
      </c>
      <c r="AY59" s="2">
        <f ca="1">AA59*Sheet2!Z$16/_xlfn.STDEV.S(AA$32:AA$61)</f>
        <v>1.3262267116408044</v>
      </c>
      <c r="AZ59" s="2">
        <f ca="1">AB59-AVERAGE(AB$32:AB$61)+Sheet2!C$15</f>
        <v>6.6581308561388362</v>
      </c>
      <c r="BA59" s="2">
        <f ca="1">AC59-AVERAGE(AC$32:AC$61)+Sheet2!D$15</f>
        <v>12.316885686697271</v>
      </c>
      <c r="BB59" s="2">
        <f ca="1">AD59-AVERAGE(AD$32:AD$61)+Sheet2!E$15</f>
        <v>14.994787775258056</v>
      </c>
      <c r="BC59" s="2">
        <f ca="1">AE59-AVERAGE(AE$32:AE$61)+Sheet2!F$15</f>
        <v>19.547188915592265</v>
      </c>
      <c r="BD59" s="2">
        <f ca="1">AF59-AVERAGE(AF$32:AF$61)+Sheet2!G$15</f>
        <v>25.980483844527576</v>
      </c>
      <c r="BE59" s="2">
        <f ca="1">AG59-AVERAGE(AG$32:AG$61)+Sheet2!H$15</f>
        <v>35.904193944824897</v>
      </c>
      <c r="BF59" s="2">
        <f ca="1">AH59-AVERAGE(AH$32:AH$61)+Sheet2!I$15</f>
        <v>11.831095299983046</v>
      </c>
      <c r="BG59" s="2">
        <f ca="1">AI59-AVERAGE(AI$32:AI$61)+Sheet2!J$15</f>
        <v>22.969581576886249</v>
      </c>
      <c r="BH59" s="2">
        <f ca="1">AJ59-AVERAGE(AJ$32:AJ$61)+Sheet2!K$15</f>
        <v>26.342846498103565</v>
      </c>
      <c r="BI59" s="2">
        <f ca="1">AK59-AVERAGE(AK$32:AK$61)+Sheet2!L$15</f>
        <v>24.29419948950105</v>
      </c>
      <c r="BJ59" s="2">
        <f ca="1">AL59-AVERAGE(AL$32:AL$61)+Sheet2!M$15</f>
        <v>17.796856879665729</v>
      </c>
      <c r="BK59" s="2">
        <f ca="1">AM59-AVERAGE(AM$32:AM$61)+Sheet2!N$15</f>
        <v>7.3803646436928796</v>
      </c>
      <c r="BL59" s="2">
        <f ca="1">AN59-AVERAGE(AN$32:AN$61)+Sheet2!O$15</f>
        <v>6.0638071677289354</v>
      </c>
      <c r="BM59" s="2">
        <f ca="1">AO59-AVERAGE(AO$32:AO$61)+Sheet2!P$15</f>
        <v>21.88106105779428</v>
      </c>
      <c r="BN59" s="2">
        <f ca="1">AP59-AVERAGE(AP$32:AP$61)+Sheet2!Q$15</f>
        <v>9.0654566915670252</v>
      </c>
      <c r="BO59" s="2">
        <f ca="1">AQ59-AVERAGE(AQ$32:AQ$61)+Sheet2!R$15</f>
        <v>9.5590704022077873</v>
      </c>
      <c r="BP59" s="2">
        <f ca="1">AR59-AVERAGE(AR$32:AR$61)+Sheet2!S$15</f>
        <v>4.5225675952285798</v>
      </c>
      <c r="BQ59" s="2">
        <f ca="1">AS59-AVERAGE(AS$32:AS$61)+Sheet2!T$15</f>
        <v>16.956062528435147</v>
      </c>
      <c r="BR59" s="2">
        <f ca="1">AT59-AVERAGE(AT$32:AT$61)+Sheet2!U$15</f>
        <v>23.492217247090984</v>
      </c>
      <c r="BS59" s="2">
        <f ca="1">AU59-AVERAGE(AU$32:AU$61)+Sheet2!V$15</f>
        <v>21.697589588471139</v>
      </c>
      <c r="BT59" s="2">
        <f ca="1">AV59-AVERAGE(AV$32:AV$61)+Sheet2!W$15</f>
        <v>25.994011959095772</v>
      </c>
      <c r="BU59" s="2">
        <f ca="1">AW59-AVERAGE(AW$32:AW$61)+Sheet2!X$15</f>
        <v>23.661045808388174</v>
      </c>
      <c r="BV59" s="2">
        <f ca="1">AX59-AVERAGE(AX$32:AX$61)+Sheet2!Y$15</f>
        <v>19.879581535958256</v>
      </c>
      <c r="BW59" s="2">
        <f ca="1">AY59-AVERAGE(AY$32:AY$61)+Sheet2!Z$15</f>
        <v>8.3703611705780911</v>
      </c>
      <c r="BZ59" s="2">
        <f ca="1">BA59-AVERAGE(AH$32:AH$61)+Sheet2!AB$15</f>
        <v>11.000338080283951</v>
      </c>
      <c r="CA59" s="2">
        <f ca="1">BB59-AVERAGE(AI$32:AI$61)+Sheet2!AC$15</f>
        <v>13.534398579679952</v>
      </c>
      <c r="CB59" s="2">
        <f ca="1">BC59-AVERAGE(AJ$32:AJ$61)+Sheet2!AD$15</f>
        <v>16.519341695025297</v>
      </c>
      <c r="CC59" s="2">
        <f ca="1">BD59-AVERAGE(AK$32:AK$61)+Sheet2!AE$15</f>
        <v>23.318528116840103</v>
      </c>
    </row>
    <row r="60" spans="2:81" x14ac:dyDescent="0.3">
      <c r="B60">
        <v>59</v>
      </c>
      <c r="C60" s="1">
        <v>2</v>
      </c>
      <c r="D60" s="2">
        <f t="shared" ca="1" si="6"/>
        <v>0.68425667458147399</v>
      </c>
      <c r="E60" s="2">
        <f t="shared" ca="1" si="6"/>
        <v>0.76355289648801128</v>
      </c>
      <c r="F60" s="2">
        <f t="shared" ca="1" si="6"/>
        <v>0.84254194466142196</v>
      </c>
      <c r="G60" s="2">
        <f t="shared" ca="1" si="6"/>
        <v>0.77739969438342149</v>
      </c>
      <c r="H60" s="2">
        <f t="shared" ca="1" si="6"/>
        <v>0.37063744829627043</v>
      </c>
      <c r="I60" s="2">
        <f t="shared" ca="1" si="6"/>
        <v>0.73359961178168498</v>
      </c>
      <c r="J60" s="2">
        <f t="shared" ca="1" si="6"/>
        <v>0.31143989417628115</v>
      </c>
      <c r="K60" s="2">
        <f t="shared" ca="1" si="6"/>
        <v>0.52050914923245961</v>
      </c>
      <c r="L60" s="2">
        <f t="shared" ca="1" si="6"/>
        <v>0.38545156016202342</v>
      </c>
      <c r="M60" s="2">
        <f t="shared" ca="1" si="6"/>
        <v>0.61357936498097909</v>
      </c>
      <c r="N60" s="2">
        <f t="shared" ca="1" si="6"/>
        <v>0.38852320773152305</v>
      </c>
      <c r="O60" s="2">
        <f t="shared" ca="1" si="6"/>
        <v>7.4409086142585901E-2</v>
      </c>
      <c r="P60" s="2">
        <f t="shared" ca="1" si="6"/>
        <v>0.77013953335690855</v>
      </c>
      <c r="Q60" s="2">
        <f t="shared" ca="1" si="4"/>
        <v>0.87016189987341919</v>
      </c>
      <c r="R60" s="2">
        <f t="shared" ca="1" si="4"/>
        <v>1.5850001864333607E-2</v>
      </c>
      <c r="S60" s="2">
        <f t="shared" ref="Q60:AA86" ca="1" si="7">RAND()</f>
        <v>0.76246308617361869</v>
      </c>
      <c r="T60" s="2">
        <f t="shared" ca="1" si="7"/>
        <v>0.18402841855228402</v>
      </c>
      <c r="U60" s="2">
        <f t="shared" ca="1" si="7"/>
        <v>0.26382334410264507</v>
      </c>
      <c r="V60" s="2">
        <f t="shared" ca="1" si="7"/>
        <v>0.975741678102097</v>
      </c>
      <c r="W60" s="2">
        <f t="shared" ca="1" si="7"/>
        <v>0.93117029004717444</v>
      </c>
      <c r="X60" s="2">
        <f t="shared" ca="1" si="7"/>
        <v>0.75984408226666633</v>
      </c>
      <c r="Y60" s="2">
        <f t="shared" ca="1" si="7"/>
        <v>0.83420963923632663</v>
      </c>
      <c r="Z60" s="2">
        <f t="shared" ca="1" si="7"/>
        <v>0.76567251893761834</v>
      </c>
      <c r="AA60" s="2">
        <f t="shared" ca="1" si="7"/>
        <v>0.82416046151534628</v>
      </c>
      <c r="AB60" s="2">
        <f ca="1">D60*Sheet2!C$16/_xlfn.STDEV.S(D$32:D$61)</f>
        <v>3.2976144476886358</v>
      </c>
      <c r="AC60" s="2">
        <f ca="1">E60*Sheet2!D$16/_xlfn.STDEV.S(E$32:E$61)</f>
        <v>5.4405833920901303</v>
      </c>
      <c r="AD60" s="2">
        <f ca="1">F60*Sheet2!E$16/_xlfn.STDEV.S(F$32:F$61)</f>
        <v>4.8074672729943639</v>
      </c>
      <c r="AE60" s="2">
        <f ca="1">G60*Sheet2!F$16/_xlfn.STDEV.S(G$32:G$61)</f>
        <v>6.3703243861789538</v>
      </c>
      <c r="AF60" s="2">
        <f ca="1">H60*Sheet2!G$16/_xlfn.STDEV.S(H$32:H$61)</f>
        <v>5.6825571897221812</v>
      </c>
      <c r="AG60" s="2">
        <f ca="1">I60*Sheet2!H$16/_xlfn.STDEV.S(I$32:I$61)</f>
        <v>7.8589756689897428</v>
      </c>
      <c r="AH60" s="2">
        <f ca="1">J60*Sheet2!I$16/_xlfn.STDEV.S(J$32:J$61)</f>
        <v>0.75577972200464494</v>
      </c>
      <c r="AI60" s="2">
        <f ca="1">K60*Sheet2!J$16/_xlfn.STDEV.S(K$32:K$61)</f>
        <v>1.7356351960301453</v>
      </c>
      <c r="AJ60" s="2">
        <f ca="1">L60*Sheet2!K$16/_xlfn.STDEV.S(L$32:L$61)</f>
        <v>2.5204012909107076</v>
      </c>
      <c r="AK60" s="2">
        <f ca="1">M60*Sheet2!L$16/_xlfn.STDEV.S(M$32:M$61)</f>
        <v>3.4081476466565137</v>
      </c>
      <c r="AL60" s="2">
        <f ca="1">N60*Sheet2!M$16/_xlfn.STDEV.S(N$32:N$61)</f>
        <v>0.9996748876755962</v>
      </c>
      <c r="AM60" s="2">
        <f ca="1">O60*Sheet2!N$16/_xlfn.STDEV.S(O$32:O$61)</f>
        <v>0.17259260959265144</v>
      </c>
      <c r="AN60" s="2">
        <f ca="1">P60*Sheet2!O$16/_xlfn.STDEV.S(P$32:P$61)</f>
        <v>2.942828891048729</v>
      </c>
      <c r="AO60" s="2">
        <f ca="1">Q60*Sheet2!P$16/_xlfn.STDEV.S(Q$32:Q$61)</f>
        <v>5.6615885987647356</v>
      </c>
      <c r="AP60" s="2">
        <f ca="1">R60*Sheet2!Q$16/_xlfn.STDEV.S(R$32:R$61)</f>
        <v>5.5520488001864883E-2</v>
      </c>
      <c r="AQ60" s="2">
        <f ca="1">S60*Sheet2!R$16/_xlfn.STDEV.S(S$32:S$61)</f>
        <v>2.424267034212868</v>
      </c>
      <c r="AR60" s="2">
        <f ca="1">T60*Sheet2!S$16/_xlfn.STDEV.S(T$32:T$61)</f>
        <v>0.44427492068545771</v>
      </c>
      <c r="AS60" s="2">
        <f ca="1">U60*Sheet2!T$16/_xlfn.STDEV.S(U$32:U$61)</f>
        <v>1.4652105870678123</v>
      </c>
      <c r="AT60" s="2">
        <f ca="1">V60*Sheet2!U$16/_xlfn.STDEV.S(V$32:V$61)</f>
        <v>2.4523176394445936</v>
      </c>
      <c r="AU60" s="2">
        <f ca="1">W60*Sheet2!V$16/_xlfn.STDEV.S(W$32:W$61)</f>
        <v>4.2250299464596202</v>
      </c>
      <c r="AV60" s="2">
        <f ca="1">X60*Sheet2!W$16/_xlfn.STDEV.S(X$32:X$61)</f>
        <v>3.9274064813240113</v>
      </c>
      <c r="AW60" s="2">
        <f ca="1">Y60*Sheet2!X$16/_xlfn.STDEV.S(Y$32:Y$61)</f>
        <v>3.163529380359233</v>
      </c>
      <c r="AX60" s="2">
        <f ca="1">Z60*Sheet2!Y$16/_xlfn.STDEV.S(Z$32:Z$61)</f>
        <v>3.0021612645315598</v>
      </c>
      <c r="AY60" s="2">
        <f ca="1">AA60*Sheet2!Z$16/_xlfn.STDEV.S(AA$32:AA$61)</f>
        <v>1.5182463895155458</v>
      </c>
      <c r="AZ60" s="2">
        <f ca="1">AB60-AVERAGE(AB$32:AB$61)+Sheet2!C$15</f>
        <v>5.3042222899896103</v>
      </c>
      <c r="BA60" s="2">
        <f ca="1">AC60-AVERAGE(AC$32:AC$61)+Sheet2!D$15</f>
        <v>10.800898469539151</v>
      </c>
      <c r="BB60" s="2">
        <f ca="1">AD60-AVERAGE(AD$32:AD$61)+Sheet2!E$15</f>
        <v>19.586814022786577</v>
      </c>
      <c r="BC60" s="2">
        <f ca="1">AE60-AVERAGE(AE$32:AE$61)+Sheet2!F$15</f>
        <v>19.12308291611469</v>
      </c>
      <c r="BD60" s="2">
        <f ca="1">AF60-AVERAGE(AF$32:AF$61)+Sheet2!G$15</f>
        <v>20.229505223692513</v>
      </c>
      <c r="BE60" s="2">
        <f ca="1">AG60-AVERAGE(AG$32:AG$61)+Sheet2!H$15</f>
        <v>33.255850471878922</v>
      </c>
      <c r="BF60" s="2">
        <f ca="1">AH60-AVERAGE(AH$32:AH$61)+Sheet2!I$15</f>
        <v>12.088026861154175</v>
      </c>
      <c r="BG60" s="2">
        <f ca="1">AI60-AVERAGE(AI$32:AI$61)+Sheet2!J$15</f>
        <v>22.373948649282895</v>
      </c>
      <c r="BH60" s="2">
        <f ca="1">AJ60-AVERAGE(AJ$32:AJ$61)+Sheet2!K$15</f>
        <v>23.998864629646693</v>
      </c>
      <c r="BI60" s="2">
        <f ca="1">AK60-AVERAGE(AK$32:AK$61)+Sheet2!L$15</f>
        <v>23.862520897618396</v>
      </c>
      <c r="BJ60" s="2">
        <f ca="1">AL60-AVERAGE(AL$32:AL$61)+Sheet2!M$15</f>
        <v>16.553502102124781</v>
      </c>
      <c r="BK60" s="2">
        <f ca="1">AM60-AVERAGE(AM$32:AM$61)+Sheet2!N$15</f>
        <v>7.4802036773002785</v>
      </c>
      <c r="BL60" s="2">
        <f ca="1">AN60-AVERAGE(AN$32:AN$61)+Sheet2!O$15</f>
        <v>6.0083290275181582</v>
      </c>
      <c r="BM60" s="2">
        <f ca="1">AO60-AVERAGE(AO$32:AO$61)+Sheet2!P$15</f>
        <v>25.334901505713237</v>
      </c>
      <c r="BN60" s="2">
        <f ca="1">AP60-AVERAGE(AP$32:AP$61)+Sheet2!Q$15</f>
        <v>7.8456847694823537</v>
      </c>
      <c r="BO60" s="2">
        <f ca="1">AQ60-AVERAGE(AQ$32:AQ$61)+Sheet2!R$15</f>
        <v>10.206250026997449</v>
      </c>
      <c r="BP60" s="2">
        <f ca="1">AR60-AVERAGE(AR$32:AR$61)+Sheet2!S$15</f>
        <v>3.0010645919348335</v>
      </c>
      <c r="BQ60" s="2">
        <f ca="1">AS60-AVERAGE(AS$32:AS$61)+Sheet2!T$15</f>
        <v>16.394736841501302</v>
      </c>
      <c r="BR60" s="2">
        <f ca="1">AT60-AVERAGE(AT$32:AT$61)+Sheet2!U$15</f>
        <v>25.009962777700157</v>
      </c>
      <c r="BS60" s="2">
        <f ca="1">AU60-AVERAGE(AU$32:AU$61)+Sheet2!V$15</f>
        <v>24.032806678922082</v>
      </c>
      <c r="BT60" s="2">
        <f ca="1">AV60-AVERAGE(AV$32:AV$61)+Sheet2!W$15</f>
        <v>27.948644432539108</v>
      </c>
      <c r="BU60" s="2">
        <f ca="1">AW60-AVERAGE(AW$32:AW$61)+Sheet2!X$15</f>
        <v>23.130778171111228</v>
      </c>
      <c r="BV60" s="2">
        <f ca="1">AX60-AVERAGE(AX$32:AX$61)+Sheet2!Y$15</f>
        <v>22.677359106723685</v>
      </c>
      <c r="BW60" s="2">
        <f ca="1">AY60-AVERAGE(AY$32:AY$61)+Sheet2!Z$15</f>
        <v>8.5623808484528325</v>
      </c>
      <c r="BZ60" s="2">
        <f ca="1">BA60-AVERAGE(AH$32:AH$61)+Sheet2!AB$15</f>
        <v>9.4843508631258313</v>
      </c>
      <c r="CA60" s="2">
        <f ca="1">BB60-AVERAGE(AI$32:AI$61)+Sheet2!AC$15</f>
        <v>18.126424827208471</v>
      </c>
      <c r="CB60" s="2">
        <f ca="1">BC60-AVERAGE(AJ$32:AJ$61)+Sheet2!AD$15</f>
        <v>16.095235695547721</v>
      </c>
      <c r="CC60" s="2">
        <f ca="1">BD60-AVERAGE(AK$32:AK$61)+Sheet2!AE$15</f>
        <v>17.567549496005039</v>
      </c>
    </row>
    <row r="61" spans="2:81" x14ac:dyDescent="0.3">
      <c r="B61">
        <v>60</v>
      </c>
      <c r="C61" s="1">
        <v>2</v>
      </c>
      <c r="D61" s="2">
        <f t="shared" ca="1" si="6"/>
        <v>0.36322388501468184</v>
      </c>
      <c r="E61" s="2">
        <f t="shared" ca="1" si="6"/>
        <v>0.24311253260433996</v>
      </c>
      <c r="F61" s="2">
        <f t="shared" ca="1" si="6"/>
        <v>0.6680861083202303</v>
      </c>
      <c r="G61" s="2">
        <f t="shared" ca="1" si="6"/>
        <v>0.77831771983063214</v>
      </c>
      <c r="H61" s="2">
        <f t="shared" ca="1" si="6"/>
        <v>0.51498503057873823</v>
      </c>
      <c r="I61" s="2">
        <f t="shared" ca="1" si="6"/>
        <v>0.46672643358499566</v>
      </c>
      <c r="J61" s="2">
        <f t="shared" ca="1" si="6"/>
        <v>0.82213757814073329</v>
      </c>
      <c r="K61" s="2">
        <f t="shared" ca="1" si="6"/>
        <v>0.22633751502372401</v>
      </c>
      <c r="L61" s="2">
        <f t="shared" ca="1" si="6"/>
        <v>3.5391819600598007E-2</v>
      </c>
      <c r="M61" s="2">
        <f t="shared" ca="1" si="6"/>
        <v>0.97549465530530433</v>
      </c>
      <c r="N61" s="2">
        <f t="shared" ca="1" si="6"/>
        <v>0.42963078318103431</v>
      </c>
      <c r="O61" s="2">
        <f t="shared" ca="1" si="6"/>
        <v>0.31631333595015465</v>
      </c>
      <c r="P61" s="2">
        <f t="shared" ca="1" si="6"/>
        <v>0.45375180856109587</v>
      </c>
      <c r="Q61" s="2">
        <f t="shared" ca="1" si="7"/>
        <v>0.12062778980385547</v>
      </c>
      <c r="R61" s="2">
        <f t="shared" ca="1" si="7"/>
        <v>0.95906048444425418</v>
      </c>
      <c r="S61" s="2">
        <f t="shared" ca="1" si="7"/>
        <v>0.4848123856870924</v>
      </c>
      <c r="T61" s="2">
        <f t="shared" ca="1" si="7"/>
        <v>3.9676474892243463E-2</v>
      </c>
      <c r="U61" s="2">
        <f t="shared" ca="1" si="7"/>
        <v>0.30570819467685428</v>
      </c>
      <c r="V61" s="2">
        <f t="shared" ca="1" si="7"/>
        <v>0.86548466217857112</v>
      </c>
      <c r="W61" s="2">
        <f t="shared" ca="1" si="7"/>
        <v>0.85300577095941077</v>
      </c>
      <c r="X61" s="2">
        <f t="shared" ca="1" si="7"/>
        <v>0.18723675388884831</v>
      </c>
      <c r="Y61" s="2">
        <f t="shared" ca="1" si="7"/>
        <v>4.3588488297082617E-2</v>
      </c>
      <c r="Z61" s="2">
        <f t="shared" ca="1" si="7"/>
        <v>0.49240975712357038</v>
      </c>
      <c r="AA61" s="2">
        <f t="shared" ca="1" si="7"/>
        <v>0.90964547998533052</v>
      </c>
      <c r="AB61" s="2">
        <f ca="1">D61*Sheet2!C$16/_xlfn.STDEV.S(D$32:D$61)</f>
        <v>1.7504722649620172</v>
      </c>
      <c r="AC61" s="2">
        <f ca="1">E61*Sheet2!D$16/_xlfn.STDEV.S(E$32:E$61)</f>
        <v>1.7322624449200943</v>
      </c>
      <c r="AD61" s="2">
        <f ca="1">F61*Sheet2!E$16/_xlfn.STDEV.S(F$32:F$61)</f>
        <v>3.8120382274645657</v>
      </c>
      <c r="AE61" s="2">
        <f ca="1">G61*Sheet2!F$16/_xlfn.STDEV.S(G$32:G$61)</f>
        <v>6.3778470542938894</v>
      </c>
      <c r="AF61" s="2">
        <f ca="1">H61*Sheet2!G$16/_xlfn.STDEV.S(H$32:H$61)</f>
        <v>7.8956724463936308</v>
      </c>
      <c r="AG61" s="2">
        <f ca="1">I61*Sheet2!H$16/_xlfn.STDEV.S(I$32:I$61)</f>
        <v>4.9999913123051263</v>
      </c>
      <c r="AH61" s="2">
        <f ca="1">J61*Sheet2!I$16/_xlfn.STDEV.S(J$32:J$61)</f>
        <v>1.9951037804587628</v>
      </c>
      <c r="AI61" s="2">
        <f ca="1">K61*Sheet2!J$16/_xlfn.STDEV.S(K$32:K$61)</f>
        <v>0.75472132975271666</v>
      </c>
      <c r="AJ61" s="2">
        <f ca="1">L61*Sheet2!K$16/_xlfn.STDEV.S(L$32:L$61)</f>
        <v>0.23142100597940368</v>
      </c>
      <c r="AK61" s="2">
        <f ca="1">M61*Sheet2!L$16/_xlfn.STDEV.S(M$32:M$61)</f>
        <v>5.418418551132083</v>
      </c>
      <c r="AL61" s="2">
        <f ca="1">N61*Sheet2!M$16/_xlfn.STDEV.S(N$32:N$61)</f>
        <v>1.1054451738575819</v>
      </c>
      <c r="AM61" s="2">
        <f ca="1">O61*Sheet2!N$16/_xlfn.STDEV.S(O$32:O$61)</f>
        <v>0.73369190418465979</v>
      </c>
      <c r="AN61" s="2">
        <f ca="1">P61*Sheet2!O$16/_xlfn.STDEV.S(P$32:P$61)</f>
        <v>1.7338597406872447</v>
      </c>
      <c r="AO61" s="2">
        <f ca="1">Q61*Sheet2!P$16/_xlfn.STDEV.S(Q$32:Q$61)</f>
        <v>0.78484810648115466</v>
      </c>
      <c r="AP61" s="2">
        <f ca="1">R61*Sheet2!Q$16/_xlfn.STDEV.S(R$32:R$61)</f>
        <v>3.3594637133431444</v>
      </c>
      <c r="AQ61" s="2">
        <f ca="1">S61*Sheet2!R$16/_xlfn.STDEV.S(S$32:S$61)</f>
        <v>1.5414709324454881</v>
      </c>
      <c r="AR61" s="2">
        <f ca="1">T61*Sheet2!S$16/_xlfn.STDEV.S(T$32:T$61)</f>
        <v>9.5785547006817115E-2</v>
      </c>
      <c r="AS61" s="2">
        <f ca="1">U61*Sheet2!T$16/_xlfn.STDEV.S(U$32:U$61)</f>
        <v>1.6978288442119094</v>
      </c>
      <c r="AT61" s="2">
        <f ca="1">V61*Sheet2!U$16/_xlfn.STDEV.S(V$32:V$61)</f>
        <v>2.1752102542730296</v>
      </c>
      <c r="AU61" s="2">
        <f ca="1">W61*Sheet2!V$16/_xlfn.STDEV.S(W$32:W$61)</f>
        <v>3.8703714726806893</v>
      </c>
      <c r="AV61" s="2">
        <f ca="1">X61*Sheet2!W$16/_xlfn.STDEV.S(X$32:X$61)</f>
        <v>0.96777070181492819</v>
      </c>
      <c r="AW61" s="2">
        <f ca="1">Y61*Sheet2!X$16/_xlfn.STDEV.S(Y$32:Y$61)</f>
        <v>0.16529833376116271</v>
      </c>
      <c r="AX61" s="2">
        <f ca="1">Z61*Sheet2!Y$16/_xlfn.STDEV.S(Z$32:Z$61)</f>
        <v>1.9307124946379555</v>
      </c>
      <c r="AY61" s="2">
        <f ca="1">AA61*Sheet2!Z$16/_xlfn.STDEV.S(AA$32:AA$61)</f>
        <v>1.6757246073022731</v>
      </c>
      <c r="AZ61" s="2">
        <f ca="1">AB61-AVERAGE(AB$32:AB$61)+Sheet2!C$15</f>
        <v>3.7570801072629916</v>
      </c>
      <c r="BA61" s="2">
        <f ca="1">AC61-AVERAGE(AC$32:AC$61)+Sheet2!D$15</f>
        <v>7.0925775223691145</v>
      </c>
      <c r="BB61" s="2">
        <f ca="1">AD61-AVERAGE(AD$32:AD$61)+Sheet2!E$15</f>
        <v>18.591384977256777</v>
      </c>
      <c r="BC61" s="2">
        <f ca="1">AE61-AVERAGE(AE$32:AE$61)+Sheet2!F$15</f>
        <v>19.130605584229627</v>
      </c>
      <c r="BD61" s="2">
        <f ca="1">AF61-AVERAGE(AF$32:AF$61)+Sheet2!G$15</f>
        <v>22.442620480363964</v>
      </c>
      <c r="BE61" s="2">
        <f ca="1">AG61-AVERAGE(AG$32:AG$61)+Sheet2!H$15</f>
        <v>30.396866115194307</v>
      </c>
      <c r="BF61" s="2">
        <f ca="1">AH61-AVERAGE(AH$32:AH$61)+Sheet2!I$15</f>
        <v>13.327350919608293</v>
      </c>
      <c r="BG61" s="2">
        <f ca="1">AI61-AVERAGE(AI$32:AI$61)+Sheet2!J$15</f>
        <v>21.393034783005469</v>
      </c>
      <c r="BH61" s="2">
        <f ca="1">AJ61-AVERAGE(AJ$32:AJ$61)+Sheet2!K$15</f>
        <v>21.709884344715391</v>
      </c>
      <c r="BI61" s="2">
        <f ca="1">AK61-AVERAGE(AK$32:AK$61)+Sheet2!L$15</f>
        <v>25.872791802093968</v>
      </c>
      <c r="BJ61" s="2">
        <f ca="1">AL61-AVERAGE(AL$32:AL$61)+Sheet2!M$15</f>
        <v>16.659272388306768</v>
      </c>
      <c r="BK61" s="2">
        <f ca="1">AM61-AVERAGE(AM$32:AM$61)+Sheet2!N$15</f>
        <v>8.0413029718922875</v>
      </c>
      <c r="BL61" s="2">
        <f ca="1">AN61-AVERAGE(AN$32:AN$61)+Sheet2!O$15</f>
        <v>4.7993598771566734</v>
      </c>
      <c r="BM61" s="2">
        <f ca="1">AO61-AVERAGE(AO$32:AO$61)+Sheet2!P$15</f>
        <v>20.458161013429656</v>
      </c>
      <c r="BN61" s="2">
        <f ca="1">AP61-AVERAGE(AP$32:AP$61)+Sheet2!Q$15</f>
        <v>11.149627994823632</v>
      </c>
      <c r="BO61" s="2">
        <f ca="1">AQ61-AVERAGE(AQ$32:AQ$61)+Sheet2!R$15</f>
        <v>9.3234539252300674</v>
      </c>
      <c r="BP61" s="2">
        <f ca="1">AR61-AVERAGE(AR$32:AR$61)+Sheet2!S$15</f>
        <v>2.6525752182561932</v>
      </c>
      <c r="BQ61" s="2">
        <f ca="1">AS61-AVERAGE(AS$32:AS$61)+Sheet2!T$15</f>
        <v>16.627355098645399</v>
      </c>
      <c r="BR61" s="2">
        <f ca="1">AT61-AVERAGE(AT$32:AT$61)+Sheet2!U$15</f>
        <v>24.732855392528595</v>
      </c>
      <c r="BS61" s="2">
        <f ca="1">AU61-AVERAGE(AU$32:AU$61)+Sheet2!V$15</f>
        <v>23.678148205143152</v>
      </c>
      <c r="BT61" s="2">
        <f ca="1">AV61-AVERAGE(AV$32:AV$61)+Sheet2!W$15</f>
        <v>24.989008653030027</v>
      </c>
      <c r="BU61" s="2">
        <f ca="1">AW61-AVERAGE(AW$32:AW$61)+Sheet2!X$15</f>
        <v>20.13254712451316</v>
      </c>
      <c r="BV61" s="2">
        <f ca="1">AX61-AVERAGE(AX$32:AX$61)+Sheet2!Y$15</f>
        <v>21.605910336830078</v>
      </c>
      <c r="BW61" s="2">
        <f ca="1">AY61-AVERAGE(AY$32:AY$61)+Sheet2!Z$15</f>
        <v>8.719859066239561</v>
      </c>
      <c r="BZ61" s="2">
        <f ca="1">BA61-AVERAGE(AH$32:AH$61)+Sheet2!AB$15</f>
        <v>5.7760299159557942</v>
      </c>
      <c r="CA61" s="2">
        <f ca="1">BB61-AVERAGE(AI$32:AI$61)+Sheet2!AC$15</f>
        <v>17.130995781678671</v>
      </c>
      <c r="CB61" s="2">
        <f ca="1">BC61-AVERAGE(AJ$32:AJ$61)+Sheet2!AD$15</f>
        <v>16.102758363662659</v>
      </c>
      <c r="CC61" s="2">
        <f ca="1">BD61-AVERAGE(AK$32:AK$61)+Sheet2!AE$15</f>
        <v>19.78066475267649</v>
      </c>
    </row>
    <row r="62" spans="2:81" x14ac:dyDescent="0.3">
      <c r="B62">
        <v>61</v>
      </c>
      <c r="C62" s="1">
        <v>3</v>
      </c>
      <c r="D62" s="2">
        <f t="shared" ca="1" si="6"/>
        <v>0.54832613428333288</v>
      </c>
      <c r="E62" s="2">
        <f t="shared" ca="1" si="6"/>
        <v>0.55320040341989918</v>
      </c>
      <c r="F62" s="2">
        <f t="shared" ca="1" si="6"/>
        <v>0.29086452210670266</v>
      </c>
      <c r="G62" s="2">
        <f t="shared" ca="1" si="6"/>
        <v>0.13105258121689256</v>
      </c>
      <c r="H62" s="2">
        <f t="shared" ca="1" si="6"/>
        <v>0.52769084091704843</v>
      </c>
      <c r="I62" s="2">
        <f t="shared" ca="1" si="6"/>
        <v>0.73118055953205452</v>
      </c>
      <c r="J62" s="2">
        <f t="shared" ca="1" si="6"/>
        <v>0.30340995779566871</v>
      </c>
      <c r="K62" s="2">
        <f t="shared" ca="1" si="6"/>
        <v>0.21780192134878729</v>
      </c>
      <c r="L62" s="2">
        <f t="shared" ca="1" si="6"/>
        <v>0.76530296806677145</v>
      </c>
      <c r="M62" s="2">
        <f t="shared" ca="1" si="6"/>
        <v>5.0834398148554394E-2</v>
      </c>
      <c r="N62" s="2">
        <f t="shared" ca="1" si="6"/>
        <v>0.6495814630653356</v>
      </c>
      <c r="O62" s="2">
        <f t="shared" ca="1" si="6"/>
        <v>0.38779074569366856</v>
      </c>
      <c r="P62" s="2">
        <f t="shared" ca="1" si="6"/>
        <v>0.32331518344446009</v>
      </c>
      <c r="Q62" s="2">
        <f t="shared" ca="1" si="6"/>
        <v>0.2750661405014736</v>
      </c>
      <c r="R62" s="2">
        <f t="shared" ca="1" si="6"/>
        <v>0.70296832084408378</v>
      </c>
      <c r="S62" s="2">
        <f t="shared" ca="1" si="6"/>
        <v>0.79013419149177544</v>
      </c>
      <c r="T62" s="2">
        <f t="shared" ca="1" si="7"/>
        <v>0.14565199566412113</v>
      </c>
      <c r="U62" s="2">
        <f t="shared" ca="1" si="7"/>
        <v>0.54034083369906538</v>
      </c>
      <c r="V62" s="2">
        <f t="shared" ca="1" si="7"/>
        <v>0.64764163246077655</v>
      </c>
      <c r="W62" s="2">
        <f t="shared" ca="1" si="7"/>
        <v>0.39097110675836966</v>
      </c>
      <c r="X62" s="2">
        <f t="shared" ca="1" si="7"/>
        <v>0.43295568332476286</v>
      </c>
      <c r="Y62" s="2">
        <f t="shared" ca="1" si="7"/>
        <v>0.37801221287878195</v>
      </c>
      <c r="Z62" s="2">
        <f t="shared" ca="1" si="7"/>
        <v>0.24651051426990567</v>
      </c>
      <c r="AA62" s="2">
        <f t="shared" ca="1" si="7"/>
        <v>0.35133963818691383</v>
      </c>
      <c r="AB62" s="2">
        <f ca="1">D62*Sheet2!C$18/_xlfn.STDEV.S(D$62:D$91)</f>
        <v>1.7224577547128024</v>
      </c>
      <c r="AC62" s="2">
        <f ca="1">E62*Sheet2!D$18/_xlfn.STDEV.S(E$62:E$91)</f>
        <v>1.4960388503681654</v>
      </c>
      <c r="AD62" s="2">
        <f ca="1">F62*Sheet2!E$18/_xlfn.STDEV.S(F$62:F$91)</f>
        <v>1.1899740255612532</v>
      </c>
      <c r="AE62" s="2">
        <f ca="1">G62*Sheet2!F$18/_xlfn.STDEV.S(G$62:G$91)</f>
        <v>1.6063022433035488</v>
      </c>
      <c r="AF62" s="2">
        <f ca="1">H62*Sheet2!G$18/_xlfn.STDEV.S(H$62:H$91)</f>
        <v>11.005264203577568</v>
      </c>
      <c r="AG62" s="2">
        <f ca="1">I62*Sheet2!H$18/_xlfn.STDEV.S(I$62:I$91)</f>
        <v>12.040964327209672</v>
      </c>
      <c r="AH62" s="2">
        <f ca="1">J62*Sheet2!I$18/_xlfn.STDEV.S(J$62:J$91)</f>
        <v>0.95508114591295812</v>
      </c>
      <c r="AI62" s="2">
        <f ca="1">K62*Sheet2!J$18/_xlfn.STDEV.S(K$62:K$91)</f>
        <v>1.3493620210854276</v>
      </c>
      <c r="AJ62" s="2">
        <f ca="1">L62*Sheet2!K$18/_xlfn.STDEV.S(L$62:L$91)</f>
        <v>5.9744657283332794</v>
      </c>
      <c r="AK62" s="2">
        <f ca="1">M62*Sheet2!L$18/_xlfn.STDEV.S(M$62:M$91)</f>
        <v>0.4326928389090095</v>
      </c>
      <c r="AL62" s="2">
        <f ca="1">N62*Sheet2!M$18/_xlfn.STDEV.S(N$62:N$91)</f>
        <v>3.450570039753984</v>
      </c>
      <c r="AM62" s="2">
        <f ca="1">O62*Sheet2!N$18/_xlfn.STDEV.S(O$62:O$91)</f>
        <v>3.9679691153130716</v>
      </c>
      <c r="AN62" s="2">
        <f ca="1">P62*Sheet2!O$18/_xlfn.STDEV.S(P$62:P$91)</f>
        <v>1.4245739414921539</v>
      </c>
      <c r="AO62" s="2">
        <f ca="1">Q62*Sheet2!P$18/_xlfn.STDEV.S(Q$62:Q$91)</f>
        <v>2.3709143623230218</v>
      </c>
      <c r="AP62" s="2">
        <f ca="1">R62*Sheet2!Q$18/_xlfn.STDEV.S(R$62:R$91)</f>
        <v>4.706108208927537</v>
      </c>
      <c r="AQ62" s="2">
        <f ca="1">S62*Sheet2!R$18/_xlfn.STDEV.S(S$62:S$91)</f>
        <v>2.4692603450655439</v>
      </c>
      <c r="AR62" s="2">
        <f ca="1">T62*Sheet2!S$18/_xlfn.STDEV.S(T$62:T$91)</f>
        <v>0.31172011809592148</v>
      </c>
      <c r="AS62" s="2">
        <f ca="1">U62*Sheet2!T$18/_xlfn.STDEV.S(U$62:U$91)</f>
        <v>3.061708917839058</v>
      </c>
      <c r="AT62" s="2">
        <f ca="1">V62*Sheet2!U$18/_xlfn.STDEV.S(V$62:V$91)</f>
        <v>2.702207665491934</v>
      </c>
      <c r="AU62" s="2">
        <f ca="1">W62*Sheet2!V$18/_xlfn.STDEV.S(W$62:W$91)</f>
        <v>1.4131915083114983</v>
      </c>
      <c r="AV62" s="2">
        <f ca="1">X62*Sheet2!W$18/_xlfn.STDEV.S(X$62:X$91)</f>
        <v>2.4130876231009566</v>
      </c>
      <c r="AW62" s="2">
        <f ca="1">Y62*Sheet2!X$18/_xlfn.STDEV.S(Y$62:Y$91)</f>
        <v>2.8857459874856914</v>
      </c>
      <c r="AX62" s="2">
        <f ca="1">Z62*Sheet2!Y$18/_xlfn.STDEV.S(Z$62:Z$91)</f>
        <v>1.4289970586464327</v>
      </c>
      <c r="AY62" s="2">
        <f ca="1">AA62*Sheet2!Z$18/_xlfn.STDEV.S(AA$62:AA$91)</f>
        <v>1.3054875485953092</v>
      </c>
      <c r="AZ62" s="2">
        <f ca="1">AB62-AVERAGE(AB$62:AB$91)+Sheet2!C$17</f>
        <v>5.7694552615824479</v>
      </c>
      <c r="BA62" s="2">
        <f ca="1">AC62-AVERAGE(AC$62:AC$91)+Sheet2!D$17</f>
        <v>5.3445179722053044</v>
      </c>
      <c r="BB62" s="2">
        <f ca="1">AD62-AVERAGE(AD$62:AD$91)+Sheet2!E$17</f>
        <v>26.411621249254132</v>
      </c>
      <c r="BC62" s="2">
        <f ca="1">AE62-AVERAGE(AE$62:AE$91)+Sheet2!F$17</f>
        <v>-1.0344128871149945</v>
      </c>
      <c r="BD62" s="2">
        <f ca="1">AF62-AVERAGE(AF$62:AF$91)+Sheet2!G$17</f>
        <v>33.809825838405594</v>
      </c>
      <c r="BE62" s="2">
        <f ca="1">AG62-AVERAGE(AG$62:AG$91)+Sheet2!H$17</f>
        <v>25.257054599305995</v>
      </c>
      <c r="BF62" s="2">
        <f ca="1">AH62-AVERAGE(AH$62:AH$91)+Sheet2!I$17</f>
        <v>9.5101670021359528</v>
      </c>
      <c r="BG62" s="2">
        <f ca="1">AI62-AVERAGE(AI$62:AI$91)+Sheet2!J$17</f>
        <v>23.991449505481135</v>
      </c>
      <c r="BH62" s="2">
        <f ca="1">AJ62-AVERAGE(AJ$62:AJ$91)+Sheet2!K$17</f>
        <v>23.246827828425765</v>
      </c>
      <c r="BI62" s="2">
        <f ca="1">AK62-AVERAGE(AK$62:AK$91)+Sheet2!L$17</f>
        <v>20.916021166054698</v>
      </c>
      <c r="BJ62" s="2">
        <f ca="1">AL62-AVERAGE(AL$62:AL$91)+Sheet2!M$17</f>
        <v>18.716706905501589</v>
      </c>
      <c r="BK62" s="2">
        <f ca="1">AM62-AVERAGE(AM$62:AM$91)+Sheet2!N$17</f>
        <v>16.115739435735957</v>
      </c>
      <c r="BL62" s="2">
        <f ca="1">AN62-AVERAGE(AN$62:AN$91)+Sheet2!O$17</f>
        <v>3.5713822406719786</v>
      </c>
      <c r="BM62" s="2">
        <f ca="1">AO62-AVERAGE(AO$62:AO$91)+Sheet2!P$17</f>
        <v>15.832595833515663</v>
      </c>
      <c r="BN62" s="2">
        <f ca="1">AP62-AVERAGE(AP$62:AP$91)+Sheet2!Q$17</f>
        <v>12.591544679826713</v>
      </c>
      <c r="BO62" s="2">
        <f ca="1">AQ62-AVERAGE(AQ$62:AQ$91)+Sheet2!R$17</f>
        <v>11.766889546251964</v>
      </c>
      <c r="BP62" s="2">
        <f ca="1">AR62-AVERAGE(AR$62:AR$91)+Sheet2!S$17</f>
        <v>3.6459350333355172</v>
      </c>
      <c r="BQ62" s="2">
        <f ca="1">AS62-AVERAGE(AS$62:AS$91)+Sheet2!T$17</f>
        <v>13.904399123455974</v>
      </c>
      <c r="BR62" s="2">
        <f ca="1">AT62-AVERAGE(AT$62:AT$91)+Sheet2!U$17</f>
        <v>22.172747054699439</v>
      </c>
      <c r="BS62" s="2">
        <f ca="1">AU62-AVERAGE(AU$62:AU$91)+Sheet2!V$17</f>
        <v>20.699824801715863</v>
      </c>
      <c r="BT62" s="2">
        <f ca="1">AV62-AVERAGE(AV$62:AV$91)+Sheet2!W$17</f>
        <v>28.019081052746358</v>
      </c>
      <c r="BU62" s="2">
        <f ca="1">AW62-AVERAGE(AW$62:AW$91)+Sheet2!X$17</f>
        <v>20.385800129524753</v>
      </c>
      <c r="BV62" s="2">
        <f ca="1">AX62-AVERAGE(AX$62:AX$91)+Sheet2!Y$17</f>
        <v>17.68628199304527</v>
      </c>
      <c r="BW62" s="2">
        <f ca="1">AY62-AVERAGE(AY$62:AY$91)+Sheet2!Z$17</f>
        <v>9.0847048375977906</v>
      </c>
      <c r="BZ62" s="2">
        <f ca="1">BA62-AVERAGE(AH$62:AH$91)+Sheet2!AB$17</f>
        <v>3.7621602999295813</v>
      </c>
      <c r="CA62" s="2">
        <f ca="1">BB62-AVERAGE(AI$62:AI$91)+Sheet2!AC$17</f>
        <v>23.809680313414145</v>
      </c>
      <c r="CB62" s="2">
        <f ca="1">BC62-AVERAGE(AJ$62:AJ$91)+Sheet2!AD$17</f>
        <v>-4.6635356949462192</v>
      </c>
      <c r="CC62" s="2">
        <f ca="1">BD62-AVERAGE(AK$62:AK$91)+Sheet2!AE$17</f>
        <v>29.031566034016979</v>
      </c>
    </row>
    <row r="63" spans="2:81" x14ac:dyDescent="0.3">
      <c r="B63">
        <v>62</v>
      </c>
      <c r="C63" s="1">
        <v>3</v>
      </c>
      <c r="D63" s="2">
        <f t="shared" ca="1" si="6"/>
        <v>0.52465939469374867</v>
      </c>
      <c r="E63" s="2">
        <f t="shared" ca="1" si="6"/>
        <v>0.87478946400532875</v>
      </c>
      <c r="F63" s="2">
        <f t="shared" ca="1" si="6"/>
        <v>0.1086232041623939</v>
      </c>
      <c r="G63" s="2">
        <f t="shared" ca="1" si="6"/>
        <v>0.5769226371645122</v>
      </c>
      <c r="H63" s="2">
        <f t="shared" ca="1" si="6"/>
        <v>0.17663728425218983</v>
      </c>
      <c r="I63" s="2">
        <f t="shared" ca="1" si="6"/>
        <v>0.67080775789813385</v>
      </c>
      <c r="J63" s="2">
        <f t="shared" ca="1" si="6"/>
        <v>0.82323792627323544</v>
      </c>
      <c r="K63" s="2">
        <f t="shared" ca="1" si="6"/>
        <v>0.24837475320366875</v>
      </c>
      <c r="L63" s="2">
        <f t="shared" ca="1" si="6"/>
        <v>0.53086355163746013</v>
      </c>
      <c r="M63" s="2">
        <f t="shared" ca="1" si="6"/>
        <v>0.96193613366652997</v>
      </c>
      <c r="N63" s="2">
        <f t="shared" ca="1" si="6"/>
        <v>0.49045195926367602</v>
      </c>
      <c r="O63" s="2">
        <f t="shared" ca="1" si="6"/>
        <v>0.44225568823201067</v>
      </c>
      <c r="P63" s="2">
        <f t="shared" ca="1" si="6"/>
        <v>0.47351996001791297</v>
      </c>
      <c r="Q63" s="2">
        <f t="shared" ca="1" si="6"/>
        <v>0.5453350707516007</v>
      </c>
      <c r="R63" s="2">
        <f t="shared" ca="1" si="6"/>
        <v>0.57006265995301308</v>
      </c>
      <c r="S63" s="2">
        <f t="shared" ca="1" si="6"/>
        <v>0.21711735633664753</v>
      </c>
      <c r="T63" s="2">
        <f t="shared" ca="1" si="7"/>
        <v>0.65001561697830612</v>
      </c>
      <c r="U63" s="2">
        <f t="shared" ca="1" si="7"/>
        <v>0.57800013671299599</v>
      </c>
      <c r="V63" s="2">
        <f t="shared" ca="1" si="7"/>
        <v>0.71814900927701564</v>
      </c>
      <c r="W63" s="2">
        <f t="shared" ca="1" si="7"/>
        <v>0.69952160066662372</v>
      </c>
      <c r="X63" s="2">
        <f t="shared" ca="1" si="7"/>
        <v>0.28692968374334038</v>
      </c>
      <c r="Y63" s="2">
        <f t="shared" ca="1" si="7"/>
        <v>0.63625002185036938</v>
      </c>
      <c r="Z63" s="2">
        <f t="shared" ca="1" si="7"/>
        <v>0.20783751158068708</v>
      </c>
      <c r="AA63" s="2">
        <f t="shared" ca="1" si="7"/>
        <v>0.42302407338383829</v>
      </c>
      <c r="AB63" s="2">
        <f ca="1">D63*Sheet2!C$18/_xlfn.STDEV.S(D$62:D$91)</f>
        <v>1.6481133881286198</v>
      </c>
      <c r="AC63" s="2">
        <f ca="1">E63*Sheet2!D$18/_xlfn.STDEV.S(E$62:E$91)</f>
        <v>2.3657231917297619</v>
      </c>
      <c r="AD63" s="2">
        <f ca="1">F63*Sheet2!E$18/_xlfn.STDEV.S(F$62:F$91)</f>
        <v>0.44439517955052488</v>
      </c>
      <c r="AE63" s="2">
        <f ca="1">G63*Sheet2!F$18/_xlfn.STDEV.S(G$62:G$91)</f>
        <v>7.0713000666216788</v>
      </c>
      <c r="AF63" s="2">
        <f ca="1">H63*Sheet2!G$18/_xlfn.STDEV.S(H$62:H$91)</f>
        <v>3.683861516374817</v>
      </c>
      <c r="AG63" s="2">
        <f ca="1">I63*Sheet2!H$18/_xlfn.STDEV.S(I$62:I$91)</f>
        <v>11.046754700967721</v>
      </c>
      <c r="AH63" s="2">
        <f ca="1">J63*Sheet2!I$18/_xlfn.STDEV.S(J$62:J$91)</f>
        <v>2.5914080991157014</v>
      </c>
      <c r="AI63" s="2">
        <f ca="1">K63*Sheet2!J$18/_xlfn.STDEV.S(K$62:K$91)</f>
        <v>1.538771820257695</v>
      </c>
      <c r="AJ63" s="2">
        <f ca="1">L63*Sheet2!K$18/_xlfn.STDEV.S(L$62:L$91)</f>
        <v>4.1442751799213857</v>
      </c>
      <c r="AK63" s="2">
        <f ca="1">M63*Sheet2!L$18/_xlfn.STDEV.S(M$62:M$91)</f>
        <v>8.1878195018457909</v>
      </c>
      <c r="AL63" s="2">
        <f ca="1">N63*Sheet2!M$18/_xlfn.STDEV.S(N$62:N$91)</f>
        <v>2.6052757549266219</v>
      </c>
      <c r="AM63" s="2">
        <f ca="1">O63*Sheet2!N$18/_xlfn.STDEV.S(O$62:O$91)</f>
        <v>4.5252676384453396</v>
      </c>
      <c r="AN63" s="2">
        <f ca="1">P63*Sheet2!O$18/_xlfn.STDEV.S(P$62:P$91)</f>
        <v>2.0863981351924465</v>
      </c>
      <c r="AO63" s="2">
        <f ca="1">Q63*Sheet2!P$18/_xlfn.STDEV.S(Q$62:Q$91)</f>
        <v>4.7004794889194468</v>
      </c>
      <c r="AP63" s="2">
        <f ca="1">R63*Sheet2!Q$18/_xlfn.STDEV.S(R$62:R$91)</f>
        <v>3.8163548542082504</v>
      </c>
      <c r="AQ63" s="2">
        <f ca="1">S63*Sheet2!R$18/_xlfn.STDEV.S(S$62:S$91)</f>
        <v>0.67851674310581889</v>
      </c>
      <c r="AR63" s="2">
        <f ca="1">T63*Sheet2!S$18/_xlfn.STDEV.S(T$62:T$91)</f>
        <v>1.3911443091787554</v>
      </c>
      <c r="AS63" s="2">
        <f ca="1">U63*Sheet2!T$18/_xlfn.STDEV.S(U$62:U$91)</f>
        <v>3.2750961295513794</v>
      </c>
      <c r="AT63" s="2">
        <f ca="1">V63*Sheet2!U$18/_xlfn.STDEV.S(V$62:V$91)</f>
        <v>2.9963913074277513</v>
      </c>
      <c r="AU63" s="2">
        <f ca="1">W63*Sheet2!V$18/_xlfn.STDEV.S(W$62:W$91)</f>
        <v>2.5284681370418864</v>
      </c>
      <c r="AV63" s="2">
        <f ca="1">X63*Sheet2!W$18/_xlfn.STDEV.S(X$62:X$91)</f>
        <v>1.5992086377625001</v>
      </c>
      <c r="AW63" s="2">
        <f ca="1">Y63*Sheet2!X$18/_xlfn.STDEV.S(Y$62:Y$91)</f>
        <v>4.8571339365195563</v>
      </c>
      <c r="AX63" s="2">
        <f ca="1">Z63*Sheet2!Y$18/_xlfn.STDEV.S(Z$62:Z$91)</f>
        <v>1.2048134888072553</v>
      </c>
      <c r="AY63" s="2">
        <f ca="1">AA63*Sheet2!Z$18/_xlfn.STDEV.S(AA$62:AA$91)</f>
        <v>1.5718484353446882</v>
      </c>
      <c r="AZ63" s="2">
        <f ca="1">AB63-AVERAGE(AB$62:AB$91)+Sheet2!C$17</f>
        <v>5.6951108949982654</v>
      </c>
      <c r="BA63" s="2">
        <f ca="1">AC63-AVERAGE(AC$62:AC$91)+Sheet2!D$17</f>
        <v>6.2142023135669016</v>
      </c>
      <c r="BB63" s="2">
        <f ca="1">AD63-AVERAGE(AD$62:AD$91)+Sheet2!E$17</f>
        <v>25.666042403243402</v>
      </c>
      <c r="BC63" s="2">
        <f ca="1">AE63-AVERAGE(AE$62:AE$91)+Sheet2!F$17</f>
        <v>4.4305849362031351</v>
      </c>
      <c r="BD63" s="2">
        <f ca="1">AF63-AVERAGE(AF$62:AF$91)+Sheet2!G$17</f>
        <v>26.488423151202841</v>
      </c>
      <c r="BE63" s="2">
        <f ca="1">AG63-AVERAGE(AG$62:AG$91)+Sheet2!H$17</f>
        <v>24.262844973064048</v>
      </c>
      <c r="BF63" s="2">
        <f ca="1">AH63-AVERAGE(AH$62:AH$91)+Sheet2!I$17</f>
        <v>11.146493955338697</v>
      </c>
      <c r="BG63" s="2">
        <f ca="1">AI63-AVERAGE(AI$62:AI$91)+Sheet2!J$17</f>
        <v>24.180859304653403</v>
      </c>
      <c r="BH63" s="2">
        <f ca="1">AJ63-AVERAGE(AJ$62:AJ$91)+Sheet2!K$17</f>
        <v>21.41663728001387</v>
      </c>
      <c r="BI63" s="2">
        <f ca="1">AK63-AVERAGE(AK$62:AK$91)+Sheet2!L$17</f>
        <v>28.671147828991479</v>
      </c>
      <c r="BJ63" s="2">
        <f ca="1">AL63-AVERAGE(AL$62:AL$91)+Sheet2!M$17</f>
        <v>17.871412620674228</v>
      </c>
      <c r="BK63" s="2">
        <f ca="1">AM63-AVERAGE(AM$62:AM$91)+Sheet2!N$17</f>
        <v>16.673037958868225</v>
      </c>
      <c r="BL63" s="2">
        <f ca="1">AN63-AVERAGE(AN$62:AN$91)+Sheet2!O$17</f>
        <v>4.2332064343722715</v>
      </c>
      <c r="BM63" s="2">
        <f ca="1">AO63-AVERAGE(AO$62:AO$91)+Sheet2!P$17</f>
        <v>18.162160960112089</v>
      </c>
      <c r="BN63" s="2">
        <f ca="1">AP63-AVERAGE(AP$62:AP$91)+Sheet2!Q$17</f>
        <v>11.701791325107425</v>
      </c>
      <c r="BO63" s="2">
        <f ca="1">AQ63-AVERAGE(AQ$62:AQ$91)+Sheet2!R$17</f>
        <v>9.9761459442922398</v>
      </c>
      <c r="BP63" s="2">
        <f ca="1">AR63-AVERAGE(AR$62:AR$91)+Sheet2!S$17</f>
        <v>4.7253592244183515</v>
      </c>
      <c r="BQ63" s="2">
        <f ca="1">AS63-AVERAGE(AS$62:AS$91)+Sheet2!T$17</f>
        <v>14.117786335168296</v>
      </c>
      <c r="BR63" s="2">
        <f ca="1">AT63-AVERAGE(AT$62:AT$91)+Sheet2!U$17</f>
        <v>22.466930696635256</v>
      </c>
      <c r="BS63" s="2">
        <f ca="1">AU63-AVERAGE(AU$62:AU$91)+Sheet2!V$17</f>
        <v>21.815101430446251</v>
      </c>
      <c r="BT63" s="2">
        <f ca="1">AV63-AVERAGE(AV$62:AV$91)+Sheet2!W$17</f>
        <v>27.205202067407903</v>
      </c>
      <c r="BU63" s="2">
        <f ca="1">AW63-AVERAGE(AW$62:AW$91)+Sheet2!X$17</f>
        <v>22.357188078558618</v>
      </c>
      <c r="BV63" s="2">
        <f ca="1">AX63-AVERAGE(AX$62:AX$91)+Sheet2!Y$17</f>
        <v>17.462098423206093</v>
      </c>
      <c r="BW63" s="2">
        <f ca="1">AY63-AVERAGE(AY$62:AY$91)+Sheet2!Z$17</f>
        <v>9.3510657243471691</v>
      </c>
      <c r="BZ63" s="2">
        <f ca="1">BA63-AVERAGE(AH$62:AH$91)+Sheet2!AB$17</f>
        <v>4.6318446412911785</v>
      </c>
      <c r="CA63" s="2">
        <f ca="1">BB63-AVERAGE(AI$62:AI$91)+Sheet2!AC$17</f>
        <v>23.064101467403415</v>
      </c>
      <c r="CB63" s="2">
        <f ca="1">BC63-AVERAGE(AJ$62:AJ$91)+Sheet2!AD$17</f>
        <v>0.80146212837191066</v>
      </c>
      <c r="CC63" s="2">
        <f ca="1">BD63-AVERAGE(AK$62:AK$91)+Sheet2!AE$17</f>
        <v>21.71016334681423</v>
      </c>
    </row>
    <row r="64" spans="2:81" x14ac:dyDescent="0.3">
      <c r="B64">
        <v>63</v>
      </c>
      <c r="C64" s="1">
        <v>3</v>
      </c>
      <c r="D64" s="2">
        <f t="shared" ca="1" si="6"/>
        <v>0.32561190972050558</v>
      </c>
      <c r="E64" s="2">
        <f t="shared" ca="1" si="6"/>
        <v>0.70002005750576479</v>
      </c>
      <c r="F64" s="2">
        <f t="shared" ca="1" si="6"/>
        <v>0.68400140442973156</v>
      </c>
      <c r="G64" s="2">
        <f t="shared" ca="1" si="6"/>
        <v>0.52356167101776763</v>
      </c>
      <c r="H64" s="2">
        <f t="shared" ca="1" si="6"/>
        <v>0.8561225083496774</v>
      </c>
      <c r="I64" s="2">
        <f t="shared" ca="1" si="6"/>
        <v>0.41032941767084996</v>
      </c>
      <c r="J64" s="2">
        <f t="shared" ca="1" si="6"/>
        <v>0.17777246197370766</v>
      </c>
      <c r="K64" s="2">
        <f t="shared" ca="1" si="6"/>
        <v>7.0542121660278734E-2</v>
      </c>
      <c r="L64" s="2">
        <f t="shared" ca="1" si="6"/>
        <v>0.95827177097186955</v>
      </c>
      <c r="M64" s="2">
        <f t="shared" ca="1" si="6"/>
        <v>0.71861901746906731</v>
      </c>
      <c r="N64" s="2">
        <f t="shared" ca="1" si="6"/>
        <v>0.22859491790288922</v>
      </c>
      <c r="O64" s="2">
        <f t="shared" ca="1" si="6"/>
        <v>0.37105658102262684</v>
      </c>
      <c r="P64" s="2">
        <f t="shared" ca="1" si="6"/>
        <v>0.87148384466023565</v>
      </c>
      <c r="Q64" s="2">
        <f t="shared" ca="1" si="7"/>
        <v>0.27072389470482405</v>
      </c>
      <c r="R64" s="2">
        <f t="shared" ca="1" si="7"/>
        <v>0.72029967287391661</v>
      </c>
      <c r="S64" s="2">
        <f t="shared" ca="1" si="7"/>
        <v>7.5233198067788387E-2</v>
      </c>
      <c r="T64" s="2">
        <f t="shared" ca="1" si="7"/>
        <v>0.5537937119410371</v>
      </c>
      <c r="U64" s="2">
        <f t="shared" ca="1" si="7"/>
        <v>0.14442846665788156</v>
      </c>
      <c r="V64" s="2">
        <f t="shared" ca="1" si="7"/>
        <v>3.8799723993534707E-2</v>
      </c>
      <c r="W64" s="2">
        <f t="shared" ca="1" si="7"/>
        <v>0.56668889874100337</v>
      </c>
      <c r="X64" s="2">
        <f t="shared" ca="1" si="7"/>
        <v>0.31831891605148011</v>
      </c>
      <c r="Y64" s="2">
        <f t="shared" ca="1" si="7"/>
        <v>0.34397230689874991</v>
      </c>
      <c r="Z64" s="2">
        <f t="shared" ca="1" si="7"/>
        <v>6.3338559947804018E-2</v>
      </c>
      <c r="AA64" s="2">
        <f t="shared" ca="1" si="7"/>
        <v>0.363036110997493</v>
      </c>
      <c r="AB64" s="2">
        <f ca="1">D64*Sheet2!C$18/_xlfn.STDEV.S(D$62:D$91)</f>
        <v>1.0228452080949402</v>
      </c>
      <c r="AC64" s="2">
        <f ca="1">E64*Sheet2!D$18/_xlfn.STDEV.S(E$62:E$91)</f>
        <v>1.8930882833624316</v>
      </c>
      <c r="AD64" s="2">
        <f ca="1">F64*Sheet2!E$18/_xlfn.STDEV.S(F$62:F$91)</f>
        <v>2.7983608960745165</v>
      </c>
      <c r="AE64" s="2">
        <f ca="1">G64*Sheet2!F$18/_xlfn.STDEV.S(G$62:G$91)</f>
        <v>6.4172584687343104</v>
      </c>
      <c r="AF64" s="2">
        <f ca="1">H64*Sheet2!G$18/_xlfn.STDEV.S(H$62:H$91)</f>
        <v>17.854875742478221</v>
      </c>
      <c r="AG64" s="2">
        <f ca="1">I64*Sheet2!H$18/_xlfn.STDEV.S(I$62:I$91)</f>
        <v>6.7572391198987045</v>
      </c>
      <c r="AH64" s="2">
        <f ca="1">J64*Sheet2!I$18/_xlfn.STDEV.S(J$62:J$91)</f>
        <v>0.55959642170992796</v>
      </c>
      <c r="AI64" s="2">
        <f ca="1">K64*Sheet2!J$18/_xlfn.STDEV.S(K$62:K$91)</f>
        <v>0.43703406868819994</v>
      </c>
      <c r="AJ64" s="2">
        <f ca="1">L64*Sheet2!K$18/_xlfn.STDEV.S(L$62:L$91)</f>
        <v>7.4809089902826047</v>
      </c>
      <c r="AK64" s="2">
        <f ca="1">M64*Sheet2!L$18/_xlfn.STDEV.S(M$62:M$91)</f>
        <v>6.1167499584439602</v>
      </c>
      <c r="AL64" s="2">
        <f ca="1">N64*Sheet2!M$18/_xlfn.STDEV.S(N$62:N$91)</f>
        <v>1.2142938488938908</v>
      </c>
      <c r="AM64" s="2">
        <f ca="1">O64*Sheet2!N$18/_xlfn.STDEV.S(O$62:O$91)</f>
        <v>3.7967410771955525</v>
      </c>
      <c r="AN64" s="2">
        <f ca="1">P64*Sheet2!O$18/_xlfn.STDEV.S(P$62:P$91)</f>
        <v>3.8398851619278642</v>
      </c>
      <c r="AO64" s="2">
        <f ca="1">Q64*Sheet2!P$18/_xlfn.STDEV.S(Q$62:Q$91)</f>
        <v>2.3334866625514534</v>
      </c>
      <c r="AP64" s="2">
        <f ca="1">R64*Sheet2!Q$18/_xlfn.STDEV.S(R$62:R$91)</f>
        <v>4.8221350847353586</v>
      </c>
      <c r="AQ64" s="2">
        <f ca="1">S64*Sheet2!R$18/_xlfn.STDEV.S(S$62:S$91)</f>
        <v>0.23511240827398777</v>
      </c>
      <c r="AR64" s="2">
        <f ca="1">T64*Sheet2!S$18/_xlfn.STDEV.S(T$62:T$91)</f>
        <v>1.1852130175073385</v>
      </c>
      <c r="AS64" s="2">
        <f ca="1">U64*Sheet2!T$18/_xlfn.STDEV.S(U$62:U$91)</f>
        <v>0.81836851257207122</v>
      </c>
      <c r="AT64" s="2">
        <f ca="1">V64*Sheet2!U$18/_xlfn.STDEV.S(V$62:V$91)</f>
        <v>0.16188723259796084</v>
      </c>
      <c r="AU64" s="2">
        <f ca="1">W64*Sheet2!V$18/_xlfn.STDEV.S(W$62:W$91)</f>
        <v>2.0483353519269656</v>
      </c>
      <c r="AV64" s="2">
        <f ca="1">X64*Sheet2!W$18/_xlfn.STDEV.S(X$62:X$91)</f>
        <v>1.774157185382317</v>
      </c>
      <c r="AW64" s="2">
        <f ca="1">Y64*Sheet2!X$18/_xlfn.STDEV.S(Y$62:Y$91)</f>
        <v>2.6258852773033792</v>
      </c>
      <c r="AX64" s="2">
        <f ca="1">Z64*Sheet2!Y$18/_xlfn.STDEV.S(Z$62:Z$91)</f>
        <v>0.3671673645742029</v>
      </c>
      <c r="AY64" s="2">
        <f ca="1">AA64*Sheet2!Z$18/_xlfn.STDEV.S(AA$62:AA$91)</f>
        <v>1.3489486271559108</v>
      </c>
      <c r="AZ64" s="2">
        <f ca="1">AB64-AVERAGE(AB$62:AB$91)+Sheet2!C$17</f>
        <v>5.0698427149645857</v>
      </c>
      <c r="BA64" s="2">
        <f ca="1">AC64-AVERAGE(AC$62:AC$91)+Sheet2!D$17</f>
        <v>5.7415674051995715</v>
      </c>
      <c r="BB64" s="2">
        <f ca="1">AD64-AVERAGE(AD$62:AD$91)+Sheet2!E$17</f>
        <v>28.020008119767397</v>
      </c>
      <c r="BC64" s="2">
        <f ca="1">AE64-AVERAGE(AE$62:AE$91)+Sheet2!F$17</f>
        <v>3.7765433383157667</v>
      </c>
      <c r="BD64" s="2">
        <f ca="1">AF64-AVERAGE(AF$62:AF$91)+Sheet2!G$17</f>
        <v>40.659437377306247</v>
      </c>
      <c r="BE64" s="2">
        <f ca="1">AG64-AVERAGE(AG$62:AG$91)+Sheet2!H$17</f>
        <v>19.97332939199503</v>
      </c>
      <c r="BF64" s="2">
        <f ca="1">AH64-AVERAGE(AH$62:AH$91)+Sheet2!I$17</f>
        <v>9.1146822779329231</v>
      </c>
      <c r="BG64" s="2">
        <f ca="1">AI64-AVERAGE(AI$62:AI$91)+Sheet2!J$17</f>
        <v>23.079121553083908</v>
      </c>
      <c r="BH64" s="2">
        <f ca="1">AJ64-AVERAGE(AJ$62:AJ$91)+Sheet2!K$17</f>
        <v>24.75327109037509</v>
      </c>
      <c r="BI64" s="2">
        <f ca="1">AK64-AVERAGE(AK$62:AK$91)+Sheet2!L$17</f>
        <v>26.60007828558965</v>
      </c>
      <c r="BJ64" s="2">
        <f ca="1">AL64-AVERAGE(AL$62:AL$91)+Sheet2!M$17</f>
        <v>16.480430714641496</v>
      </c>
      <c r="BK64" s="2">
        <f ca="1">AM64-AVERAGE(AM$62:AM$91)+Sheet2!N$17</f>
        <v>15.944511397618438</v>
      </c>
      <c r="BL64" s="2">
        <f ca="1">AN64-AVERAGE(AN$62:AN$91)+Sheet2!O$17</f>
        <v>5.9866934611076887</v>
      </c>
      <c r="BM64" s="2">
        <f ca="1">AO64-AVERAGE(AO$62:AO$91)+Sheet2!P$17</f>
        <v>15.795168133744095</v>
      </c>
      <c r="BN64" s="2">
        <f ca="1">AP64-AVERAGE(AP$62:AP$91)+Sheet2!Q$17</f>
        <v>12.707571555634534</v>
      </c>
      <c r="BO64" s="2">
        <f ca="1">AQ64-AVERAGE(AQ$62:AQ$91)+Sheet2!R$17</f>
        <v>9.5327416094604089</v>
      </c>
      <c r="BP64" s="2">
        <f ca="1">AR64-AVERAGE(AR$62:AR$91)+Sheet2!S$17</f>
        <v>4.5194279327469342</v>
      </c>
      <c r="BQ64" s="2">
        <f ca="1">AS64-AVERAGE(AS$62:AS$91)+Sheet2!T$17</f>
        <v>11.661058718188988</v>
      </c>
      <c r="BR64" s="2">
        <f ca="1">AT64-AVERAGE(AT$62:AT$91)+Sheet2!U$17</f>
        <v>19.632426621805468</v>
      </c>
      <c r="BS64" s="2">
        <f ca="1">AU64-AVERAGE(AU$62:AU$91)+Sheet2!V$17</f>
        <v>21.33496864533133</v>
      </c>
      <c r="BT64" s="2">
        <f ca="1">AV64-AVERAGE(AV$62:AV$91)+Sheet2!W$17</f>
        <v>27.38015061502772</v>
      </c>
      <c r="BU64" s="2">
        <f ca="1">AW64-AVERAGE(AW$62:AW$91)+Sheet2!X$17</f>
        <v>20.125939419342441</v>
      </c>
      <c r="BV64" s="2">
        <f ca="1">AX64-AVERAGE(AX$62:AX$91)+Sheet2!Y$17</f>
        <v>16.62445229897304</v>
      </c>
      <c r="BW64" s="2">
        <f ca="1">AY64-AVERAGE(AY$62:AY$91)+Sheet2!Z$17</f>
        <v>9.128165916158391</v>
      </c>
      <c r="BZ64" s="2">
        <f ca="1">BA64-AVERAGE(AH$62:AH$91)+Sheet2!AB$17</f>
        <v>4.1592097329238484</v>
      </c>
      <c r="CA64" s="2">
        <f ca="1">BB64-AVERAGE(AI$62:AI$91)+Sheet2!AC$17</f>
        <v>25.418067183927409</v>
      </c>
      <c r="CB64" s="2">
        <f ca="1">BC64-AVERAGE(AJ$62:AJ$91)+Sheet2!AD$17</f>
        <v>0.14742053048454229</v>
      </c>
      <c r="CC64" s="2">
        <f ca="1">BD64-AVERAGE(AK$62:AK$91)+Sheet2!AE$17</f>
        <v>35.881177572917636</v>
      </c>
    </row>
    <row r="65" spans="2:81" x14ac:dyDescent="0.3">
      <c r="B65">
        <v>64</v>
      </c>
      <c r="C65" s="1">
        <v>3</v>
      </c>
      <c r="D65" s="2">
        <f t="shared" ca="1" si="6"/>
        <v>0.96807802815313737</v>
      </c>
      <c r="E65" s="2">
        <f t="shared" ca="1" si="6"/>
        <v>0.54694857853199097</v>
      </c>
      <c r="F65" s="2">
        <f t="shared" ca="1" si="6"/>
        <v>0.99606139376329716</v>
      </c>
      <c r="G65" s="2">
        <f t="shared" ca="1" si="6"/>
        <v>0.90422065328221757</v>
      </c>
      <c r="H65" s="2">
        <f t="shared" ca="1" si="6"/>
        <v>0.73706472730698225</v>
      </c>
      <c r="I65" s="2">
        <f t="shared" ca="1" si="6"/>
        <v>0.5516112850567052</v>
      </c>
      <c r="J65" s="2">
        <f t="shared" ca="1" si="6"/>
        <v>0.93509082418705036</v>
      </c>
      <c r="K65" s="2">
        <f t="shared" ca="1" si="6"/>
        <v>0.63937477595878622</v>
      </c>
      <c r="L65" s="2">
        <f t="shared" ca="1" si="6"/>
        <v>9.3384270383521928E-2</v>
      </c>
      <c r="M65" s="2">
        <f t="shared" ca="1" si="6"/>
        <v>0.5246357679610113</v>
      </c>
      <c r="N65" s="2">
        <f t="shared" ca="1" si="6"/>
        <v>0.40107238770611353</v>
      </c>
      <c r="O65" s="2">
        <f t="shared" ca="1" si="6"/>
        <v>0.37706510954184047</v>
      </c>
      <c r="P65" s="2">
        <f t="shared" ca="1" si="6"/>
        <v>0.63526740345637089</v>
      </c>
      <c r="Q65" s="2">
        <f t="shared" ca="1" si="7"/>
        <v>0.89864418690530001</v>
      </c>
      <c r="R65" s="2">
        <f t="shared" ca="1" si="7"/>
        <v>2.741051537876249E-2</v>
      </c>
      <c r="S65" s="2">
        <f t="shared" ca="1" si="7"/>
        <v>0.77793584914419089</v>
      </c>
      <c r="T65" s="2">
        <f t="shared" ca="1" si="7"/>
        <v>0.38977986286545241</v>
      </c>
      <c r="U65" s="2">
        <f t="shared" ca="1" si="7"/>
        <v>0.73912837847700108</v>
      </c>
      <c r="V65" s="2">
        <f t="shared" ca="1" si="7"/>
        <v>0.91481549947884833</v>
      </c>
      <c r="W65" s="2">
        <f t="shared" ca="1" si="7"/>
        <v>0.38792541128834968</v>
      </c>
      <c r="X65" s="2">
        <f t="shared" ca="1" si="7"/>
        <v>0.98054666798110712</v>
      </c>
      <c r="Y65" s="2">
        <f t="shared" ca="1" si="7"/>
        <v>0.6855136931402801</v>
      </c>
      <c r="Z65" s="2">
        <f t="shared" ca="1" si="7"/>
        <v>0.4110513968733247</v>
      </c>
      <c r="AA65" s="2">
        <f t="shared" ca="1" si="7"/>
        <v>0.54975806407394623</v>
      </c>
      <c r="AB65" s="2">
        <f ca="1">D65*Sheet2!C$18/_xlfn.STDEV.S(D$62:D$91)</f>
        <v>3.0410250442263758</v>
      </c>
      <c r="AC65" s="2">
        <f ca="1">E65*Sheet2!D$18/_xlfn.STDEV.S(E$62:E$91)</f>
        <v>1.4791318256078998</v>
      </c>
      <c r="AD65" s="2">
        <f ca="1">F65*Sheet2!E$18/_xlfn.STDEV.S(F$62:F$91)</f>
        <v>4.0750490223343379</v>
      </c>
      <c r="AE65" s="2">
        <f ca="1">G65*Sheet2!F$18/_xlfn.STDEV.S(G$62:G$91)</f>
        <v>11.082968762017842</v>
      </c>
      <c r="AF65" s="2">
        <f ca="1">H65*Sheet2!G$18/_xlfn.STDEV.S(H$62:H$91)</f>
        <v>15.371864414122575</v>
      </c>
      <c r="AG65" s="2">
        <f ca="1">I65*Sheet2!H$18/_xlfn.STDEV.S(I$62:I$91)</f>
        <v>9.0838462801921551</v>
      </c>
      <c r="AH65" s="2">
        <f ca="1">J65*Sheet2!I$18/_xlfn.STDEV.S(J$62:J$91)</f>
        <v>2.9435013352419692</v>
      </c>
      <c r="AI65" s="2">
        <f ca="1">K65*Sheet2!J$18/_xlfn.STDEV.S(K$62:K$91)</f>
        <v>3.9611589951825459</v>
      </c>
      <c r="AJ65" s="2">
        <f ca="1">L65*Sheet2!K$18/_xlfn.STDEV.S(L$62:L$91)</f>
        <v>0.72901993883693195</v>
      </c>
      <c r="AK65" s="2">
        <f ca="1">M65*Sheet2!L$18/_xlfn.STDEV.S(M$62:M$91)</f>
        <v>4.4656010123081167</v>
      </c>
      <c r="AL65" s="2">
        <f ca="1">N65*Sheet2!M$18/_xlfn.STDEV.S(N$62:N$91)</f>
        <v>2.1304923916095686</v>
      </c>
      <c r="AM65" s="2">
        <f ca="1">O65*Sheet2!N$18/_xlfn.STDEV.S(O$62:O$91)</f>
        <v>3.8582218006462119</v>
      </c>
      <c r="AN65" s="2">
        <f ca="1">P65*Sheet2!O$18/_xlfn.STDEV.S(P$62:P$91)</f>
        <v>2.7990810057294735</v>
      </c>
      <c r="AO65" s="2">
        <f ca="1">Q65*Sheet2!P$18/_xlfn.STDEV.S(Q$62:Q$91)</f>
        <v>7.7458039926962794</v>
      </c>
      <c r="AP65" s="2">
        <f ca="1">R65*Sheet2!Q$18/_xlfn.STDEV.S(R$62:R$91)</f>
        <v>0.18350307917152892</v>
      </c>
      <c r="AQ65" s="2">
        <f ca="1">S65*Sheet2!R$18/_xlfn.STDEV.S(S$62:S$91)</f>
        <v>2.4311391203941297</v>
      </c>
      <c r="AR65" s="2">
        <f ca="1">T65*Sheet2!S$18/_xlfn.STDEV.S(T$62:T$91)</f>
        <v>0.83419540068657561</v>
      </c>
      <c r="AS65" s="2">
        <f ca="1">U65*Sheet2!T$18/_xlfn.STDEV.S(U$62:U$91)</f>
        <v>4.1880898253032974</v>
      </c>
      <c r="AT65" s="2">
        <f ca="1">V65*Sheet2!U$18/_xlfn.STDEV.S(V$62:V$91)</f>
        <v>3.8169588415894347</v>
      </c>
      <c r="AU65" s="2">
        <f ca="1">W65*Sheet2!V$18/_xlfn.STDEV.S(W$62:W$91)</f>
        <v>1.402182636042594</v>
      </c>
      <c r="AV65" s="2">
        <f ca="1">X65*Sheet2!W$18/_xlfn.STDEV.S(X$62:X$91)</f>
        <v>5.4650975134635935</v>
      </c>
      <c r="AW65" s="2">
        <f ca="1">Y65*Sheet2!X$18/_xlfn.STDEV.S(Y$62:Y$91)</f>
        <v>5.2332129014583471</v>
      </c>
      <c r="AX65" s="2">
        <f ca="1">Z65*Sheet2!Y$18/_xlfn.STDEV.S(Z$62:Z$91)</f>
        <v>2.3828242735372767</v>
      </c>
      <c r="AY65" s="2">
        <f ca="1">AA65*Sheet2!Z$18/_xlfn.STDEV.S(AA$62:AA$91)</f>
        <v>2.0427592829892398</v>
      </c>
      <c r="AZ65" s="2">
        <f ca="1">AB65-AVERAGE(AB$62:AB$91)+Sheet2!C$17</f>
        <v>7.0880225510960218</v>
      </c>
      <c r="BA65" s="2">
        <f ca="1">AC65-AVERAGE(AC$62:AC$91)+Sheet2!D$17</f>
        <v>5.3276109474450397</v>
      </c>
      <c r="BB65" s="2">
        <f ca="1">AD65-AVERAGE(AD$62:AD$91)+Sheet2!E$17</f>
        <v>29.296696246027217</v>
      </c>
      <c r="BC65" s="2">
        <f ca="1">AE65-AVERAGE(AE$62:AE$91)+Sheet2!F$17</f>
        <v>8.4422536315992982</v>
      </c>
      <c r="BD65" s="2">
        <f ca="1">AF65-AVERAGE(AF$62:AF$91)+Sheet2!G$17</f>
        <v>38.176426048950603</v>
      </c>
      <c r="BE65" s="2">
        <f ca="1">AG65-AVERAGE(AG$62:AG$91)+Sheet2!H$17</f>
        <v>22.299936552288479</v>
      </c>
      <c r="BF65" s="2">
        <f ca="1">AH65-AVERAGE(AH$62:AH$91)+Sheet2!I$17</f>
        <v>11.498587191464964</v>
      </c>
      <c r="BG65" s="2">
        <f ca="1">AI65-AVERAGE(AI$62:AI$91)+Sheet2!J$17</f>
        <v>26.603246479578253</v>
      </c>
      <c r="BH65" s="2">
        <f ca="1">AJ65-AVERAGE(AJ$62:AJ$91)+Sheet2!K$17</f>
        <v>18.001382038929417</v>
      </c>
      <c r="BI65" s="2">
        <f ca="1">AK65-AVERAGE(AK$62:AK$91)+Sheet2!L$17</f>
        <v>24.948929339453805</v>
      </c>
      <c r="BJ65" s="2">
        <f ca="1">AL65-AVERAGE(AL$62:AL$91)+Sheet2!M$17</f>
        <v>17.396629257357173</v>
      </c>
      <c r="BK65" s="2">
        <f ca="1">AM65-AVERAGE(AM$62:AM$91)+Sheet2!N$17</f>
        <v>16.005992121069099</v>
      </c>
      <c r="BL65" s="2">
        <f ca="1">AN65-AVERAGE(AN$62:AN$91)+Sheet2!O$17</f>
        <v>4.945889304909298</v>
      </c>
      <c r="BM65" s="2">
        <f ca="1">AO65-AVERAGE(AO$62:AO$91)+Sheet2!P$17</f>
        <v>21.207485463888922</v>
      </c>
      <c r="BN65" s="2">
        <f ca="1">AP65-AVERAGE(AP$62:AP$91)+Sheet2!Q$17</f>
        <v>8.0689395500707057</v>
      </c>
      <c r="BO65" s="2">
        <f ca="1">AQ65-AVERAGE(AQ$62:AQ$91)+Sheet2!R$17</f>
        <v>11.728768321580549</v>
      </c>
      <c r="BP65" s="2">
        <f ca="1">AR65-AVERAGE(AR$62:AR$91)+Sheet2!S$17</f>
        <v>4.1684103159261712</v>
      </c>
      <c r="BQ65" s="2">
        <f ca="1">AS65-AVERAGE(AS$62:AS$91)+Sheet2!T$17</f>
        <v>15.030780030920214</v>
      </c>
      <c r="BR65" s="2">
        <f ca="1">AT65-AVERAGE(AT$62:AT$91)+Sheet2!U$17</f>
        <v>23.287498230796942</v>
      </c>
      <c r="BS65" s="2">
        <f ca="1">AU65-AVERAGE(AU$62:AU$91)+Sheet2!V$17</f>
        <v>20.68881592944696</v>
      </c>
      <c r="BT65" s="2">
        <f ca="1">AV65-AVERAGE(AV$62:AV$91)+Sheet2!W$17</f>
        <v>31.071090943108999</v>
      </c>
      <c r="BU65" s="2">
        <f ca="1">AW65-AVERAGE(AW$62:AW$91)+Sheet2!X$17</f>
        <v>22.733267043497406</v>
      </c>
      <c r="BV65" s="2">
        <f ca="1">AX65-AVERAGE(AX$62:AX$91)+Sheet2!Y$17</f>
        <v>18.640109207936113</v>
      </c>
      <c r="BW65" s="2">
        <f ca="1">AY65-AVERAGE(AY$62:AY$91)+Sheet2!Z$17</f>
        <v>9.8219765719917209</v>
      </c>
      <c r="BZ65" s="2">
        <f ca="1">BA65-AVERAGE(AH$62:AH$91)+Sheet2!AB$17</f>
        <v>3.7452532751693166</v>
      </c>
      <c r="CA65" s="2">
        <f ca="1">BB65-AVERAGE(AI$62:AI$91)+Sheet2!AC$17</f>
        <v>26.694755310187229</v>
      </c>
      <c r="CB65" s="2">
        <f ca="1">BC65-AVERAGE(AJ$62:AJ$91)+Sheet2!AD$17</f>
        <v>4.8131308237680734</v>
      </c>
      <c r="CC65" s="2">
        <f ca="1">BD65-AVERAGE(AK$62:AK$91)+Sheet2!AE$17</f>
        <v>33.398166244561992</v>
      </c>
    </row>
    <row r="66" spans="2:81" x14ac:dyDescent="0.3">
      <c r="B66">
        <v>65</v>
      </c>
      <c r="C66" s="1">
        <v>3</v>
      </c>
      <c r="D66" s="2">
        <f t="shared" ca="1" si="6"/>
        <v>2.9999645768545524E-2</v>
      </c>
      <c r="E66" s="2">
        <f t="shared" ca="1" si="6"/>
        <v>0.77266627114555064</v>
      </c>
      <c r="F66" s="2">
        <f t="shared" ca="1" si="6"/>
        <v>0.96301345216162071</v>
      </c>
      <c r="G66" s="2">
        <f t="shared" ca="1" si="6"/>
        <v>0.17840324854985457</v>
      </c>
      <c r="H66" s="2">
        <f t="shared" ca="1" si="6"/>
        <v>0.92130891601397835</v>
      </c>
      <c r="I66" s="2">
        <f t="shared" ca="1" si="6"/>
        <v>0.53039301344294942</v>
      </c>
      <c r="J66" s="2">
        <f t="shared" ca="1" si="6"/>
        <v>0.34603108223661605</v>
      </c>
      <c r="K66" s="2">
        <f t="shared" ca="1" si="6"/>
        <v>1.1735508998210631E-2</v>
      </c>
      <c r="L66" s="2">
        <f t="shared" ca="1" si="6"/>
        <v>0.41726350790218281</v>
      </c>
      <c r="M66" s="2">
        <f t="shared" ca="1" si="6"/>
        <v>0.39517594562632108</v>
      </c>
      <c r="N66" s="2">
        <f t="shared" ca="1" si="6"/>
        <v>0.85786281265582953</v>
      </c>
      <c r="O66" s="2">
        <f t="shared" ca="1" si="6"/>
        <v>0.18314033274120201</v>
      </c>
      <c r="P66" s="2">
        <f t="shared" ca="1" si="6"/>
        <v>5.975683685533717E-2</v>
      </c>
      <c r="Q66" s="2">
        <f t="shared" ca="1" si="7"/>
        <v>0.81921819451885847</v>
      </c>
      <c r="R66" s="2">
        <f t="shared" ca="1" si="7"/>
        <v>0.87246942518026982</v>
      </c>
      <c r="S66" s="2">
        <f t="shared" ca="1" si="7"/>
        <v>0.28361799208924654</v>
      </c>
      <c r="T66" s="2">
        <f t="shared" ca="1" si="7"/>
        <v>4.0712004262868584E-2</v>
      </c>
      <c r="U66" s="2">
        <f t="shared" ca="1" si="7"/>
        <v>0.20537032227554763</v>
      </c>
      <c r="V66" s="2">
        <f t="shared" ca="1" si="7"/>
        <v>2.5572381990289883E-2</v>
      </c>
      <c r="W66" s="2">
        <f t="shared" ca="1" si="7"/>
        <v>0.83733242541067432</v>
      </c>
      <c r="X66" s="2">
        <f t="shared" ca="1" si="7"/>
        <v>0.23036009216095221</v>
      </c>
      <c r="Y66" s="2">
        <f t="shared" ca="1" si="7"/>
        <v>0.17966717890548001</v>
      </c>
      <c r="Z66" s="2">
        <f t="shared" ca="1" si="7"/>
        <v>0.89966764662710552</v>
      </c>
      <c r="AA66" s="2">
        <f t="shared" ca="1" si="7"/>
        <v>0.82590642938444281</v>
      </c>
      <c r="AB66" s="2">
        <f ca="1">D66*Sheet2!C$18/_xlfn.STDEV.S(D$62:D$91)</f>
        <v>9.4237934801713538E-2</v>
      </c>
      <c r="AC66" s="2">
        <f ca="1">E66*Sheet2!D$18/_xlfn.STDEV.S(E$62:E$91)</f>
        <v>2.089547933907502</v>
      </c>
      <c r="AD66" s="2">
        <f ca="1">F66*Sheet2!E$18/_xlfn.STDEV.S(F$62:F$91)</f>
        <v>3.9398445229357026</v>
      </c>
      <c r="AE66" s="2">
        <f ca="1">G66*Sheet2!F$18/_xlfn.STDEV.S(G$62:G$91)</f>
        <v>2.1866760326070818</v>
      </c>
      <c r="AF66" s="2">
        <f ca="1">H66*Sheet2!G$18/_xlfn.STDEV.S(H$62:H$91)</f>
        <v>19.214371839816241</v>
      </c>
      <c r="AG66" s="2">
        <f ca="1">I66*Sheet2!H$18/_xlfn.STDEV.S(I$62:I$91)</f>
        <v>8.7344271821929027</v>
      </c>
      <c r="AH66" s="2">
        <f ca="1">J66*Sheet2!I$18/_xlfn.STDEV.S(J$62:J$91)</f>
        <v>1.0892449441841165</v>
      </c>
      <c r="AI66" s="2">
        <f ca="1">K66*Sheet2!J$18/_xlfn.STDEV.S(K$62:K$91)</f>
        <v>7.2705741263562509E-2</v>
      </c>
      <c r="AJ66" s="2">
        <f ca="1">L66*Sheet2!K$18/_xlfn.STDEV.S(L$62:L$91)</f>
        <v>3.2574374223885272</v>
      </c>
      <c r="AK66" s="2">
        <f ca="1">M66*Sheet2!L$18/_xlfn.STDEV.S(M$62:M$91)</f>
        <v>3.363663346262471</v>
      </c>
      <c r="AL66" s="2">
        <f ca="1">N66*Sheet2!M$18/_xlfn.STDEV.S(N$62:N$91)</f>
        <v>4.5569584230447147</v>
      </c>
      <c r="AM66" s="2">
        <f ca="1">O66*Sheet2!N$18/_xlfn.STDEV.S(O$62:O$91)</f>
        <v>1.8739363745912971</v>
      </c>
      <c r="AN66" s="2">
        <f ca="1">P66*Sheet2!O$18/_xlfn.STDEV.S(P$62:P$91)</f>
        <v>0.26329735493147599</v>
      </c>
      <c r="AO66" s="2">
        <f ca="1">Q66*Sheet2!P$18/_xlfn.STDEV.S(Q$62:Q$91)</f>
        <v>7.0611969169309337</v>
      </c>
      <c r="AP66" s="2">
        <f ca="1">R66*Sheet2!Q$18/_xlfn.STDEV.S(R$62:R$91)</f>
        <v>5.8408542776849277</v>
      </c>
      <c r="AQ66" s="2">
        <f ca="1">S66*Sheet2!R$18/_xlfn.STDEV.S(S$62:S$91)</f>
        <v>0.88633888844991127</v>
      </c>
      <c r="AR66" s="2">
        <f ca="1">T66*Sheet2!S$18/_xlfn.STDEV.S(T$62:T$91)</f>
        <v>8.7130634351268305E-2</v>
      </c>
      <c r="AS66" s="2">
        <f ca="1">U66*Sheet2!T$18/_xlfn.STDEV.S(U$62:U$91)</f>
        <v>1.1636806029742282</v>
      </c>
      <c r="AT66" s="2">
        <f ca="1">V66*Sheet2!U$18/_xlfn.STDEV.S(V$62:V$91)</f>
        <v>0.10669772166512821</v>
      </c>
      <c r="AU66" s="2">
        <f ca="1">W66*Sheet2!V$18/_xlfn.STDEV.S(W$62:W$91)</f>
        <v>3.0265946837743001</v>
      </c>
      <c r="AV66" s="2">
        <f ca="1">X66*Sheet2!W$18/_xlfn.STDEV.S(X$62:X$91)</f>
        <v>1.2839168271941148</v>
      </c>
      <c r="AW66" s="2">
        <f ca="1">Y66*Sheet2!X$18/_xlfn.STDEV.S(Y$62:Y$91)</f>
        <v>1.3715796023120106</v>
      </c>
      <c r="AX66" s="2">
        <f ca="1">Z66*Sheet2!Y$18/_xlfn.STDEV.S(Z$62:Z$91)</f>
        <v>5.2152843240668316</v>
      </c>
      <c r="AY66" s="2">
        <f ca="1">AA66*Sheet2!Z$18/_xlfn.STDEV.S(AA$62:AA$91)</f>
        <v>3.0688554397969456</v>
      </c>
      <c r="AZ66" s="2">
        <f ca="1">AB66-AVERAGE(AB$62:AB$91)+Sheet2!C$17</f>
        <v>4.141235441671359</v>
      </c>
      <c r="BA66" s="2">
        <f ca="1">AC66-AVERAGE(AC$62:AC$91)+Sheet2!D$17</f>
        <v>5.9380270557446417</v>
      </c>
      <c r="BB66" s="2">
        <f ca="1">AD66-AVERAGE(AD$62:AD$91)+Sheet2!E$17</f>
        <v>29.161491746628581</v>
      </c>
      <c r="BC66" s="2">
        <f ca="1">AE66-AVERAGE(AE$62:AE$91)+Sheet2!F$17</f>
        <v>-0.4540390978114619</v>
      </c>
      <c r="BD66" s="2">
        <f ca="1">AF66-AVERAGE(AF$62:AF$91)+Sheet2!G$17</f>
        <v>42.018933474644264</v>
      </c>
      <c r="BE66" s="2">
        <f ca="1">AG66-AVERAGE(AG$62:AG$91)+Sheet2!H$17</f>
        <v>21.950517454289226</v>
      </c>
      <c r="BF66" s="2">
        <f ca="1">AH66-AVERAGE(AH$62:AH$91)+Sheet2!I$17</f>
        <v>9.6443308004071113</v>
      </c>
      <c r="BG66" s="2">
        <f ca="1">AI66-AVERAGE(AI$62:AI$91)+Sheet2!J$17</f>
        <v>22.714793225659271</v>
      </c>
      <c r="BH66" s="2">
        <f ca="1">AJ66-AVERAGE(AJ$62:AJ$91)+Sheet2!K$17</f>
        <v>20.529799522481014</v>
      </c>
      <c r="BI66" s="2">
        <f ca="1">AK66-AVERAGE(AK$62:AK$91)+Sheet2!L$17</f>
        <v>23.846991673408162</v>
      </c>
      <c r="BJ66" s="2">
        <f ca="1">AL66-AVERAGE(AL$62:AL$91)+Sheet2!M$17</f>
        <v>19.82309528879232</v>
      </c>
      <c r="BK66" s="2">
        <f ca="1">AM66-AVERAGE(AM$62:AM$91)+Sheet2!N$17</f>
        <v>14.021706695014181</v>
      </c>
      <c r="BL66" s="2">
        <f ca="1">AN66-AVERAGE(AN$62:AN$91)+Sheet2!O$17</f>
        <v>2.4101056541113008</v>
      </c>
      <c r="BM66" s="2">
        <f ca="1">AO66-AVERAGE(AO$62:AO$91)+Sheet2!P$17</f>
        <v>20.522878388123576</v>
      </c>
      <c r="BN66" s="2">
        <f ca="1">AP66-AVERAGE(AP$62:AP$91)+Sheet2!Q$17</f>
        <v>13.726290748584104</v>
      </c>
      <c r="BO66" s="2">
        <f ca="1">AQ66-AVERAGE(AQ$62:AQ$91)+Sheet2!R$17</f>
        <v>10.183968089636332</v>
      </c>
      <c r="BP66" s="2">
        <f ca="1">AR66-AVERAGE(AR$62:AR$91)+Sheet2!S$17</f>
        <v>3.421345549590864</v>
      </c>
      <c r="BQ66" s="2">
        <f ca="1">AS66-AVERAGE(AS$62:AS$91)+Sheet2!T$17</f>
        <v>12.006370808591145</v>
      </c>
      <c r="BR66" s="2">
        <f ca="1">AT66-AVERAGE(AT$62:AT$91)+Sheet2!U$17</f>
        <v>19.577237110872634</v>
      </c>
      <c r="BS66" s="2">
        <f ca="1">AU66-AVERAGE(AU$62:AU$91)+Sheet2!V$17</f>
        <v>22.313227977178666</v>
      </c>
      <c r="BT66" s="2">
        <f ca="1">AV66-AVERAGE(AV$62:AV$91)+Sheet2!W$17</f>
        <v>26.889910256839517</v>
      </c>
      <c r="BU66" s="2">
        <f ca="1">AW66-AVERAGE(AW$62:AW$91)+Sheet2!X$17</f>
        <v>18.871633744351072</v>
      </c>
      <c r="BV66" s="2">
        <f ca="1">AX66-AVERAGE(AX$62:AX$91)+Sheet2!Y$17</f>
        <v>21.472569258465668</v>
      </c>
      <c r="BW66" s="2">
        <f ca="1">AY66-AVERAGE(AY$62:AY$91)+Sheet2!Z$17</f>
        <v>10.848072728799426</v>
      </c>
      <c r="BZ66" s="2">
        <f ca="1">BA66-AVERAGE(AH$62:AH$91)+Sheet2!AB$17</f>
        <v>4.3556693834689186</v>
      </c>
      <c r="CA66" s="2">
        <f ca="1">BB66-AVERAGE(AI$62:AI$91)+Sheet2!AC$17</f>
        <v>26.559550810788593</v>
      </c>
      <c r="CB66" s="2">
        <f ca="1">BC66-AVERAGE(AJ$62:AJ$91)+Sheet2!AD$17</f>
        <v>-4.0831619056426867</v>
      </c>
      <c r="CC66" s="2">
        <f ca="1">BD66-AVERAGE(AK$62:AK$91)+Sheet2!AE$17</f>
        <v>37.240673670255653</v>
      </c>
    </row>
    <row r="67" spans="2:81" x14ac:dyDescent="0.3">
      <c r="B67">
        <v>66</v>
      </c>
      <c r="C67" s="1">
        <v>3</v>
      </c>
      <c r="D67" s="2">
        <f t="shared" ca="1" si="6"/>
        <v>0.64068119670912094</v>
      </c>
      <c r="E67" s="2">
        <f t="shared" ca="1" si="6"/>
        <v>0.39456385576337172</v>
      </c>
      <c r="F67" s="2">
        <f t="shared" ca="1" si="6"/>
        <v>0.26516905086605147</v>
      </c>
      <c r="G67" s="2">
        <f t="shared" ca="1" si="6"/>
        <v>0.72945432435627122</v>
      </c>
      <c r="H67" s="2">
        <f t="shared" ca="1" si="6"/>
        <v>0.95325870788455036</v>
      </c>
      <c r="I67" s="2">
        <f t="shared" ca="1" si="6"/>
        <v>0.3330742984464744</v>
      </c>
      <c r="J67" s="2">
        <f t="shared" ca="1" si="6"/>
        <v>0.60935419501613564</v>
      </c>
      <c r="K67" s="2">
        <f t="shared" ca="1" si="6"/>
        <v>0.33655884218363308</v>
      </c>
      <c r="L67" s="2">
        <f t="shared" ca="1" si="6"/>
        <v>0.50486520630927056</v>
      </c>
      <c r="M67" s="2">
        <f t="shared" ca="1" si="6"/>
        <v>2.0510532613046695E-2</v>
      </c>
      <c r="N67" s="2">
        <f t="shared" ca="1" si="6"/>
        <v>0.38141584731908873</v>
      </c>
      <c r="O67" s="2">
        <f t="shared" ca="1" si="6"/>
        <v>0.65519460246108008</v>
      </c>
      <c r="P67" s="2">
        <f t="shared" ca="1" si="6"/>
        <v>0.44979006142269662</v>
      </c>
      <c r="Q67" s="2">
        <f t="shared" ca="1" si="6"/>
        <v>0.91774583305316171</v>
      </c>
      <c r="R67" s="2">
        <f t="shared" ca="1" si="6"/>
        <v>0.41742196745629034</v>
      </c>
      <c r="S67" s="2">
        <f t="shared" ca="1" si="6"/>
        <v>4.3533973398252046E-3</v>
      </c>
      <c r="T67" s="2">
        <f t="shared" ca="1" si="7"/>
        <v>0.54903112234805918</v>
      </c>
      <c r="U67" s="2">
        <f t="shared" ca="1" si="7"/>
        <v>0.35293577342724392</v>
      </c>
      <c r="V67" s="2">
        <f t="shared" ca="1" si="7"/>
        <v>0.35475340916147746</v>
      </c>
      <c r="W67" s="2">
        <f t="shared" ca="1" si="7"/>
        <v>0.87836813563738836</v>
      </c>
      <c r="X67" s="2">
        <f t="shared" ca="1" si="7"/>
        <v>0.15794666385322265</v>
      </c>
      <c r="Y67" s="2">
        <f t="shared" ca="1" si="7"/>
        <v>0.85916003299245469</v>
      </c>
      <c r="Z67" s="2">
        <f t="shared" ca="1" si="7"/>
        <v>0.73645364870213548</v>
      </c>
      <c r="AA67" s="2">
        <f t="shared" ca="1" si="7"/>
        <v>0.3118616923771298</v>
      </c>
      <c r="AB67" s="2">
        <f ca="1">D67*Sheet2!C$18/_xlfn.STDEV.S(D$62:D$91)</f>
        <v>2.0125728586922973</v>
      </c>
      <c r="AC67" s="2">
        <f ca="1">E67*Sheet2!D$18/_xlfn.STDEV.S(E$62:E$91)</f>
        <v>1.0670325862452765</v>
      </c>
      <c r="AD67" s="2">
        <f ca="1">F67*Sheet2!E$18/_xlfn.STDEV.S(F$62:F$91)</f>
        <v>1.0848496771894911</v>
      </c>
      <c r="AE67" s="2">
        <f ca="1">G67*Sheet2!F$18/_xlfn.STDEV.S(G$62:G$91)</f>
        <v>8.940870196686511</v>
      </c>
      <c r="AF67" s="2">
        <f ca="1">H67*Sheet2!G$18/_xlfn.STDEV.S(H$62:H$91)</f>
        <v>19.880701200723671</v>
      </c>
      <c r="AG67" s="2">
        <f ca="1">I67*Sheet2!H$18/_xlfn.STDEV.S(I$62:I$91)</f>
        <v>5.4850141919405981</v>
      </c>
      <c r="AH67" s="2">
        <f ca="1">J67*Sheet2!I$18/_xlfn.STDEV.S(J$62:J$91)</f>
        <v>1.9181397574130212</v>
      </c>
      <c r="AI67" s="2">
        <f ca="1">K67*Sheet2!J$18/_xlfn.STDEV.S(K$62:K$91)</f>
        <v>2.0851042850802988</v>
      </c>
      <c r="AJ67" s="2">
        <f ca="1">L67*Sheet2!K$18/_xlfn.STDEV.S(L$62:L$91)</f>
        <v>3.9413147451160544</v>
      </c>
      <c r="AK67" s="2">
        <f ca="1">M67*Sheet2!L$18/_xlfn.STDEV.S(M$62:M$91)</f>
        <v>0.17458179711187111</v>
      </c>
      <c r="AL67" s="2">
        <f ca="1">N67*Sheet2!M$18/_xlfn.STDEV.S(N$62:N$91)</f>
        <v>2.0260770515772131</v>
      </c>
      <c r="AM67" s="2">
        <f ca="1">O67*Sheet2!N$18/_xlfn.STDEV.S(O$62:O$91)</f>
        <v>6.704110337741457</v>
      </c>
      <c r="AN67" s="2">
        <f ca="1">P67*Sheet2!O$18/_xlfn.STDEV.S(P$62:P$91)</f>
        <v>1.9818407345382225</v>
      </c>
      <c r="AO67" s="2">
        <f ca="1">Q67*Sheet2!P$18/_xlfn.STDEV.S(Q$62:Q$91)</f>
        <v>7.9104493653088879</v>
      </c>
      <c r="AP67" s="2">
        <f ca="1">R67*Sheet2!Q$18/_xlfn.STDEV.S(R$62:R$91)</f>
        <v>2.7944828940142759</v>
      </c>
      <c r="AQ67" s="2">
        <f ca="1">S67*Sheet2!R$18/_xlfn.STDEV.S(S$62:S$91)</f>
        <v>1.3604868050639343E-2</v>
      </c>
      <c r="AR67" s="2">
        <f ca="1">T67*Sheet2!S$18/_xlfn.STDEV.S(T$62:T$91)</f>
        <v>1.1750202633085634</v>
      </c>
      <c r="AS67" s="2">
        <f ca="1">U67*Sheet2!T$18/_xlfn.STDEV.S(U$62:U$91)</f>
        <v>1.9998240694288045</v>
      </c>
      <c r="AT67" s="2">
        <f ca="1">V67*Sheet2!U$18/_xlfn.STDEV.S(V$62:V$91)</f>
        <v>1.4801663968901784</v>
      </c>
      <c r="AU67" s="2">
        <f ca="1">W67*Sheet2!V$18/_xlfn.STDEV.S(W$62:W$91)</f>
        <v>3.1749210337973053</v>
      </c>
      <c r="AV67" s="2">
        <f ca="1">X67*Sheet2!W$18/_xlfn.STDEV.S(X$62:X$91)</f>
        <v>0.88031905881786032</v>
      </c>
      <c r="AW67" s="2">
        <f ca="1">Y67*Sheet2!X$18/_xlfn.STDEV.S(Y$62:Y$91)</f>
        <v>6.5588294064221122</v>
      </c>
      <c r="AX67" s="2">
        <f ca="1">Z67*Sheet2!Y$18/_xlfn.STDEV.S(Z$62:Z$91)</f>
        <v>4.2691489283597743</v>
      </c>
      <c r="AY67" s="2">
        <f ca="1">AA67*Sheet2!Z$18/_xlfn.STDEV.S(AA$62:AA$91)</f>
        <v>1.1587976761836603</v>
      </c>
      <c r="AZ67" s="2">
        <f ca="1">AB67-AVERAGE(AB$62:AB$91)+Sheet2!C$17</f>
        <v>6.0595703655619433</v>
      </c>
      <c r="BA67" s="2">
        <f ca="1">AC67-AVERAGE(AC$62:AC$91)+Sheet2!D$17</f>
        <v>4.9155117080824162</v>
      </c>
      <c r="BB67" s="2">
        <f ca="1">AD67-AVERAGE(AD$62:AD$91)+Sheet2!E$17</f>
        <v>26.306496900882369</v>
      </c>
      <c r="BC67" s="2">
        <f ca="1">AE67-AVERAGE(AE$62:AE$91)+Sheet2!F$17</f>
        <v>6.3001550662679673</v>
      </c>
      <c r="BD67" s="2">
        <f ca="1">AF67-AVERAGE(AF$62:AF$91)+Sheet2!G$17</f>
        <v>42.685262835551697</v>
      </c>
      <c r="BE67" s="2">
        <f ca="1">AG67-AVERAGE(AG$62:AG$91)+Sheet2!H$17</f>
        <v>18.701104464036924</v>
      </c>
      <c r="BF67" s="2">
        <f ca="1">AH67-AVERAGE(AH$62:AH$91)+Sheet2!I$17</f>
        <v>10.473225613636016</v>
      </c>
      <c r="BG67" s="2">
        <f ca="1">AI67-AVERAGE(AI$62:AI$91)+Sheet2!J$17</f>
        <v>24.727191769476008</v>
      </c>
      <c r="BH67" s="2">
        <f ca="1">AJ67-AVERAGE(AJ$62:AJ$91)+Sheet2!K$17</f>
        <v>21.213676845208539</v>
      </c>
      <c r="BI67" s="2">
        <f ca="1">AK67-AVERAGE(AK$62:AK$91)+Sheet2!L$17</f>
        <v>20.657910124257562</v>
      </c>
      <c r="BJ67" s="2">
        <f ca="1">AL67-AVERAGE(AL$62:AL$91)+Sheet2!M$17</f>
        <v>17.292213917324819</v>
      </c>
      <c r="BK67" s="2">
        <f ca="1">AM67-AVERAGE(AM$62:AM$91)+Sheet2!N$17</f>
        <v>18.85188065816434</v>
      </c>
      <c r="BL67" s="2">
        <f ca="1">AN67-AVERAGE(AN$62:AN$91)+Sheet2!O$17</f>
        <v>4.1286490337180473</v>
      </c>
      <c r="BM67" s="2">
        <f ca="1">AO67-AVERAGE(AO$62:AO$91)+Sheet2!P$17</f>
        <v>21.37213083650153</v>
      </c>
      <c r="BN67" s="2">
        <f ca="1">AP67-AVERAGE(AP$62:AP$91)+Sheet2!Q$17</f>
        <v>10.679919364913452</v>
      </c>
      <c r="BO67" s="2">
        <f ca="1">AQ67-AVERAGE(AQ$62:AQ$91)+Sheet2!R$17</f>
        <v>9.3112340692370594</v>
      </c>
      <c r="BP67" s="2">
        <f ca="1">AR67-AVERAGE(AR$62:AR$91)+Sheet2!S$17</f>
        <v>4.5092351785481597</v>
      </c>
      <c r="BQ67" s="2">
        <f ca="1">AS67-AVERAGE(AS$62:AS$91)+Sheet2!T$17</f>
        <v>12.842514275045721</v>
      </c>
      <c r="BR67" s="2">
        <f ca="1">AT67-AVERAGE(AT$62:AT$91)+Sheet2!U$17</f>
        <v>20.950705786097686</v>
      </c>
      <c r="BS67" s="2">
        <f ca="1">AU67-AVERAGE(AU$62:AU$91)+Sheet2!V$17</f>
        <v>22.461554327201672</v>
      </c>
      <c r="BT67" s="2">
        <f ca="1">AV67-AVERAGE(AV$62:AV$91)+Sheet2!W$17</f>
        <v>26.486312488463263</v>
      </c>
      <c r="BU67" s="2">
        <f ca="1">AW67-AVERAGE(AW$62:AW$91)+Sheet2!X$17</f>
        <v>24.058883548461175</v>
      </c>
      <c r="BV67" s="2">
        <f ca="1">AX67-AVERAGE(AX$62:AX$91)+Sheet2!Y$17</f>
        <v>20.526433862758612</v>
      </c>
      <c r="BW67" s="2">
        <f ca="1">AY67-AVERAGE(AY$62:AY$91)+Sheet2!Z$17</f>
        <v>8.9380149651861416</v>
      </c>
      <c r="BZ67" s="2">
        <f ca="1">BA67-AVERAGE(AH$62:AH$91)+Sheet2!AB$17</f>
        <v>3.3331540358066931</v>
      </c>
      <c r="CA67" s="2">
        <f ca="1">BB67-AVERAGE(AI$62:AI$91)+Sheet2!AC$17</f>
        <v>23.704555965042381</v>
      </c>
      <c r="CB67" s="2">
        <f ca="1">BC67-AVERAGE(AJ$62:AJ$91)+Sheet2!AD$17</f>
        <v>2.671032258436743</v>
      </c>
      <c r="CC67" s="2">
        <f ca="1">BD67-AVERAGE(AK$62:AK$91)+Sheet2!AE$17</f>
        <v>37.907003031163086</v>
      </c>
    </row>
    <row r="68" spans="2:81" x14ac:dyDescent="0.3">
      <c r="B68">
        <v>67</v>
      </c>
      <c r="C68" s="1">
        <v>3</v>
      </c>
      <c r="D68" s="2">
        <f t="shared" ca="1" si="6"/>
        <v>0.75045913157943034</v>
      </c>
      <c r="E68" s="2">
        <f t="shared" ca="1" si="6"/>
        <v>0.89375492789628319</v>
      </c>
      <c r="F68" s="2">
        <f t="shared" ca="1" si="6"/>
        <v>0.17317880585801915</v>
      </c>
      <c r="G68" s="2">
        <f t="shared" ca="1" si="6"/>
        <v>0.84994860662703575</v>
      </c>
      <c r="H68" s="2">
        <f t="shared" ca="1" si="6"/>
        <v>0.88735019188787889</v>
      </c>
      <c r="I68" s="2">
        <f t="shared" ca="1" si="6"/>
        <v>0.23741701981735541</v>
      </c>
      <c r="J68" s="2">
        <f t="shared" ca="1" si="6"/>
        <v>0.25298239327281735</v>
      </c>
      <c r="K68" s="2">
        <f t="shared" ca="1" si="6"/>
        <v>4.3970986741725726E-2</v>
      </c>
      <c r="L68" s="2">
        <f t="shared" ca="1" si="6"/>
        <v>0.31062158280694352</v>
      </c>
      <c r="M68" s="2">
        <f t="shared" ca="1" si="6"/>
        <v>0.66850136420407524</v>
      </c>
      <c r="N68" s="2">
        <f t="shared" ca="1" si="6"/>
        <v>0.77097312570432397</v>
      </c>
      <c r="O68" s="2">
        <f t="shared" ca="1" si="6"/>
        <v>0.26731783037611345</v>
      </c>
      <c r="P68" s="2">
        <f t="shared" ca="1" si="6"/>
        <v>0.37656921676014921</v>
      </c>
      <c r="Q68" s="2">
        <f t="shared" ca="1" si="6"/>
        <v>0.36931926885443755</v>
      </c>
      <c r="R68" s="2">
        <f t="shared" ca="1" si="6"/>
        <v>0.33828386329112037</v>
      </c>
      <c r="S68" s="2">
        <f t="shared" ca="1" si="6"/>
        <v>0.24380922753350986</v>
      </c>
      <c r="T68" s="2">
        <f t="shared" ca="1" si="7"/>
        <v>2.2414458048712116E-2</v>
      </c>
      <c r="U68" s="2">
        <f t="shared" ca="1" si="7"/>
        <v>0.11158872162605027</v>
      </c>
      <c r="V68" s="2">
        <f t="shared" ca="1" si="7"/>
        <v>0.84615151389727761</v>
      </c>
      <c r="W68" s="2">
        <f t="shared" ca="1" si="7"/>
        <v>0.12487475464560838</v>
      </c>
      <c r="X68" s="2">
        <f t="shared" ca="1" si="7"/>
        <v>0.25988659042301532</v>
      </c>
      <c r="Y68" s="2">
        <f t="shared" ca="1" si="7"/>
        <v>0.31899121316345691</v>
      </c>
      <c r="Z68" s="2">
        <f t="shared" ca="1" si="7"/>
        <v>0.22218668425804178</v>
      </c>
      <c r="AA68" s="2">
        <f t="shared" ca="1" si="7"/>
        <v>0.32630450400081212</v>
      </c>
      <c r="AB68" s="2">
        <f ca="1">D68*Sheet2!C$18/_xlfn.STDEV.S(D$62:D$91)</f>
        <v>2.3574184594967544</v>
      </c>
      <c r="AC68" s="2">
        <f ca="1">E68*Sheet2!D$18/_xlfn.STDEV.S(E$62:E$91)</f>
        <v>2.4170121470897352</v>
      </c>
      <c r="AD68" s="2">
        <f ca="1">F68*Sheet2!E$18/_xlfn.STDEV.S(F$62:F$91)</f>
        <v>0.70850263640320721</v>
      </c>
      <c r="AE68" s="2">
        <f ca="1">G68*Sheet2!F$18/_xlfn.STDEV.S(G$62:G$91)</f>
        <v>10.417760114607727</v>
      </c>
      <c r="AF68" s="2">
        <f ca="1">H68*Sheet2!G$18/_xlfn.STDEV.S(H$62:H$91)</f>
        <v>18.506145162289208</v>
      </c>
      <c r="AG68" s="2">
        <f ca="1">I68*Sheet2!H$18/_xlfn.STDEV.S(I$62:I$91)</f>
        <v>3.9097454507307416</v>
      </c>
      <c r="AH68" s="2">
        <f ca="1">J68*Sheet2!I$18/_xlfn.STDEV.S(J$62:J$91)</f>
        <v>0.79634404822508498</v>
      </c>
      <c r="AI68" s="2">
        <f ca="1">K68*Sheet2!J$18/_xlfn.STDEV.S(K$62:K$91)</f>
        <v>0.27241623568563583</v>
      </c>
      <c r="AJ68" s="2">
        <f ca="1">L68*Sheet2!K$18/_xlfn.STDEV.S(L$62:L$91)</f>
        <v>2.4249193827754842</v>
      </c>
      <c r="AK68" s="2">
        <f ca="1">M68*Sheet2!L$18/_xlfn.STDEV.S(M$62:M$91)</f>
        <v>5.6901579172179648</v>
      </c>
      <c r="AL68" s="2">
        <f ca="1">N68*Sheet2!M$18/_xlfn.STDEV.S(N$62:N$91)</f>
        <v>4.0954013011040109</v>
      </c>
      <c r="AM68" s="2">
        <f ca="1">O68*Sheet2!N$18/_xlfn.STDEV.S(O$62:O$91)</f>
        <v>2.7352609794943716</v>
      </c>
      <c r="AN68" s="2">
        <f ca="1">P68*Sheet2!O$18/_xlfn.STDEV.S(P$62:P$91)</f>
        <v>1.6592189938298145</v>
      </c>
      <c r="AO68" s="2">
        <f ca="1">Q68*Sheet2!P$18/_xlfn.STDEV.S(Q$62:Q$91)</f>
        <v>3.1833229535749874</v>
      </c>
      <c r="AP68" s="2">
        <f ca="1">R68*Sheet2!Q$18/_xlfn.STDEV.S(R$62:R$91)</f>
        <v>2.2646830856765776</v>
      </c>
      <c r="AQ68" s="2">
        <f ca="1">S68*Sheet2!R$18/_xlfn.STDEV.S(S$62:S$91)</f>
        <v>0.76193191459406018</v>
      </c>
      <c r="AR68" s="2">
        <f ca="1">T68*Sheet2!S$18/_xlfn.STDEV.S(T$62:T$91)</f>
        <v>4.7970763999094009E-2</v>
      </c>
      <c r="AS68" s="2">
        <f ca="1">U68*Sheet2!T$18/_xlfn.STDEV.S(U$62:U$91)</f>
        <v>0.63229014508094028</v>
      </c>
      <c r="AT68" s="2">
        <f ca="1">V68*Sheet2!U$18/_xlfn.STDEV.S(V$62:V$91)</f>
        <v>3.530466530283328</v>
      </c>
      <c r="AU68" s="2">
        <f ca="1">W68*Sheet2!V$18/_xlfn.STDEV.S(W$62:W$91)</f>
        <v>0.45136824644364282</v>
      </c>
      <c r="AV68" s="2">
        <f ca="1">X68*Sheet2!W$18/_xlfn.STDEV.S(X$62:X$91)</f>
        <v>1.4484833873615472</v>
      </c>
      <c r="AW68" s="2">
        <f ca="1">Y68*Sheet2!X$18/_xlfn.STDEV.S(Y$62:Y$91)</f>
        <v>2.4351795578753599</v>
      </c>
      <c r="AX68" s="2">
        <f ca="1">Z68*Sheet2!Y$18/_xlfn.STDEV.S(Z$62:Z$91)</f>
        <v>1.2879942229462409</v>
      </c>
      <c r="AY68" s="2">
        <f ca="1">AA68*Sheet2!Z$18/_xlfn.STDEV.S(AA$62:AA$91)</f>
        <v>1.2124634419900049</v>
      </c>
      <c r="AZ68" s="2">
        <f ca="1">AB68-AVERAGE(AB$62:AB$91)+Sheet2!C$17</f>
        <v>6.4044159663664004</v>
      </c>
      <c r="BA68" s="2">
        <f ca="1">AC68-AVERAGE(AC$62:AC$91)+Sheet2!D$17</f>
        <v>6.2654912689268745</v>
      </c>
      <c r="BB68" s="2">
        <f ca="1">AD68-AVERAGE(AD$62:AD$91)+Sheet2!E$17</f>
        <v>25.930149860096087</v>
      </c>
      <c r="BC68" s="2">
        <f ca="1">AE68-AVERAGE(AE$62:AE$91)+Sheet2!F$17</f>
        <v>7.7770449841891836</v>
      </c>
      <c r="BD68" s="2">
        <f ca="1">AF68-AVERAGE(AF$62:AF$91)+Sheet2!G$17</f>
        <v>41.310706797117234</v>
      </c>
      <c r="BE68" s="2">
        <f ca="1">AG68-AVERAGE(AG$62:AG$91)+Sheet2!H$17</f>
        <v>17.125835722827066</v>
      </c>
      <c r="BF68" s="2">
        <f ca="1">AH68-AVERAGE(AH$62:AH$91)+Sheet2!I$17</f>
        <v>9.3514299044480786</v>
      </c>
      <c r="BG68" s="2">
        <f ca="1">AI68-AVERAGE(AI$62:AI$91)+Sheet2!J$17</f>
        <v>22.914503720081346</v>
      </c>
      <c r="BH68" s="2">
        <f ca="1">AJ68-AVERAGE(AJ$62:AJ$91)+Sheet2!K$17</f>
        <v>19.697281482867968</v>
      </c>
      <c r="BI68" s="2">
        <f ca="1">AK68-AVERAGE(AK$62:AK$91)+Sheet2!L$17</f>
        <v>26.173486244363655</v>
      </c>
      <c r="BJ68" s="2">
        <f ca="1">AL68-AVERAGE(AL$62:AL$91)+Sheet2!M$17</f>
        <v>19.361538166851616</v>
      </c>
      <c r="BK68" s="2">
        <f ca="1">AM68-AVERAGE(AM$62:AM$91)+Sheet2!N$17</f>
        <v>14.883031299917256</v>
      </c>
      <c r="BL68" s="2">
        <f ca="1">AN68-AVERAGE(AN$62:AN$91)+Sheet2!O$17</f>
        <v>3.806027293009639</v>
      </c>
      <c r="BM68" s="2">
        <f ca="1">AO68-AVERAGE(AO$62:AO$91)+Sheet2!P$17</f>
        <v>16.645004424767627</v>
      </c>
      <c r="BN68" s="2">
        <f ca="1">AP68-AVERAGE(AP$62:AP$91)+Sheet2!Q$17</f>
        <v>10.150119556575753</v>
      </c>
      <c r="BO68" s="2">
        <f ca="1">AQ68-AVERAGE(AQ$62:AQ$91)+Sheet2!R$17</f>
        <v>10.059561115780481</v>
      </c>
      <c r="BP68" s="2">
        <f ca="1">AR68-AVERAGE(AR$62:AR$91)+Sheet2!S$17</f>
        <v>3.38218567923869</v>
      </c>
      <c r="BQ68" s="2">
        <f ca="1">AS68-AVERAGE(AS$62:AS$91)+Sheet2!T$17</f>
        <v>11.474980350697857</v>
      </c>
      <c r="BR68" s="2">
        <f ca="1">AT68-AVERAGE(AT$62:AT$91)+Sheet2!U$17</f>
        <v>23.001005919490833</v>
      </c>
      <c r="BS68" s="2">
        <f ca="1">AU68-AVERAGE(AU$62:AU$91)+Sheet2!V$17</f>
        <v>19.738001539848007</v>
      </c>
      <c r="BT68" s="2">
        <f ca="1">AV68-AVERAGE(AV$62:AV$91)+Sheet2!W$17</f>
        <v>27.05447681700695</v>
      </c>
      <c r="BU68" s="2">
        <f ca="1">AW68-AVERAGE(AW$62:AW$91)+Sheet2!X$17</f>
        <v>19.93523369991442</v>
      </c>
      <c r="BV68" s="2">
        <f ca="1">AX68-AVERAGE(AX$62:AX$91)+Sheet2!Y$17</f>
        <v>17.545279157345078</v>
      </c>
      <c r="BW68" s="2">
        <f ca="1">AY68-AVERAGE(AY$62:AY$91)+Sheet2!Z$17</f>
        <v>8.9916807309924867</v>
      </c>
      <c r="BZ68" s="2">
        <f ca="1">BA68-AVERAGE(AH$62:AH$91)+Sheet2!AB$17</f>
        <v>4.6831335966511514</v>
      </c>
      <c r="CA68" s="2">
        <f ca="1">BB68-AVERAGE(AI$62:AI$91)+Sheet2!AC$17</f>
        <v>23.328208924256099</v>
      </c>
      <c r="CB68" s="2">
        <f ca="1">BC68-AVERAGE(AJ$62:AJ$91)+Sheet2!AD$17</f>
        <v>4.1479221763579588</v>
      </c>
      <c r="CC68" s="2">
        <f ca="1">BD68-AVERAGE(AK$62:AK$91)+Sheet2!AE$17</f>
        <v>36.532446992728623</v>
      </c>
    </row>
    <row r="69" spans="2:81" x14ac:dyDescent="0.3">
      <c r="B69">
        <v>68</v>
      </c>
      <c r="C69" s="1">
        <v>3</v>
      </c>
      <c r="D69" s="2">
        <f t="shared" ca="1" si="6"/>
        <v>0.69750552586402292</v>
      </c>
      <c r="E69" s="2">
        <f t="shared" ca="1" si="6"/>
        <v>0.45175142790920375</v>
      </c>
      <c r="F69" s="2">
        <f t="shared" ca="1" si="6"/>
        <v>0.94591864536627179</v>
      </c>
      <c r="G69" s="2">
        <f t="shared" ca="1" si="6"/>
        <v>0.12651541015425849</v>
      </c>
      <c r="H69" s="2">
        <f t="shared" ca="1" si="6"/>
        <v>0.34812324670830863</v>
      </c>
      <c r="I69" s="2">
        <f t="shared" ca="1" si="6"/>
        <v>0.51016951040768865</v>
      </c>
      <c r="J69" s="2">
        <f t="shared" ca="1" si="6"/>
        <v>0.56518913126048598</v>
      </c>
      <c r="K69" s="2">
        <f t="shared" ca="1" si="6"/>
        <v>0.14739046990579496</v>
      </c>
      <c r="L69" s="2">
        <f t="shared" ca="1" si="6"/>
        <v>0.29517701845864619</v>
      </c>
      <c r="M69" s="2">
        <f t="shared" ca="1" si="6"/>
        <v>0.31154263026223139</v>
      </c>
      <c r="N69" s="2">
        <f t="shared" ca="1" si="6"/>
        <v>0.90148310753384542</v>
      </c>
      <c r="O69" s="2">
        <f t="shared" ca="1" si="6"/>
        <v>0.37360086701206408</v>
      </c>
      <c r="P69" s="2">
        <f t="shared" ca="1" si="6"/>
        <v>5.7094171633788493E-2</v>
      </c>
      <c r="Q69" s="2">
        <f t="shared" ca="1" si="7"/>
        <v>0.30131581979055999</v>
      </c>
      <c r="R69" s="2">
        <f t="shared" ca="1" si="7"/>
        <v>0.38139298398334309</v>
      </c>
      <c r="S69" s="2">
        <f t="shared" ca="1" si="7"/>
        <v>0.84857461014743352</v>
      </c>
      <c r="T69" s="2">
        <f t="shared" ca="1" si="7"/>
        <v>0.53312856108915785</v>
      </c>
      <c r="U69" s="2">
        <f t="shared" ca="1" si="7"/>
        <v>0.83723862400058624</v>
      </c>
      <c r="V69" s="2">
        <f t="shared" ca="1" si="7"/>
        <v>0.35348460409775961</v>
      </c>
      <c r="W69" s="2">
        <f t="shared" ca="1" si="7"/>
        <v>0.99368286512698956</v>
      </c>
      <c r="X69" s="2">
        <f t="shared" ca="1" si="7"/>
        <v>0.62205344541805385</v>
      </c>
      <c r="Y69" s="2">
        <f t="shared" ca="1" si="7"/>
        <v>0.6196060435022922</v>
      </c>
      <c r="Z69" s="2">
        <f t="shared" ca="1" si="7"/>
        <v>0.45133417824136968</v>
      </c>
      <c r="AA69" s="2">
        <f t="shared" ca="1" si="7"/>
        <v>0.48983410063804467</v>
      </c>
      <c r="AB69" s="2">
        <f ca="1">D69*Sheet2!C$18/_xlfn.STDEV.S(D$62:D$91)</f>
        <v>2.1910752139322867</v>
      </c>
      <c r="AC69" s="2">
        <f ca="1">E69*Sheet2!D$18/_xlfn.STDEV.S(E$62:E$91)</f>
        <v>1.221686901678698</v>
      </c>
      <c r="AD69" s="2">
        <f ca="1">F69*Sheet2!E$18/_xlfn.STDEV.S(F$62:F$91)</f>
        <v>3.869906890421722</v>
      </c>
      <c r="AE69" s="2">
        <f ca="1">G69*Sheet2!F$18/_xlfn.STDEV.S(G$62:G$91)</f>
        <v>1.550690457648604</v>
      </c>
      <c r="AF69" s="2">
        <f ca="1">H69*Sheet2!G$18/_xlfn.STDEV.S(H$62:H$91)</f>
        <v>7.2602895641965546</v>
      </c>
      <c r="AG69" s="2">
        <f ca="1">I69*Sheet2!H$18/_xlfn.STDEV.S(I$62:I$91)</f>
        <v>8.4013897737932126</v>
      </c>
      <c r="AH69" s="2">
        <f ca="1">J69*Sheet2!I$18/_xlfn.STDEV.S(J$62:J$91)</f>
        <v>1.7791159099179705</v>
      </c>
      <c r="AI69" s="2">
        <f ca="1">K69*Sheet2!J$18/_xlfn.STDEV.S(K$62:K$91)</f>
        <v>0.91313750186034237</v>
      </c>
      <c r="AJ69" s="2">
        <f ca="1">L69*Sheet2!K$18/_xlfn.STDEV.S(L$62:L$91)</f>
        <v>2.3043488058430173</v>
      </c>
      <c r="AK69" s="2">
        <f ca="1">M69*Sheet2!L$18/_xlfn.STDEV.S(M$62:M$91)</f>
        <v>2.6517922910272174</v>
      </c>
      <c r="AL69" s="2">
        <f ca="1">N69*Sheet2!M$18/_xlfn.STDEV.S(N$62:N$91)</f>
        <v>4.7886689800563715</v>
      </c>
      <c r="AM69" s="2">
        <f ca="1">O69*Sheet2!N$18/_xlfn.STDEV.S(O$62:O$91)</f>
        <v>3.8227748295187336</v>
      </c>
      <c r="AN69" s="2">
        <f ca="1">P69*Sheet2!O$18/_xlfn.STDEV.S(P$62:P$91)</f>
        <v>0.25156526289322106</v>
      </c>
      <c r="AO69" s="2">
        <f ca="1">Q69*Sheet2!P$18/_xlfn.STDEV.S(Q$62:Q$91)</f>
        <v>2.5971717327118524</v>
      </c>
      <c r="AP69" s="2">
        <f ca="1">R69*Sheet2!Q$18/_xlfn.STDEV.S(R$62:R$91)</f>
        <v>2.5532824161922338</v>
      </c>
      <c r="AQ69" s="2">
        <f ca="1">S69*Sheet2!R$18/_xlfn.STDEV.S(S$62:S$91)</f>
        <v>2.6518933837181269</v>
      </c>
      <c r="AR69" s="2">
        <f ca="1">T69*Sheet2!S$18/_xlfn.STDEV.S(T$62:T$91)</f>
        <v>1.140986069330997</v>
      </c>
      <c r="AS69" s="2">
        <f ca="1">U69*Sheet2!T$18/_xlfn.STDEV.S(U$62:U$91)</f>
        <v>4.7440074885947512</v>
      </c>
      <c r="AT69" s="2">
        <f ca="1">V69*Sheet2!U$18/_xlfn.STDEV.S(V$62:V$91)</f>
        <v>1.4748724587037678</v>
      </c>
      <c r="AU69" s="2">
        <f ca="1">W69*Sheet2!V$18/_xlfn.STDEV.S(W$62:W$91)</f>
        <v>3.5917339227319767</v>
      </c>
      <c r="AV69" s="2">
        <f ca="1">X69*Sheet2!W$18/_xlfn.STDEV.S(X$62:X$91)</f>
        <v>3.4670279842929106</v>
      </c>
      <c r="AW69" s="2">
        <f ca="1">Y69*Sheet2!X$18/_xlfn.STDEV.S(Y$62:Y$91)</f>
        <v>4.7300737725952651</v>
      </c>
      <c r="AX69" s="2">
        <f ca="1">Z69*Sheet2!Y$18/_xlfn.STDEV.S(Z$62:Z$91)</f>
        <v>2.616339571087654</v>
      </c>
      <c r="AY69" s="2">
        <f ca="1">AA69*Sheet2!Z$18/_xlfn.STDEV.S(AA$62:AA$91)</f>
        <v>1.8200972784065645</v>
      </c>
      <c r="AZ69" s="2">
        <f ca="1">AB69-AVERAGE(AB$62:AB$91)+Sheet2!C$17</f>
        <v>6.2380727208019326</v>
      </c>
      <c r="BA69" s="2">
        <f ca="1">AC69-AVERAGE(AC$62:AC$91)+Sheet2!D$17</f>
        <v>5.0701660235158377</v>
      </c>
      <c r="BB69" s="2">
        <f ca="1">AD69-AVERAGE(AD$62:AD$91)+Sheet2!E$17</f>
        <v>29.091554114114601</v>
      </c>
      <c r="BC69" s="2">
        <f ca="1">AE69-AVERAGE(AE$62:AE$91)+Sheet2!F$17</f>
        <v>-1.0900246727699399</v>
      </c>
      <c r="BD69" s="2">
        <f ca="1">AF69-AVERAGE(AF$62:AF$91)+Sheet2!G$17</f>
        <v>30.064851199024581</v>
      </c>
      <c r="BE69" s="2">
        <f ca="1">AG69-AVERAGE(AG$62:AG$91)+Sheet2!H$17</f>
        <v>21.617480045889536</v>
      </c>
      <c r="BF69" s="2">
        <f ca="1">AH69-AVERAGE(AH$62:AH$91)+Sheet2!I$17</f>
        <v>10.334201766140964</v>
      </c>
      <c r="BG69" s="2">
        <f ca="1">AI69-AVERAGE(AI$62:AI$91)+Sheet2!J$17</f>
        <v>23.55522498625605</v>
      </c>
      <c r="BH69" s="2">
        <f ca="1">AJ69-AVERAGE(AJ$62:AJ$91)+Sheet2!K$17</f>
        <v>19.576710905935503</v>
      </c>
      <c r="BI69" s="2">
        <f ca="1">AK69-AVERAGE(AK$62:AK$91)+Sheet2!L$17</f>
        <v>23.135120618172909</v>
      </c>
      <c r="BJ69" s="2">
        <f ca="1">AL69-AVERAGE(AL$62:AL$91)+Sheet2!M$17</f>
        <v>20.054805845803976</v>
      </c>
      <c r="BK69" s="2">
        <f ca="1">AM69-AVERAGE(AM$62:AM$91)+Sheet2!N$17</f>
        <v>15.970545149941618</v>
      </c>
      <c r="BL69" s="2">
        <f ca="1">AN69-AVERAGE(AN$62:AN$91)+Sheet2!O$17</f>
        <v>2.3983735620730458</v>
      </c>
      <c r="BM69" s="2">
        <f ca="1">AO69-AVERAGE(AO$62:AO$91)+Sheet2!P$17</f>
        <v>16.058853203904494</v>
      </c>
      <c r="BN69" s="2">
        <f ca="1">AP69-AVERAGE(AP$62:AP$91)+Sheet2!Q$17</f>
        <v>10.43871888709141</v>
      </c>
      <c r="BO69" s="2">
        <f ca="1">AQ69-AVERAGE(AQ$62:AQ$91)+Sheet2!R$17</f>
        <v>11.949522584904548</v>
      </c>
      <c r="BP69" s="2">
        <f ca="1">AR69-AVERAGE(AR$62:AR$91)+Sheet2!S$17</f>
        <v>4.4752009845705931</v>
      </c>
      <c r="BQ69" s="2">
        <f ca="1">AS69-AVERAGE(AS$62:AS$91)+Sheet2!T$17</f>
        <v>15.586697694211667</v>
      </c>
      <c r="BR69" s="2">
        <f ca="1">AT69-AVERAGE(AT$62:AT$91)+Sheet2!U$17</f>
        <v>20.945411847911274</v>
      </c>
      <c r="BS69" s="2">
        <f ca="1">AU69-AVERAGE(AU$62:AU$91)+Sheet2!V$17</f>
        <v>22.87836721613634</v>
      </c>
      <c r="BT69" s="2">
        <f ca="1">AV69-AVERAGE(AV$62:AV$91)+Sheet2!W$17</f>
        <v>29.073021413938314</v>
      </c>
      <c r="BU69" s="2">
        <f ca="1">AW69-AVERAGE(AW$62:AW$91)+Sheet2!X$17</f>
        <v>22.230127914634327</v>
      </c>
      <c r="BV69" s="2">
        <f ca="1">AX69-AVERAGE(AX$62:AX$91)+Sheet2!Y$17</f>
        <v>18.87362450548649</v>
      </c>
      <c r="BW69" s="2">
        <f ca="1">AY69-AVERAGE(AY$62:AY$91)+Sheet2!Z$17</f>
        <v>9.5993145674090457</v>
      </c>
      <c r="BZ69" s="2">
        <f ca="1">BA69-AVERAGE(AH$62:AH$91)+Sheet2!AB$17</f>
        <v>3.4878083512401146</v>
      </c>
      <c r="CA69" s="2">
        <f ca="1">BB69-AVERAGE(AI$62:AI$91)+Sheet2!AC$17</f>
        <v>26.489613178274613</v>
      </c>
      <c r="CB69" s="2">
        <f ca="1">BC69-AVERAGE(AJ$62:AJ$91)+Sheet2!AD$17</f>
        <v>-4.7191474806011637</v>
      </c>
      <c r="CC69" s="2">
        <f ca="1">BD69-AVERAGE(AK$62:AK$91)+Sheet2!AE$17</f>
        <v>25.286591394635966</v>
      </c>
    </row>
    <row r="70" spans="2:81" x14ac:dyDescent="0.3">
      <c r="B70">
        <v>69</v>
      </c>
      <c r="C70" s="1">
        <v>3</v>
      </c>
      <c r="D70" s="2">
        <f t="shared" ca="1" si="6"/>
        <v>0.32098605817480541</v>
      </c>
      <c r="E70" s="2">
        <f t="shared" ca="1" si="6"/>
        <v>0.14887735145668979</v>
      </c>
      <c r="F70" s="2">
        <f t="shared" ca="1" si="6"/>
        <v>0.89128268753327322</v>
      </c>
      <c r="G70" s="2">
        <f t="shared" ca="1" si="6"/>
        <v>0.3226024096875223</v>
      </c>
      <c r="H70" s="2">
        <f t="shared" ca="1" si="6"/>
        <v>4.5503662068924311E-2</v>
      </c>
      <c r="I70" s="2">
        <f t="shared" ca="1" si="6"/>
        <v>0.75475786505597542</v>
      </c>
      <c r="J70" s="2">
        <f t="shared" ca="1" si="6"/>
        <v>0.85949797526848148</v>
      </c>
      <c r="K70" s="2">
        <f t="shared" ca="1" si="6"/>
        <v>0.43543258553632824</v>
      </c>
      <c r="L70" s="2">
        <f t="shared" ca="1" si="6"/>
        <v>0.65977964613123408</v>
      </c>
      <c r="M70" s="2">
        <f t="shared" ca="1" si="6"/>
        <v>0.78870139551890817</v>
      </c>
      <c r="N70" s="2">
        <f t="shared" ca="1" si="6"/>
        <v>0.82888707977483334</v>
      </c>
      <c r="O70" s="2">
        <f t="shared" ca="1" si="6"/>
        <v>0.56755081823710518</v>
      </c>
      <c r="P70" s="2">
        <f t="shared" ca="1" si="6"/>
        <v>0.21072423751291125</v>
      </c>
      <c r="Q70" s="2">
        <f t="shared" ca="1" si="7"/>
        <v>0.29643659807766676</v>
      </c>
      <c r="R70" s="2">
        <f t="shared" ca="1" si="7"/>
        <v>0.29448637137582923</v>
      </c>
      <c r="S70" s="2">
        <f t="shared" ca="1" si="7"/>
        <v>0.21029244592612528</v>
      </c>
      <c r="T70" s="2">
        <f t="shared" ca="1" si="7"/>
        <v>0.36923434880510586</v>
      </c>
      <c r="U70" s="2">
        <f t="shared" ca="1" si="7"/>
        <v>0.67092658591732957</v>
      </c>
      <c r="V70" s="2">
        <f t="shared" ca="1" si="7"/>
        <v>0.6243849360586351</v>
      </c>
      <c r="W70" s="2">
        <f t="shared" ca="1" si="7"/>
        <v>1.8532366475744522E-2</v>
      </c>
      <c r="X70" s="2">
        <f t="shared" ca="1" si="7"/>
        <v>0.48345514215700247</v>
      </c>
      <c r="Y70" s="2">
        <f t="shared" ca="1" si="7"/>
        <v>0.51602834326647018</v>
      </c>
      <c r="Z70" s="2">
        <f t="shared" ca="1" si="7"/>
        <v>0.73185555964367288</v>
      </c>
      <c r="AA70" s="2">
        <f t="shared" ca="1" si="7"/>
        <v>0.94454592394871706</v>
      </c>
      <c r="AB70" s="2">
        <f ca="1">D70*Sheet2!C$18/_xlfn.STDEV.S(D$62:D$91)</f>
        <v>1.0083140133025281</v>
      </c>
      <c r="AC70" s="2">
        <f ca="1">E70*Sheet2!D$18/_xlfn.STDEV.S(E$62:E$91)</f>
        <v>0.40261413466480461</v>
      </c>
      <c r="AD70" s="2">
        <f ca="1">F70*Sheet2!E$18/_xlfn.STDEV.S(F$62:F$91)</f>
        <v>3.6463823085578757</v>
      </c>
      <c r="AE70" s="2">
        <f ca="1">G70*Sheet2!F$18/_xlfn.STDEV.S(G$62:G$91)</f>
        <v>3.9541149786174716</v>
      </c>
      <c r="AF70" s="2">
        <f ca="1">H70*Sheet2!G$18/_xlfn.STDEV.S(H$62:H$91)</f>
        <v>0.94900230299343835</v>
      </c>
      <c r="AG70" s="2">
        <f ca="1">I70*Sheet2!H$18/_xlfn.STDEV.S(I$62:I$91)</f>
        <v>12.429231617749977</v>
      </c>
      <c r="AH70" s="2">
        <f ca="1">J70*Sheet2!I$18/_xlfn.STDEV.S(J$62:J$91)</f>
        <v>2.7055483514556129</v>
      </c>
      <c r="AI70" s="2">
        <f ca="1">K70*Sheet2!J$18/_xlfn.STDEV.S(K$62:K$91)</f>
        <v>2.697663041846369</v>
      </c>
      <c r="AJ70" s="2">
        <f ca="1">L70*Sheet2!K$18/_xlfn.STDEV.S(L$62:L$91)</f>
        <v>5.1506802515353609</v>
      </c>
      <c r="AK70" s="2">
        <f ca="1">M70*Sheet2!L$18/_xlfn.STDEV.S(M$62:M$91)</f>
        <v>6.713277983173656</v>
      </c>
      <c r="AL70" s="2">
        <f ca="1">N70*Sheet2!M$18/_xlfn.STDEV.S(N$62:N$91)</f>
        <v>4.4030396284915767</v>
      </c>
      <c r="AM70" s="2">
        <f ca="1">O70*Sheet2!N$18/_xlfn.STDEV.S(O$62:O$91)</f>
        <v>5.8073178463997186</v>
      </c>
      <c r="AN70" s="2">
        <f ca="1">P70*Sheet2!O$18/_xlfn.STDEV.S(P$62:P$91)</f>
        <v>0.92848178178203178</v>
      </c>
      <c r="AO70" s="2">
        <f ca="1">Q70*Sheet2!P$18/_xlfn.STDEV.S(Q$62:Q$91)</f>
        <v>2.555115604629469</v>
      </c>
      <c r="AP70" s="2">
        <f ca="1">R70*Sheet2!Q$18/_xlfn.STDEV.S(R$62:R$91)</f>
        <v>1.9714753690251399</v>
      </c>
      <c r="AQ70" s="2">
        <f ca="1">S70*Sheet2!R$18/_xlfn.STDEV.S(S$62:S$91)</f>
        <v>0.65718811207479111</v>
      </c>
      <c r="AR70" s="2">
        <f ca="1">T70*Sheet2!S$18/_xlfn.STDEV.S(T$62:T$91)</f>
        <v>0.79022449565344766</v>
      </c>
      <c r="AS70" s="2">
        <f ca="1">U70*Sheet2!T$18/_xlfn.STDEV.S(U$62:U$91)</f>
        <v>3.8016410813446799</v>
      </c>
      <c r="AT70" s="2">
        <f ca="1">V70*Sheet2!U$18/_xlfn.STDEV.S(V$62:V$91)</f>
        <v>2.6051718664604508</v>
      </c>
      <c r="AU70" s="2">
        <f ca="1">W70*Sheet2!V$18/_xlfn.STDEV.S(W$62:W$91)</f>
        <v>6.6986492044346424E-2</v>
      </c>
      <c r="AV70" s="2">
        <f ca="1">X70*Sheet2!W$18/_xlfn.STDEV.S(X$62:X$91)</f>
        <v>2.6945474208926998</v>
      </c>
      <c r="AW70" s="2">
        <f ca="1">Y70*Sheet2!X$18/_xlfn.STDEV.S(Y$62:Y$91)</f>
        <v>3.9393614022931764</v>
      </c>
      <c r="AX70" s="2">
        <f ca="1">Z70*Sheet2!Y$18/_xlfn.STDEV.S(Z$62:Z$91)</f>
        <v>4.2424942610755103</v>
      </c>
      <c r="AY70" s="2">
        <f ca="1">AA70*Sheet2!Z$18/_xlfn.STDEV.S(AA$62:AA$91)</f>
        <v>3.5096892259435095</v>
      </c>
      <c r="AZ70" s="2">
        <f ca="1">AB70-AVERAGE(AB$62:AB$91)+Sheet2!C$17</f>
        <v>5.0553115201721734</v>
      </c>
      <c r="BA70" s="2">
        <f ca="1">AC70-AVERAGE(AC$62:AC$91)+Sheet2!D$17</f>
        <v>4.2510932565019441</v>
      </c>
      <c r="BB70" s="2">
        <f ca="1">AD70-AVERAGE(AD$62:AD$91)+Sheet2!E$17</f>
        <v>28.868029532250755</v>
      </c>
      <c r="BC70" s="2">
        <f ca="1">AE70-AVERAGE(AE$62:AE$91)+Sheet2!F$17</f>
        <v>1.313399848198928</v>
      </c>
      <c r="BD70" s="2">
        <f ca="1">AF70-AVERAGE(AF$62:AF$91)+Sheet2!G$17</f>
        <v>23.753563937821461</v>
      </c>
      <c r="BE70" s="2">
        <f ca="1">AG70-AVERAGE(AG$62:AG$91)+Sheet2!H$17</f>
        <v>25.645321889846301</v>
      </c>
      <c r="BF70" s="2">
        <f ca="1">AH70-AVERAGE(AH$62:AH$91)+Sheet2!I$17</f>
        <v>11.260634207678608</v>
      </c>
      <c r="BG70" s="2">
        <f ca="1">AI70-AVERAGE(AI$62:AI$91)+Sheet2!J$17</f>
        <v>25.339750526242078</v>
      </c>
      <c r="BH70" s="2">
        <f ca="1">AJ70-AVERAGE(AJ$62:AJ$91)+Sheet2!K$17</f>
        <v>22.423042351627846</v>
      </c>
      <c r="BI70" s="2">
        <f ca="1">AK70-AVERAGE(AK$62:AK$91)+Sheet2!L$17</f>
        <v>27.196606310319346</v>
      </c>
      <c r="BJ70" s="2">
        <f ca="1">AL70-AVERAGE(AL$62:AL$91)+Sheet2!M$17</f>
        <v>19.669176494239181</v>
      </c>
      <c r="BK70" s="2">
        <f ca="1">AM70-AVERAGE(AM$62:AM$91)+Sheet2!N$17</f>
        <v>17.955088166822605</v>
      </c>
      <c r="BL70" s="2">
        <f ca="1">AN70-AVERAGE(AN$62:AN$91)+Sheet2!O$17</f>
        <v>3.0752900809618566</v>
      </c>
      <c r="BM70" s="2">
        <f ca="1">AO70-AVERAGE(AO$62:AO$91)+Sheet2!P$17</f>
        <v>16.016797075822112</v>
      </c>
      <c r="BN70" s="2">
        <f ca="1">AP70-AVERAGE(AP$62:AP$91)+Sheet2!Q$17</f>
        <v>9.8569118399243152</v>
      </c>
      <c r="BO70" s="2">
        <f ca="1">AQ70-AVERAGE(AQ$62:AQ$91)+Sheet2!R$17</f>
        <v>9.954817313261211</v>
      </c>
      <c r="BP70" s="2">
        <f ca="1">AR70-AVERAGE(AR$62:AR$91)+Sheet2!S$17</f>
        <v>4.1244394108930438</v>
      </c>
      <c r="BQ70" s="2">
        <f ca="1">AS70-AVERAGE(AS$62:AS$91)+Sheet2!T$17</f>
        <v>14.644331286961595</v>
      </c>
      <c r="BR70" s="2">
        <f ca="1">AT70-AVERAGE(AT$62:AT$91)+Sheet2!U$17</f>
        <v>22.075711255667958</v>
      </c>
      <c r="BS70" s="2">
        <f ca="1">AU70-AVERAGE(AU$62:AU$91)+Sheet2!V$17</f>
        <v>19.353619785448711</v>
      </c>
      <c r="BT70" s="2">
        <f ca="1">AV70-AVERAGE(AV$62:AV$91)+Sheet2!W$17</f>
        <v>28.300540850538102</v>
      </c>
      <c r="BU70" s="2">
        <f ca="1">AW70-AVERAGE(AW$62:AW$91)+Sheet2!X$17</f>
        <v>21.439415544332238</v>
      </c>
      <c r="BV70" s="2">
        <f ca="1">AX70-AVERAGE(AX$62:AX$91)+Sheet2!Y$17</f>
        <v>20.499779195474346</v>
      </c>
      <c r="BW70" s="2">
        <f ca="1">AY70-AVERAGE(AY$62:AY$91)+Sheet2!Z$17</f>
        <v>11.288906514945991</v>
      </c>
      <c r="BZ70" s="2">
        <f ca="1">BA70-AVERAGE(AH$62:AH$91)+Sheet2!AB$17</f>
        <v>2.668735584226221</v>
      </c>
      <c r="CA70" s="2">
        <f ca="1">BB70-AVERAGE(AI$62:AI$91)+Sheet2!AC$17</f>
        <v>26.266088596410768</v>
      </c>
      <c r="CB70" s="2">
        <f ca="1">BC70-AVERAGE(AJ$62:AJ$91)+Sheet2!AD$17</f>
        <v>-2.3157229596322964</v>
      </c>
      <c r="CC70" s="2">
        <f ca="1">BD70-AVERAGE(AK$62:AK$91)+Sheet2!AE$17</f>
        <v>18.975304133432846</v>
      </c>
    </row>
    <row r="71" spans="2:81" x14ac:dyDescent="0.3">
      <c r="B71">
        <v>70</v>
      </c>
      <c r="C71" s="1">
        <v>3</v>
      </c>
      <c r="D71" s="2">
        <f t="shared" ref="D71:S88" ca="1" si="8">RAND()</f>
        <v>0.89042527776410829</v>
      </c>
      <c r="E71" s="2">
        <f t="shared" ca="1" si="8"/>
        <v>0.32450291862936786</v>
      </c>
      <c r="F71" s="2">
        <f t="shared" ca="1" si="8"/>
        <v>0.14384885495919431</v>
      </c>
      <c r="G71" s="2">
        <f t="shared" ca="1" si="8"/>
        <v>0.39917309617615948</v>
      </c>
      <c r="H71" s="2">
        <f t="shared" ca="1" si="8"/>
        <v>0.70244816405208033</v>
      </c>
      <c r="I71" s="2">
        <f t="shared" ca="1" si="8"/>
        <v>0.12290430127521612</v>
      </c>
      <c r="J71" s="2">
        <f t="shared" ca="1" si="8"/>
        <v>0.18906738890209829</v>
      </c>
      <c r="K71" s="2">
        <f t="shared" ca="1" si="8"/>
        <v>0.25189829720416701</v>
      </c>
      <c r="L71" s="2">
        <f t="shared" ca="1" si="8"/>
        <v>0.99524823187966582</v>
      </c>
      <c r="M71" s="2">
        <f t="shared" ca="1" si="8"/>
        <v>0.80545588586834327</v>
      </c>
      <c r="N71" s="2">
        <f t="shared" ca="1" si="8"/>
        <v>0.31822015065444509</v>
      </c>
      <c r="O71" s="2">
        <f t="shared" ca="1" si="8"/>
        <v>0.58212397781076686</v>
      </c>
      <c r="P71" s="2">
        <f t="shared" ca="1" si="8"/>
        <v>0.56755060115952805</v>
      </c>
      <c r="Q71" s="2">
        <f t="shared" ca="1" si="7"/>
        <v>5.2282701498966855E-3</v>
      </c>
      <c r="R71" s="2">
        <f t="shared" ca="1" si="7"/>
        <v>0.49565633257820563</v>
      </c>
      <c r="S71" s="2">
        <f t="shared" ca="1" si="7"/>
        <v>0.53656073573689056</v>
      </c>
      <c r="T71" s="2">
        <f t="shared" ca="1" si="7"/>
        <v>0.11072315033222069</v>
      </c>
      <c r="U71" s="2">
        <f t="shared" ca="1" si="7"/>
        <v>0.17135106691421564</v>
      </c>
      <c r="V71" s="2">
        <f t="shared" ca="1" si="7"/>
        <v>1.33731677679646E-2</v>
      </c>
      <c r="W71" s="2">
        <f t="shared" ca="1" si="7"/>
        <v>0.60975733474232297</v>
      </c>
      <c r="X71" s="2">
        <f t="shared" ca="1" si="7"/>
        <v>0.43774631039772582</v>
      </c>
      <c r="Y71" s="2">
        <f t="shared" ca="1" si="7"/>
        <v>6.2171040850601544E-2</v>
      </c>
      <c r="Z71" s="2">
        <f t="shared" ca="1" si="7"/>
        <v>0.89155929107246801</v>
      </c>
      <c r="AA71" s="2">
        <f t="shared" ca="1" si="7"/>
        <v>0.29510050167082691</v>
      </c>
      <c r="AB71" s="2">
        <f ca="1">D71*Sheet2!C$18/_xlfn.STDEV.S(D$62:D$91)</f>
        <v>2.7970943363508924</v>
      </c>
      <c r="AC71" s="2">
        <f ca="1">E71*Sheet2!D$18/_xlfn.STDEV.S(E$62:E$91)</f>
        <v>0.8775643877448609</v>
      </c>
      <c r="AD71" s="2">
        <f ca="1">F71*Sheet2!E$18/_xlfn.STDEV.S(F$62:F$91)</f>
        <v>0.58850904114518932</v>
      </c>
      <c r="AE71" s="2">
        <f ca="1">G71*Sheet2!F$18/_xlfn.STDEV.S(G$62:G$91)</f>
        <v>4.892636481482282</v>
      </c>
      <c r="AF71" s="2">
        <f ca="1">H71*Sheet2!G$18/_xlfn.STDEV.S(H$62:H$91)</f>
        <v>14.649918162832725</v>
      </c>
      <c r="AG71" s="2">
        <f ca="1">I71*Sheet2!H$18/_xlfn.STDEV.S(I$62:I$91)</f>
        <v>2.0239683454694339</v>
      </c>
      <c r="AH71" s="2">
        <f ca="1">J71*Sheet2!I$18/_xlfn.STDEV.S(J$62:J$91)</f>
        <v>0.59515086373333492</v>
      </c>
      <c r="AI71" s="2">
        <f ca="1">K71*Sheet2!J$18/_xlfn.STDEV.S(K$62:K$91)</f>
        <v>1.5606014552969647</v>
      </c>
      <c r="AJ71" s="2">
        <f ca="1">L71*Sheet2!K$18/_xlfn.STDEV.S(L$62:L$91)</f>
        <v>7.7695719220450874</v>
      </c>
      <c r="AK71" s="2">
        <f ca="1">M71*Sheet2!L$18/_xlfn.STDEV.S(M$62:M$91)</f>
        <v>6.8558890547670517</v>
      </c>
      <c r="AL71" s="2">
        <f ca="1">N71*Sheet2!M$18/_xlfn.STDEV.S(N$62:N$91)</f>
        <v>1.6903821619426127</v>
      </c>
      <c r="AM71" s="2">
        <f ca="1">O71*Sheet2!N$18/_xlfn.STDEV.S(O$62:O$91)</f>
        <v>5.9564339553913896</v>
      </c>
      <c r="AN71" s="2">
        <f ca="1">P71*Sheet2!O$18/_xlfn.STDEV.S(P$62:P$91)</f>
        <v>2.500710879942202</v>
      </c>
      <c r="AO71" s="2">
        <f ca="1">Q71*Sheet2!P$18/_xlfn.STDEV.S(Q$62:Q$91)</f>
        <v>4.506472794469002E-2</v>
      </c>
      <c r="AP71" s="2">
        <f ca="1">R71*Sheet2!Q$18/_xlfn.STDEV.S(R$62:R$91)</f>
        <v>3.3182325097556951</v>
      </c>
      <c r="AQ71" s="2">
        <f ca="1">S71*Sheet2!R$18/_xlfn.STDEV.S(S$62:S$91)</f>
        <v>1.6768140927718447</v>
      </c>
      <c r="AR71" s="2">
        <f ca="1">T71*Sheet2!S$18/_xlfn.STDEV.S(T$62:T$91)</f>
        <v>0.23696643042986049</v>
      </c>
      <c r="AS71" s="2">
        <f ca="1">U71*Sheet2!T$18/_xlfn.STDEV.S(U$62:U$91)</f>
        <v>0.97091882925263862</v>
      </c>
      <c r="AT71" s="2">
        <f ca="1">V71*Sheet2!U$18/_xlfn.STDEV.S(V$62:V$91)</f>
        <v>5.5797951588129537E-2</v>
      </c>
      <c r="AU71" s="2">
        <f ca="1">W71*Sheet2!V$18/_xlfn.STDEV.S(W$62:W$91)</f>
        <v>2.2040091267436241</v>
      </c>
      <c r="AV71" s="2">
        <f ca="1">X71*Sheet2!W$18/_xlfn.STDEV.S(X$62:X$91)</f>
        <v>2.4397882840274647</v>
      </c>
      <c r="AW71" s="2">
        <f ca="1">Y71*Sheet2!X$18/_xlfn.STDEV.S(Y$62:Y$91)</f>
        <v>0.47461384992332029</v>
      </c>
      <c r="AX71" s="2">
        <f ca="1">Z71*Sheet2!Y$18/_xlfn.STDEV.S(Z$62:Z$91)</f>
        <v>5.1682809892502481</v>
      </c>
      <c r="AY71" s="2">
        <f ca="1">AA71*Sheet2!Z$18/_xlfn.STDEV.S(AA$62:AA$91)</f>
        <v>1.0965174111966824</v>
      </c>
      <c r="AZ71" s="2">
        <f ca="1">AB71-AVERAGE(AB$62:AB$91)+Sheet2!C$17</f>
        <v>6.8440918432205384</v>
      </c>
      <c r="BA71" s="2">
        <f ca="1">AC71-AVERAGE(AC$62:AC$91)+Sheet2!D$17</f>
        <v>4.7260435095820004</v>
      </c>
      <c r="BB71" s="2">
        <f ca="1">AD71-AVERAGE(AD$62:AD$91)+Sheet2!E$17</f>
        <v>25.810156264838067</v>
      </c>
      <c r="BC71" s="2">
        <f ca="1">AE71-AVERAGE(AE$62:AE$91)+Sheet2!F$17</f>
        <v>2.2519213510637384</v>
      </c>
      <c r="BD71" s="2">
        <f ca="1">AF71-AVERAGE(AF$62:AF$91)+Sheet2!G$17</f>
        <v>37.454479797660753</v>
      </c>
      <c r="BE71" s="2">
        <f ca="1">AG71-AVERAGE(AG$62:AG$91)+Sheet2!H$17</f>
        <v>15.24005861756576</v>
      </c>
      <c r="BF71" s="2">
        <f ca="1">AH71-AVERAGE(AH$62:AH$91)+Sheet2!I$17</f>
        <v>9.1502367199563288</v>
      </c>
      <c r="BG71" s="2">
        <f ca="1">AI71-AVERAGE(AI$62:AI$91)+Sheet2!J$17</f>
        <v>24.202688939692674</v>
      </c>
      <c r="BH71" s="2">
        <f ca="1">AJ71-AVERAGE(AJ$62:AJ$91)+Sheet2!K$17</f>
        <v>25.041934022137571</v>
      </c>
      <c r="BI71" s="2">
        <f ca="1">AK71-AVERAGE(AK$62:AK$91)+Sheet2!L$17</f>
        <v>27.339217381912743</v>
      </c>
      <c r="BJ71" s="2">
        <f ca="1">AL71-AVERAGE(AL$62:AL$91)+Sheet2!M$17</f>
        <v>16.95651902769022</v>
      </c>
      <c r="BK71" s="2">
        <f ca="1">AM71-AVERAGE(AM$62:AM$91)+Sheet2!N$17</f>
        <v>18.104204275814276</v>
      </c>
      <c r="BL71" s="2">
        <f ca="1">AN71-AVERAGE(AN$62:AN$91)+Sheet2!O$17</f>
        <v>4.6475191791220265</v>
      </c>
      <c r="BM71" s="2">
        <f ca="1">AO71-AVERAGE(AO$62:AO$91)+Sheet2!P$17</f>
        <v>13.506746199137332</v>
      </c>
      <c r="BN71" s="2">
        <f ca="1">AP71-AVERAGE(AP$62:AP$91)+Sheet2!Q$17</f>
        <v>11.203668980654871</v>
      </c>
      <c r="BO71" s="2">
        <f ca="1">AQ71-AVERAGE(AQ$62:AQ$91)+Sheet2!R$17</f>
        <v>10.974443293958265</v>
      </c>
      <c r="BP71" s="2">
        <f ca="1">AR71-AVERAGE(AR$62:AR$91)+Sheet2!S$17</f>
        <v>3.5711813456694563</v>
      </c>
      <c r="BQ71" s="2">
        <f ca="1">AS71-AVERAGE(AS$62:AS$91)+Sheet2!T$17</f>
        <v>11.813609034869554</v>
      </c>
      <c r="BR71" s="2">
        <f ca="1">AT71-AVERAGE(AT$62:AT$91)+Sheet2!U$17</f>
        <v>19.526337340795635</v>
      </c>
      <c r="BS71" s="2">
        <f ca="1">AU71-AVERAGE(AU$62:AU$91)+Sheet2!V$17</f>
        <v>21.490642420147989</v>
      </c>
      <c r="BT71" s="2">
        <f ca="1">AV71-AVERAGE(AV$62:AV$91)+Sheet2!W$17</f>
        <v>28.045781713672866</v>
      </c>
      <c r="BU71" s="2">
        <f ca="1">AW71-AVERAGE(AW$62:AW$91)+Sheet2!X$17</f>
        <v>17.974667991962381</v>
      </c>
      <c r="BV71" s="2">
        <f ca="1">AX71-AVERAGE(AX$62:AX$91)+Sheet2!Y$17</f>
        <v>21.425565923649085</v>
      </c>
      <c r="BW71" s="2">
        <f ca="1">AY71-AVERAGE(AY$62:AY$91)+Sheet2!Z$17</f>
        <v>8.875734700199164</v>
      </c>
      <c r="BZ71" s="2">
        <f ca="1">BA71-AVERAGE(AH$62:AH$91)+Sheet2!AB$17</f>
        <v>3.1436858373062773</v>
      </c>
      <c r="CA71" s="2">
        <f ca="1">BB71-AVERAGE(AI$62:AI$91)+Sheet2!AC$17</f>
        <v>23.208215328998079</v>
      </c>
      <c r="CB71" s="2">
        <f ca="1">BC71-AVERAGE(AJ$62:AJ$91)+Sheet2!AD$17</f>
        <v>-1.377201456767486</v>
      </c>
      <c r="CC71" s="2">
        <f ca="1">BD71-AVERAGE(AK$62:AK$91)+Sheet2!AE$17</f>
        <v>32.676219993272142</v>
      </c>
    </row>
    <row r="72" spans="2:81" x14ac:dyDescent="0.3">
      <c r="B72">
        <v>71</v>
      </c>
      <c r="C72" s="1">
        <v>3</v>
      </c>
      <c r="D72" s="2">
        <f t="shared" ca="1" si="8"/>
        <v>0.67888138999105241</v>
      </c>
      <c r="E72" s="2">
        <f t="shared" ca="1" si="8"/>
        <v>5.7622197609784376E-2</v>
      </c>
      <c r="F72" s="2">
        <f t="shared" ca="1" si="8"/>
        <v>0.21933520482352398</v>
      </c>
      <c r="G72" s="2">
        <f t="shared" ca="1" si="8"/>
        <v>0.25590321704206864</v>
      </c>
      <c r="H72" s="2">
        <f t="shared" ca="1" si="8"/>
        <v>0.19191542961274954</v>
      </c>
      <c r="I72" s="2">
        <f t="shared" ca="1" si="8"/>
        <v>2.4464394259260391E-3</v>
      </c>
      <c r="J72" s="2">
        <f t="shared" ca="1" si="8"/>
        <v>0.43279274944398294</v>
      </c>
      <c r="K72" s="2">
        <f t="shared" ca="1" si="8"/>
        <v>0.77507361913348927</v>
      </c>
      <c r="L72" s="2">
        <f t="shared" ca="1" si="8"/>
        <v>0.6390684911611354</v>
      </c>
      <c r="M72" s="2">
        <f t="shared" ca="1" si="8"/>
        <v>0.94785678317592625</v>
      </c>
      <c r="N72" s="2">
        <f t="shared" ca="1" si="8"/>
        <v>9.5487095933945998E-3</v>
      </c>
      <c r="O72" s="2">
        <f t="shared" ca="1" si="8"/>
        <v>0.93720007509676484</v>
      </c>
      <c r="P72" s="2">
        <f t="shared" ca="1" si="8"/>
        <v>0.6826798827798789</v>
      </c>
      <c r="Q72" s="2">
        <f t="shared" ca="1" si="8"/>
        <v>5.927456022337696E-2</v>
      </c>
      <c r="R72" s="2">
        <f t="shared" ca="1" si="8"/>
        <v>0.41685031775019732</v>
      </c>
      <c r="S72" s="2">
        <f t="shared" ca="1" si="8"/>
        <v>0.62678067597868414</v>
      </c>
      <c r="T72" s="2">
        <f t="shared" ca="1" si="7"/>
        <v>0.62055592477550947</v>
      </c>
      <c r="U72" s="2">
        <f t="shared" ca="1" si="7"/>
        <v>0.57961472222528443</v>
      </c>
      <c r="V72" s="2">
        <f t="shared" ca="1" si="7"/>
        <v>0.22046876977343688</v>
      </c>
      <c r="W72" s="2">
        <f t="shared" ca="1" si="7"/>
        <v>0.1664653775426872</v>
      </c>
      <c r="X72" s="2">
        <f t="shared" ca="1" si="7"/>
        <v>0.90778416427740372</v>
      </c>
      <c r="Y72" s="2">
        <f t="shared" ca="1" si="7"/>
        <v>0.52327958850795164</v>
      </c>
      <c r="Z72" s="2">
        <f t="shared" ca="1" si="7"/>
        <v>0.20493443309852111</v>
      </c>
      <c r="AA72" s="2">
        <f t="shared" ca="1" si="7"/>
        <v>0.90414641090067738</v>
      </c>
      <c r="AB72" s="2">
        <f ca="1">D72*Sheet2!C$18/_xlfn.STDEV.S(D$62:D$91)</f>
        <v>2.1325711863955532</v>
      </c>
      <c r="AC72" s="2">
        <f ca="1">E72*Sheet2!D$18/_xlfn.STDEV.S(E$62:E$91)</f>
        <v>0.15582968800258867</v>
      </c>
      <c r="AD72" s="2">
        <f ca="1">F72*Sheet2!E$18/_xlfn.STDEV.S(F$62:F$91)</f>
        <v>0.89733596500780077</v>
      </c>
      <c r="AE72" s="2">
        <f ca="1">G72*Sheet2!F$18/_xlfn.STDEV.S(G$62:G$91)</f>
        <v>3.1365876794366017</v>
      </c>
      <c r="AF72" s="2">
        <f ca="1">H72*Sheet2!G$18/_xlfn.STDEV.S(H$62:H$91)</f>
        <v>4.0024951048248649</v>
      </c>
      <c r="AG72" s="2">
        <f ca="1">I72*Sheet2!H$18/_xlfn.STDEV.S(I$62:I$91)</f>
        <v>4.0287572573191953E-2</v>
      </c>
      <c r="AH72" s="2">
        <f ca="1">J72*Sheet2!I$18/_xlfn.STDEV.S(J$62:J$91)</f>
        <v>1.3623554021920099</v>
      </c>
      <c r="AI72" s="2">
        <f ca="1">K72*Sheet2!J$18/_xlfn.STDEV.S(K$62:K$91)</f>
        <v>4.8018626223647187</v>
      </c>
      <c r="AJ72" s="2">
        <f ca="1">L72*Sheet2!K$18/_xlfn.STDEV.S(L$62:L$91)</f>
        <v>4.9889951533112828</v>
      </c>
      <c r="AK72" s="2">
        <f ca="1">M72*Sheet2!L$18/_xlfn.STDEV.S(M$62:M$91)</f>
        <v>8.0679787177379243</v>
      </c>
      <c r="AL72" s="2">
        <f ca="1">N72*Sheet2!M$18/_xlfn.STDEV.S(N$62:N$91)</f>
        <v>5.072264698841146E-2</v>
      </c>
      <c r="AM72" s="2">
        <f ca="1">O72*Sheet2!N$18/_xlfn.STDEV.S(O$62:O$91)</f>
        <v>9.5896588408808192</v>
      </c>
      <c r="AN72" s="2">
        <f ca="1">P72*Sheet2!O$18/_xlfn.STDEV.S(P$62:P$91)</f>
        <v>3.0079873176021037</v>
      </c>
      <c r="AO72" s="2">
        <f ca="1">Q72*Sheet2!P$18/_xlfn.STDEV.S(Q$62:Q$91)</f>
        <v>0.51091314219109585</v>
      </c>
      <c r="AP72" s="2">
        <f ca="1">R72*Sheet2!Q$18/_xlfn.STDEV.S(R$62:R$91)</f>
        <v>2.7906559144837542</v>
      </c>
      <c r="AQ72" s="2">
        <f ca="1">S72*Sheet2!R$18/_xlfn.STDEV.S(S$62:S$91)</f>
        <v>1.9587617963038753</v>
      </c>
      <c r="AR72" s="2">
        <f ca="1">T72*Sheet2!S$18/_xlfn.STDEV.S(T$62:T$91)</f>
        <v>1.328095542214367</v>
      </c>
      <c r="AS72" s="2">
        <f ca="1">U72*Sheet2!T$18/_xlfn.STDEV.S(U$62:U$91)</f>
        <v>3.2842447826852652</v>
      </c>
      <c r="AT72" s="2">
        <f ca="1">V72*Sheet2!U$18/_xlfn.STDEV.S(V$62:V$91)</f>
        <v>0.91987971406306779</v>
      </c>
      <c r="AU72" s="2">
        <f ca="1">W72*Sheet2!V$18/_xlfn.STDEV.S(W$62:W$91)</f>
        <v>0.60170036584463571</v>
      </c>
      <c r="AV72" s="2">
        <f ca="1">X72*Sheet2!W$18/_xlfn.STDEV.S(X$62:X$91)</f>
        <v>5.0595541660130907</v>
      </c>
      <c r="AW72" s="2">
        <f ca="1">Y72*Sheet2!X$18/_xlfn.STDEV.S(Y$62:Y$91)</f>
        <v>3.9947174229373825</v>
      </c>
      <c r="AX72" s="2">
        <f ca="1">Z72*Sheet2!Y$18/_xlfn.STDEV.S(Z$62:Z$91)</f>
        <v>1.1879846301100043</v>
      </c>
      <c r="AY72" s="2">
        <f ca="1">AA72*Sheet2!Z$18/_xlfn.STDEV.S(AA$62:AA$91)</f>
        <v>3.3595750471799075</v>
      </c>
      <c r="AZ72" s="2">
        <f ca="1">AB72-AVERAGE(AB$62:AB$91)+Sheet2!C$17</f>
        <v>6.1795686932651988</v>
      </c>
      <c r="BA72" s="2">
        <f ca="1">AC72-AVERAGE(AC$62:AC$91)+Sheet2!D$17</f>
        <v>4.0043088098397277</v>
      </c>
      <c r="BB72" s="2">
        <f ca="1">AD72-AVERAGE(AD$62:AD$91)+Sheet2!E$17</f>
        <v>26.118983188700682</v>
      </c>
      <c r="BC72" s="2">
        <f ca="1">AE72-AVERAGE(AE$62:AE$91)+Sheet2!F$17</f>
        <v>0.495872549018058</v>
      </c>
      <c r="BD72" s="2">
        <f ca="1">AF72-AVERAGE(AF$62:AF$91)+Sheet2!G$17</f>
        <v>26.807056739652889</v>
      </c>
      <c r="BE72" s="2">
        <f ca="1">AG72-AVERAGE(AG$62:AG$91)+Sheet2!H$17</f>
        <v>13.256377844669517</v>
      </c>
      <c r="BF72" s="2">
        <f ca="1">AH72-AVERAGE(AH$62:AH$91)+Sheet2!I$17</f>
        <v>9.9174412584150051</v>
      </c>
      <c r="BG72" s="2">
        <f ca="1">AI72-AVERAGE(AI$62:AI$91)+Sheet2!J$17</f>
        <v>27.443950106760425</v>
      </c>
      <c r="BH72" s="2">
        <f ca="1">AJ72-AVERAGE(AJ$62:AJ$91)+Sheet2!K$17</f>
        <v>22.261357253403769</v>
      </c>
      <c r="BI72" s="2">
        <f ca="1">AK72-AVERAGE(AK$62:AK$91)+Sheet2!L$17</f>
        <v>28.551307044883615</v>
      </c>
      <c r="BJ72" s="2">
        <f ca="1">AL72-AVERAGE(AL$62:AL$91)+Sheet2!M$17</f>
        <v>15.316859512736016</v>
      </c>
      <c r="BK72" s="2">
        <f ca="1">AM72-AVERAGE(AM$62:AM$91)+Sheet2!N$17</f>
        <v>21.737429161303705</v>
      </c>
      <c r="BL72" s="2">
        <f ca="1">AN72-AVERAGE(AN$62:AN$91)+Sheet2!O$17</f>
        <v>5.1547956167819287</v>
      </c>
      <c r="BM72" s="2">
        <f ca="1">AO72-AVERAGE(AO$62:AO$91)+Sheet2!P$17</f>
        <v>13.972594613383738</v>
      </c>
      <c r="BN72" s="2">
        <f ca="1">AP72-AVERAGE(AP$62:AP$91)+Sheet2!Q$17</f>
        <v>10.67609238538293</v>
      </c>
      <c r="BO72" s="2">
        <f ca="1">AQ72-AVERAGE(AQ$62:AQ$91)+Sheet2!R$17</f>
        <v>11.256390997490296</v>
      </c>
      <c r="BP72" s="2">
        <f ca="1">AR72-AVERAGE(AR$62:AR$91)+Sheet2!S$17</f>
        <v>4.6623104574539624</v>
      </c>
      <c r="BQ72" s="2">
        <f ca="1">AS72-AVERAGE(AS$62:AS$91)+Sheet2!T$17</f>
        <v>14.126934988302182</v>
      </c>
      <c r="BR72" s="2">
        <f ca="1">AT72-AVERAGE(AT$62:AT$91)+Sheet2!U$17</f>
        <v>20.390419103270574</v>
      </c>
      <c r="BS72" s="2">
        <f ca="1">AU72-AVERAGE(AU$62:AU$91)+Sheet2!V$17</f>
        <v>19.888333659249</v>
      </c>
      <c r="BT72" s="2">
        <f ca="1">AV72-AVERAGE(AV$62:AV$91)+Sheet2!W$17</f>
        <v>30.665547595658495</v>
      </c>
      <c r="BU72" s="2">
        <f ca="1">AW72-AVERAGE(AW$62:AW$91)+Sheet2!X$17</f>
        <v>21.494771564976443</v>
      </c>
      <c r="BV72" s="2">
        <f ca="1">AX72-AVERAGE(AX$62:AX$91)+Sheet2!Y$17</f>
        <v>17.445269564508841</v>
      </c>
      <c r="BW72" s="2">
        <f ca="1">AY72-AVERAGE(AY$62:AY$91)+Sheet2!Z$17</f>
        <v>11.138792336182389</v>
      </c>
      <c r="BZ72" s="2">
        <f ca="1">BA72-AVERAGE(AH$62:AH$91)+Sheet2!AB$17</f>
        <v>2.4219511375640046</v>
      </c>
      <c r="CA72" s="2">
        <f ca="1">BB72-AVERAGE(AI$62:AI$91)+Sheet2!AC$17</f>
        <v>23.517042252860694</v>
      </c>
      <c r="CB72" s="2">
        <f ca="1">BC72-AVERAGE(AJ$62:AJ$91)+Sheet2!AD$17</f>
        <v>-3.1332502588131663</v>
      </c>
      <c r="CC72" s="2">
        <f ca="1">BD72-AVERAGE(AK$62:AK$91)+Sheet2!AE$17</f>
        <v>22.028796935264278</v>
      </c>
    </row>
    <row r="73" spans="2:81" x14ac:dyDescent="0.3">
      <c r="B73">
        <v>72</v>
      </c>
      <c r="C73" s="1">
        <v>3</v>
      </c>
      <c r="D73" s="2">
        <f t="shared" ca="1" si="8"/>
        <v>0.49873322731339542</v>
      </c>
      <c r="E73" s="2">
        <f t="shared" ca="1" si="8"/>
        <v>0.82116889277011296</v>
      </c>
      <c r="F73" s="2">
        <f t="shared" ca="1" si="8"/>
        <v>0.54214370227308439</v>
      </c>
      <c r="G73" s="2">
        <f t="shared" ca="1" si="8"/>
        <v>0.39461302389311503</v>
      </c>
      <c r="H73" s="2">
        <f t="shared" ca="1" si="8"/>
        <v>0.25655355463418383</v>
      </c>
      <c r="I73" s="2">
        <f t="shared" ca="1" si="8"/>
        <v>6.5475437014641868E-2</v>
      </c>
      <c r="J73" s="2">
        <f t="shared" ca="1" si="8"/>
        <v>0.37250458886511806</v>
      </c>
      <c r="K73" s="2">
        <f t="shared" ca="1" si="8"/>
        <v>0.6655571588182867</v>
      </c>
      <c r="L73" s="2">
        <f t="shared" ca="1" si="8"/>
        <v>0.60942343300905599</v>
      </c>
      <c r="M73" s="2">
        <f t="shared" ca="1" si="8"/>
        <v>0.91636217644822648</v>
      </c>
      <c r="N73" s="2">
        <f t="shared" ca="1" si="8"/>
        <v>0.59866712227514407</v>
      </c>
      <c r="O73" s="2">
        <f t="shared" ca="1" si="8"/>
        <v>0.9164969114882463</v>
      </c>
      <c r="P73" s="2">
        <f t="shared" ca="1" si="8"/>
        <v>0.22725455426643804</v>
      </c>
      <c r="Q73" s="2">
        <f t="shared" ca="1" si="8"/>
        <v>0.83885143463844569</v>
      </c>
      <c r="R73" s="2">
        <f t="shared" ca="1" si="8"/>
        <v>0.5414221446787213</v>
      </c>
      <c r="S73" s="2">
        <f t="shared" ca="1" si="8"/>
        <v>0.59532105176163175</v>
      </c>
      <c r="T73" s="2">
        <f t="shared" ca="1" si="7"/>
        <v>1.6151348598088977E-2</v>
      </c>
      <c r="U73" s="2">
        <f t="shared" ca="1" si="7"/>
        <v>0.81611364791411833</v>
      </c>
      <c r="V73" s="2">
        <f t="shared" ca="1" si="7"/>
        <v>0.60511470146163404</v>
      </c>
      <c r="W73" s="2">
        <f t="shared" ca="1" si="7"/>
        <v>0.40438908471545465</v>
      </c>
      <c r="X73" s="2">
        <f t="shared" ca="1" si="7"/>
        <v>0.34089705824457861</v>
      </c>
      <c r="Y73" s="2">
        <f t="shared" ca="1" si="7"/>
        <v>0.77352467667746516</v>
      </c>
      <c r="Z73" s="2">
        <f t="shared" ca="1" si="7"/>
        <v>9.4542672541897077E-2</v>
      </c>
      <c r="AA73" s="2">
        <f t="shared" ca="1" si="7"/>
        <v>0.13420036819871473</v>
      </c>
      <c r="AB73" s="2">
        <f ca="1">D73*Sheet2!C$18/_xlfn.STDEV.S(D$62:D$91)</f>
        <v>1.5666714774441357</v>
      </c>
      <c r="AC73" s="2">
        <f ca="1">E73*Sheet2!D$18/_xlfn.STDEV.S(E$62:E$91)</f>
        <v>2.2207152393658376</v>
      </c>
      <c r="AD73" s="2">
        <f ca="1">F73*Sheet2!E$18/_xlfn.STDEV.S(F$62:F$91)</f>
        <v>2.2179979846078219</v>
      </c>
      <c r="AE73" s="2">
        <f ca="1">G73*Sheet2!F$18/_xlfn.STDEV.S(G$62:G$91)</f>
        <v>4.8367439971842581</v>
      </c>
      <c r="AF73" s="2">
        <f ca="1">H73*Sheet2!G$18/_xlfn.STDEV.S(H$62:H$91)</f>
        <v>5.3505564853266083</v>
      </c>
      <c r="AG73" s="2">
        <f ca="1">I73*Sheet2!H$18/_xlfn.STDEV.S(I$62:I$91)</f>
        <v>1.0782390083050395</v>
      </c>
      <c r="AH73" s="2">
        <f ca="1">J73*Sheet2!I$18/_xlfn.STDEV.S(J$62:J$91)</f>
        <v>1.1725788836196565</v>
      </c>
      <c r="AI73" s="2">
        <f ca="1">K73*Sheet2!J$18/_xlfn.STDEV.S(K$62:K$91)</f>
        <v>4.1233683679619144</v>
      </c>
      <c r="AJ73" s="2">
        <f ca="1">L73*Sheet2!K$18/_xlfn.STDEV.S(L$62:L$91)</f>
        <v>4.7575660444036689</v>
      </c>
      <c r="AK73" s="2">
        <f ca="1">M73*Sheet2!L$18/_xlfn.STDEV.S(M$62:M$91)</f>
        <v>7.7999025470413166</v>
      </c>
      <c r="AL73" s="2">
        <f ca="1">N73*Sheet2!M$18/_xlfn.STDEV.S(N$62:N$91)</f>
        <v>3.1801135860007945</v>
      </c>
      <c r="AM73" s="2">
        <f ca="1">O73*Sheet2!N$18/_xlfn.STDEV.S(O$62:O$91)</f>
        <v>9.3778190414525788</v>
      </c>
      <c r="AN73" s="2">
        <f ca="1">P73*Sheet2!O$18/_xlfn.STDEV.S(P$62:P$91)</f>
        <v>1.0013167728294927</v>
      </c>
      <c r="AO73" s="2">
        <f ca="1">Q73*Sheet2!P$18/_xlfn.STDEV.S(Q$62:Q$91)</f>
        <v>7.2304243285403853</v>
      </c>
      <c r="AP73" s="2">
        <f ca="1">R73*Sheet2!Q$18/_xlfn.STDEV.S(R$62:R$91)</f>
        <v>3.6246173888863185</v>
      </c>
      <c r="AQ73" s="2">
        <f ca="1">S73*Sheet2!R$18/_xlfn.STDEV.S(S$62:S$91)</f>
        <v>1.8604468475441371</v>
      </c>
      <c r="AR73" s="2">
        <f ca="1">T73*Sheet2!S$18/_xlfn.STDEV.S(T$62:T$91)</f>
        <v>3.4566641325086245E-2</v>
      </c>
      <c r="AS73" s="2">
        <f ca="1">U73*Sheet2!T$18/_xlfn.STDEV.S(U$62:U$91)</f>
        <v>4.6243079885027454</v>
      </c>
      <c r="AT73" s="2">
        <f ca="1">V73*Sheet2!U$18/_xlfn.STDEV.S(V$62:V$91)</f>
        <v>2.5247691050660195</v>
      </c>
      <c r="AU73" s="2">
        <f ca="1">W73*Sheet2!V$18/_xlfn.STDEV.S(W$62:W$91)</f>
        <v>1.4616916971486813</v>
      </c>
      <c r="AV73" s="2">
        <f ca="1">X73*Sheet2!W$18/_xlfn.STDEV.S(X$62:X$91)</f>
        <v>1.8999969366021008</v>
      </c>
      <c r="AW73" s="2">
        <f ca="1">Y73*Sheet2!X$18/_xlfn.STDEV.S(Y$62:Y$91)</f>
        <v>5.9050889254177754</v>
      </c>
      <c r="AX73" s="2">
        <f ca="1">Z73*Sheet2!Y$18/_xlfn.STDEV.S(Z$62:Z$91)</f>
        <v>0.54805451758954493</v>
      </c>
      <c r="AY73" s="2">
        <f ca="1">AA73*Sheet2!Z$18/_xlfn.STDEV.S(AA$62:AA$91)</f>
        <v>0.49865398223903978</v>
      </c>
      <c r="AZ73" s="2">
        <f ca="1">AB73-AVERAGE(AB$62:AB$91)+Sheet2!C$17</f>
        <v>5.6136689843137813</v>
      </c>
      <c r="BA73" s="2">
        <f ca="1">AC73-AVERAGE(AC$62:AC$91)+Sheet2!D$17</f>
        <v>6.0691943612029773</v>
      </c>
      <c r="BB73" s="2">
        <f ca="1">AD73-AVERAGE(AD$62:AD$91)+Sheet2!E$17</f>
        <v>27.4396452083007</v>
      </c>
      <c r="BC73" s="2">
        <f ca="1">AE73-AVERAGE(AE$62:AE$91)+Sheet2!F$17</f>
        <v>2.1960288667657144</v>
      </c>
      <c r="BD73" s="2">
        <f ca="1">AF73-AVERAGE(AF$62:AF$91)+Sheet2!G$17</f>
        <v>28.155118120154633</v>
      </c>
      <c r="BE73" s="2">
        <f ca="1">AG73-AVERAGE(AG$62:AG$91)+Sheet2!H$17</f>
        <v>14.294329280401364</v>
      </c>
      <c r="BF73" s="2">
        <f ca="1">AH73-AVERAGE(AH$62:AH$91)+Sheet2!I$17</f>
        <v>9.7276647398426519</v>
      </c>
      <c r="BG73" s="2">
        <f ca="1">AI73-AVERAGE(AI$62:AI$91)+Sheet2!J$17</f>
        <v>26.765455852357622</v>
      </c>
      <c r="BH73" s="2">
        <f ca="1">AJ73-AVERAGE(AJ$62:AJ$91)+Sheet2!K$17</f>
        <v>22.029928144496154</v>
      </c>
      <c r="BI73" s="2">
        <f ca="1">AK73-AVERAGE(AK$62:AK$91)+Sheet2!L$17</f>
        <v>28.283230874187005</v>
      </c>
      <c r="BJ73" s="2">
        <f ca="1">AL73-AVERAGE(AL$62:AL$91)+Sheet2!M$17</f>
        <v>18.446250451748401</v>
      </c>
      <c r="BK73" s="2">
        <f ca="1">AM73-AVERAGE(AM$62:AM$91)+Sheet2!N$17</f>
        <v>21.525589361875465</v>
      </c>
      <c r="BL73" s="2">
        <f ca="1">AN73-AVERAGE(AN$62:AN$91)+Sheet2!O$17</f>
        <v>3.1481250720093175</v>
      </c>
      <c r="BM73" s="2">
        <f ca="1">AO73-AVERAGE(AO$62:AO$91)+Sheet2!P$17</f>
        <v>20.692105799733028</v>
      </c>
      <c r="BN73" s="2">
        <f ca="1">AP73-AVERAGE(AP$62:AP$91)+Sheet2!Q$17</f>
        <v>11.510053859785494</v>
      </c>
      <c r="BO73" s="2">
        <f ca="1">AQ73-AVERAGE(AQ$62:AQ$91)+Sheet2!R$17</f>
        <v>11.158076048730557</v>
      </c>
      <c r="BP73" s="2">
        <f ca="1">AR73-AVERAGE(AR$62:AR$91)+Sheet2!S$17</f>
        <v>3.3687815565646821</v>
      </c>
      <c r="BQ73" s="2">
        <f ca="1">AS73-AVERAGE(AS$62:AS$91)+Sheet2!T$17</f>
        <v>15.466998194119661</v>
      </c>
      <c r="BR73" s="2">
        <f ca="1">AT73-AVERAGE(AT$62:AT$91)+Sheet2!U$17</f>
        <v>21.995308494273527</v>
      </c>
      <c r="BS73" s="2">
        <f ca="1">AU73-AVERAGE(AU$62:AU$91)+Sheet2!V$17</f>
        <v>20.748324990553048</v>
      </c>
      <c r="BT73" s="2">
        <f ca="1">AV73-AVERAGE(AV$62:AV$91)+Sheet2!W$17</f>
        <v>27.505990366247506</v>
      </c>
      <c r="BU73" s="2">
        <f ca="1">AW73-AVERAGE(AW$62:AW$91)+Sheet2!X$17</f>
        <v>23.405143067456837</v>
      </c>
      <c r="BV73" s="2">
        <f ca="1">AX73-AVERAGE(AX$62:AX$91)+Sheet2!Y$17</f>
        <v>16.805339451988381</v>
      </c>
      <c r="BW73" s="2">
        <f ca="1">AY73-AVERAGE(AY$62:AY$91)+Sheet2!Z$17</f>
        <v>8.277871271241521</v>
      </c>
      <c r="BZ73" s="2">
        <f ca="1">BA73-AVERAGE(AH$62:AH$91)+Sheet2!AB$17</f>
        <v>4.4868366889272542</v>
      </c>
      <c r="CA73" s="2">
        <f ca="1">BB73-AVERAGE(AI$62:AI$91)+Sheet2!AC$17</f>
        <v>24.837704272460712</v>
      </c>
      <c r="CB73" s="2">
        <f ca="1">BC73-AVERAGE(AJ$62:AJ$91)+Sheet2!AD$17</f>
        <v>-1.4330939410655099</v>
      </c>
      <c r="CC73" s="2">
        <f ca="1">BD73-AVERAGE(AK$62:AK$91)+Sheet2!AE$17</f>
        <v>23.376858315766018</v>
      </c>
    </row>
    <row r="74" spans="2:81" x14ac:dyDescent="0.3">
      <c r="B74">
        <v>73</v>
      </c>
      <c r="C74" s="1">
        <v>3</v>
      </c>
      <c r="D74" s="2">
        <f t="shared" ca="1" si="8"/>
        <v>0.84655776538461003</v>
      </c>
      <c r="E74" s="2">
        <f t="shared" ca="1" si="8"/>
        <v>0.4441688191252765</v>
      </c>
      <c r="F74" s="2">
        <f t="shared" ca="1" si="8"/>
        <v>0.74516452116645748</v>
      </c>
      <c r="G74" s="2">
        <f t="shared" ca="1" si="8"/>
        <v>0.66907010838528636</v>
      </c>
      <c r="H74" s="2">
        <f t="shared" ca="1" si="8"/>
        <v>0.91089142351545616</v>
      </c>
      <c r="I74" s="2">
        <f t="shared" ca="1" si="8"/>
        <v>0.31078984853582037</v>
      </c>
      <c r="J74" s="2">
        <f t="shared" ca="1" si="8"/>
        <v>0.38356274226018106</v>
      </c>
      <c r="K74" s="2">
        <f t="shared" ca="1" si="8"/>
        <v>0.50554638115868078</v>
      </c>
      <c r="L74" s="2">
        <f t="shared" ca="1" si="8"/>
        <v>0.65474806470233915</v>
      </c>
      <c r="M74" s="2">
        <f t="shared" ca="1" si="8"/>
        <v>0.70767317605176205</v>
      </c>
      <c r="N74" s="2">
        <f t="shared" ca="1" si="8"/>
        <v>0.73089168313601838</v>
      </c>
      <c r="O74" s="2">
        <f t="shared" ca="1" si="8"/>
        <v>0.44968932809645989</v>
      </c>
      <c r="P74" s="2">
        <f t="shared" ca="1" si="8"/>
        <v>0.19292617339888996</v>
      </c>
      <c r="Q74" s="2">
        <f t="shared" ca="1" si="7"/>
        <v>0.38274866454586887</v>
      </c>
      <c r="R74" s="2">
        <f t="shared" ca="1" si="7"/>
        <v>0.90835035041987067</v>
      </c>
      <c r="S74" s="2">
        <f t="shared" ca="1" si="7"/>
        <v>0.59277443559234155</v>
      </c>
      <c r="T74" s="2">
        <f t="shared" ca="1" si="7"/>
        <v>0.62126416341794266</v>
      </c>
      <c r="U74" s="2">
        <f t="shared" ca="1" si="7"/>
        <v>0.7870397920844604</v>
      </c>
      <c r="V74" s="2">
        <f t="shared" ca="1" si="7"/>
        <v>0.59149991050130413</v>
      </c>
      <c r="W74" s="2">
        <f t="shared" ca="1" si="7"/>
        <v>0.52780055786826285</v>
      </c>
      <c r="X74" s="2">
        <f t="shared" ca="1" si="7"/>
        <v>0.74524392842801179</v>
      </c>
      <c r="Y74" s="2">
        <f t="shared" ca="1" si="7"/>
        <v>0.75638458433573452</v>
      </c>
      <c r="Z74" s="2">
        <f t="shared" ca="1" si="7"/>
        <v>0.20369610070971766</v>
      </c>
      <c r="AA74" s="2">
        <f t="shared" ca="1" si="7"/>
        <v>0.73753535669234915</v>
      </c>
      <c r="AB74" s="2">
        <f ca="1">D74*Sheet2!C$18/_xlfn.STDEV.S(D$62:D$91)</f>
        <v>2.6592932501838358</v>
      </c>
      <c r="AC74" s="2">
        <f ca="1">E74*Sheet2!D$18/_xlfn.STDEV.S(E$62:E$91)</f>
        <v>1.2011809923232999</v>
      </c>
      <c r="AD74" s="2">
        <f ca="1">F74*Sheet2!E$18/_xlfn.STDEV.S(F$62:F$91)</f>
        <v>3.0485891456799279</v>
      </c>
      <c r="AE74" s="2">
        <f ca="1">G74*Sheet2!F$18/_xlfn.STDEV.S(G$62:G$91)</f>
        <v>8.2007451211354123</v>
      </c>
      <c r="AF74" s="2">
        <f ca="1">H74*Sheet2!G$18/_xlfn.STDEV.S(H$62:H$91)</f>
        <v>18.997109669630031</v>
      </c>
      <c r="AG74" s="2">
        <f ca="1">I74*Sheet2!H$18/_xlfn.STDEV.S(I$62:I$91)</f>
        <v>5.1180374405381794</v>
      </c>
      <c r="AH74" s="2">
        <f ca="1">J74*Sheet2!I$18/_xlfn.STDEV.S(J$62:J$91)</f>
        <v>1.2073880042331289</v>
      </c>
      <c r="AI74" s="2">
        <f ca="1">K74*Sheet2!J$18/_xlfn.STDEV.S(K$62:K$91)</f>
        <v>3.1320434751366792</v>
      </c>
      <c r="AJ74" s="2">
        <f ca="1">L74*Sheet2!K$18/_xlfn.STDEV.S(L$62:L$91)</f>
        <v>5.1114003688476091</v>
      </c>
      <c r="AK74" s="2">
        <f ca="1">M74*Sheet2!L$18/_xlfn.STDEV.S(M$62:M$91)</f>
        <v>6.0235810143903503</v>
      </c>
      <c r="AL74" s="2">
        <f ca="1">N74*Sheet2!M$18/_xlfn.STDEV.S(N$62:N$91)</f>
        <v>3.8824890911039476</v>
      </c>
      <c r="AM74" s="2">
        <f ca="1">O74*Sheet2!N$18/_xlfn.STDEV.S(O$62:O$91)</f>
        <v>4.6013304473804322</v>
      </c>
      <c r="AN74" s="2">
        <f ca="1">P74*Sheet2!O$18/_xlfn.STDEV.S(P$62:P$91)</f>
        <v>0.85006091061933597</v>
      </c>
      <c r="AO74" s="2">
        <f ca="1">Q74*Sheet2!P$18/_xlfn.STDEV.S(Q$62:Q$91)</f>
        <v>3.2990767394247689</v>
      </c>
      <c r="AP74" s="2">
        <f ca="1">R74*Sheet2!Q$18/_xlfn.STDEV.S(R$62:R$91)</f>
        <v>6.0810635613852853</v>
      </c>
      <c r="AQ74" s="2">
        <f ca="1">S74*Sheet2!R$18/_xlfn.STDEV.S(S$62:S$91)</f>
        <v>1.852488378731316</v>
      </c>
      <c r="AR74" s="2">
        <f ca="1">T74*Sheet2!S$18/_xlfn.STDEV.S(T$62:T$91)</f>
        <v>1.3296112937305253</v>
      </c>
      <c r="AS74" s="2">
        <f ca="1">U74*Sheet2!T$18/_xlfn.STDEV.S(U$62:U$91)</f>
        <v>4.4595681093041897</v>
      </c>
      <c r="AT74" s="2">
        <f ca="1">V74*Sheet2!U$18/_xlfn.STDEV.S(V$62:V$91)</f>
        <v>2.4679630094521738</v>
      </c>
      <c r="AU74" s="2">
        <f ca="1">W74*Sheet2!V$18/_xlfn.STDEV.S(W$62:W$91)</f>
        <v>1.9077708136690414</v>
      </c>
      <c r="AV74" s="2">
        <f ca="1">X74*Sheet2!W$18/_xlfn.STDEV.S(X$62:X$91)</f>
        <v>4.1536327368910522</v>
      </c>
      <c r="AW74" s="2">
        <f ca="1">Y74*Sheet2!X$18/_xlfn.STDEV.S(Y$62:Y$91)</f>
        <v>5.7742414262758777</v>
      </c>
      <c r="AX74" s="2">
        <f ca="1">Z74*Sheet2!Y$18/_xlfn.STDEV.S(Z$62:Z$91)</f>
        <v>1.1808061397869132</v>
      </c>
      <c r="AY74" s="2">
        <f ca="1">AA74*Sheet2!Z$18/_xlfn.STDEV.S(AA$62:AA$91)</f>
        <v>2.7404913085793816</v>
      </c>
      <c r="AZ74" s="2">
        <f ca="1">AB74-AVERAGE(AB$62:AB$91)+Sheet2!C$17</f>
        <v>6.7062907570534813</v>
      </c>
      <c r="BA74" s="2">
        <f ca="1">AC74-AVERAGE(AC$62:AC$91)+Sheet2!D$17</f>
        <v>5.0496601141604396</v>
      </c>
      <c r="BB74" s="2">
        <f ca="1">AD74-AVERAGE(AD$62:AD$91)+Sheet2!E$17</f>
        <v>28.270236369372807</v>
      </c>
      <c r="BC74" s="2">
        <f ca="1">AE74-AVERAGE(AE$62:AE$91)+Sheet2!F$17</f>
        <v>5.5600299907168687</v>
      </c>
      <c r="BD74" s="2">
        <f ca="1">AF74-AVERAGE(AF$62:AF$91)+Sheet2!G$17</f>
        <v>41.801671304458054</v>
      </c>
      <c r="BE74" s="2">
        <f ca="1">AG74-AVERAGE(AG$62:AG$91)+Sheet2!H$17</f>
        <v>18.334127712634505</v>
      </c>
      <c r="BF74" s="2">
        <f ca="1">AH74-AVERAGE(AH$62:AH$91)+Sheet2!I$17</f>
        <v>9.7624738604561241</v>
      </c>
      <c r="BG74" s="2">
        <f ca="1">AI74-AVERAGE(AI$62:AI$91)+Sheet2!J$17</f>
        <v>25.774130959532389</v>
      </c>
      <c r="BH74" s="2">
        <f ca="1">AJ74-AVERAGE(AJ$62:AJ$91)+Sheet2!K$17</f>
        <v>22.383762468940095</v>
      </c>
      <c r="BI74" s="2">
        <f ca="1">AK74-AVERAGE(AK$62:AK$91)+Sheet2!L$17</f>
        <v>26.506909341536041</v>
      </c>
      <c r="BJ74" s="2">
        <f ca="1">AL74-AVERAGE(AL$62:AL$91)+Sheet2!M$17</f>
        <v>19.148625956851554</v>
      </c>
      <c r="BK74" s="2">
        <f ca="1">AM74-AVERAGE(AM$62:AM$91)+Sheet2!N$17</f>
        <v>16.749100767803316</v>
      </c>
      <c r="BL74" s="2">
        <f ca="1">AN74-AVERAGE(AN$62:AN$91)+Sheet2!O$17</f>
        <v>2.9968692097991605</v>
      </c>
      <c r="BM74" s="2">
        <f ca="1">AO74-AVERAGE(AO$62:AO$91)+Sheet2!P$17</f>
        <v>16.760758210617411</v>
      </c>
      <c r="BN74" s="2">
        <f ca="1">AP74-AVERAGE(AP$62:AP$91)+Sheet2!Q$17</f>
        <v>13.966500032284461</v>
      </c>
      <c r="BO74" s="2">
        <f ca="1">AQ74-AVERAGE(AQ$62:AQ$91)+Sheet2!R$17</f>
        <v>11.150117579917737</v>
      </c>
      <c r="BP74" s="2">
        <f ca="1">AR74-AVERAGE(AR$62:AR$91)+Sheet2!S$17</f>
        <v>4.6638262089701215</v>
      </c>
      <c r="BQ74" s="2">
        <f ca="1">AS74-AVERAGE(AS$62:AS$91)+Sheet2!T$17</f>
        <v>15.302258314921106</v>
      </c>
      <c r="BR74" s="2">
        <f ca="1">AT74-AVERAGE(AT$62:AT$91)+Sheet2!U$17</f>
        <v>21.938502398659679</v>
      </c>
      <c r="BS74" s="2">
        <f ca="1">AU74-AVERAGE(AU$62:AU$91)+Sheet2!V$17</f>
        <v>21.194404107073407</v>
      </c>
      <c r="BT74" s="2">
        <f ca="1">AV74-AVERAGE(AV$62:AV$91)+Sheet2!W$17</f>
        <v>29.759626166536457</v>
      </c>
      <c r="BU74" s="2">
        <f ca="1">AW74-AVERAGE(AW$62:AW$91)+Sheet2!X$17</f>
        <v>23.27429556831494</v>
      </c>
      <c r="BV74" s="2">
        <f ca="1">AX74-AVERAGE(AX$62:AX$91)+Sheet2!Y$17</f>
        <v>17.438091074185749</v>
      </c>
      <c r="BW74" s="2">
        <f ca="1">AY74-AVERAGE(AY$62:AY$91)+Sheet2!Z$17</f>
        <v>10.519708597581863</v>
      </c>
      <c r="BZ74" s="2">
        <f ca="1">BA74-AVERAGE(AH$62:AH$91)+Sheet2!AB$17</f>
        <v>3.4673024418847165</v>
      </c>
      <c r="CA74" s="2">
        <f ca="1">BB74-AVERAGE(AI$62:AI$91)+Sheet2!AC$17</f>
        <v>25.668295433532819</v>
      </c>
      <c r="CB74" s="2">
        <f ca="1">BC74-AVERAGE(AJ$62:AJ$91)+Sheet2!AD$17</f>
        <v>1.9309071828856443</v>
      </c>
      <c r="CC74" s="2">
        <f ca="1">BD74-AVERAGE(AK$62:AK$91)+Sheet2!AE$17</f>
        <v>37.023411500069443</v>
      </c>
    </row>
    <row r="75" spans="2:81" x14ac:dyDescent="0.3">
      <c r="B75">
        <v>74</v>
      </c>
      <c r="C75" s="1">
        <v>3</v>
      </c>
      <c r="D75" s="2">
        <f t="shared" ca="1" si="8"/>
        <v>0.36010184844862148</v>
      </c>
      <c r="E75" s="2">
        <f t="shared" ca="1" si="8"/>
        <v>8.7372109830872069E-2</v>
      </c>
      <c r="F75" s="2">
        <f t="shared" ca="1" si="8"/>
        <v>0.36763259167830908</v>
      </c>
      <c r="G75" s="2">
        <f t="shared" ca="1" si="8"/>
        <v>0.45091098845644406</v>
      </c>
      <c r="H75" s="2">
        <f t="shared" ca="1" si="8"/>
        <v>0.67788884718622111</v>
      </c>
      <c r="I75" s="2">
        <f t="shared" ca="1" si="8"/>
        <v>0.42517138591724446</v>
      </c>
      <c r="J75" s="2">
        <f t="shared" ca="1" si="8"/>
        <v>0.37784970377364036</v>
      </c>
      <c r="K75" s="2">
        <f t="shared" ca="1" si="8"/>
        <v>0.15488811095915977</v>
      </c>
      <c r="L75" s="2">
        <f t="shared" ca="1" si="8"/>
        <v>3.8326809113297111E-2</v>
      </c>
      <c r="M75" s="2">
        <f t="shared" ca="1" si="8"/>
        <v>0.30666357059638394</v>
      </c>
      <c r="N75" s="2">
        <f t="shared" ca="1" si="8"/>
        <v>0.19901690616442314</v>
      </c>
      <c r="O75" s="2">
        <f t="shared" ca="1" si="8"/>
        <v>0.37179759230872667</v>
      </c>
      <c r="P75" s="2">
        <f t="shared" ca="1" si="8"/>
        <v>0.97647078465770276</v>
      </c>
      <c r="Q75" s="2">
        <f t="shared" ca="1" si="7"/>
        <v>0.10531198003927189</v>
      </c>
      <c r="R75" s="2">
        <f t="shared" ca="1" si="7"/>
        <v>0.31312823541307255</v>
      </c>
      <c r="S75" s="2">
        <f t="shared" ca="1" si="7"/>
        <v>0.72893225449720578</v>
      </c>
      <c r="T75" s="2">
        <f t="shared" ca="1" si="7"/>
        <v>0.38879469185738791</v>
      </c>
      <c r="U75" s="2">
        <f t="shared" ca="1" si="7"/>
        <v>0.73172612507649637</v>
      </c>
      <c r="V75" s="2">
        <f t="shared" ca="1" si="7"/>
        <v>0.87965081705030823</v>
      </c>
      <c r="W75" s="2">
        <f t="shared" ca="1" si="7"/>
        <v>0.33304429737562868</v>
      </c>
      <c r="X75" s="2">
        <f t="shared" ca="1" si="7"/>
        <v>0.1811584456705313</v>
      </c>
      <c r="Y75" s="2">
        <f t="shared" ca="1" si="7"/>
        <v>0.54291223052874238</v>
      </c>
      <c r="Z75" s="2">
        <f t="shared" ca="1" si="7"/>
        <v>0.18431760225029781</v>
      </c>
      <c r="AA75" s="2">
        <f t="shared" ca="1" si="7"/>
        <v>0.72241250952036018</v>
      </c>
      <c r="AB75" s="2">
        <f ca="1">D75*Sheet2!C$18/_xlfn.STDEV.S(D$62:D$91)</f>
        <v>1.1311885072875982</v>
      </c>
      <c r="AC75" s="2">
        <f ca="1">E75*Sheet2!D$18/_xlfn.STDEV.S(E$62:E$91)</f>
        <v>0.23628339736839227</v>
      </c>
      <c r="AD75" s="2">
        <f ca="1">F75*Sheet2!E$18/_xlfn.STDEV.S(F$62:F$91)</f>
        <v>1.5040446730263939</v>
      </c>
      <c r="AE75" s="2">
        <f ca="1">G75*Sheet2!F$18/_xlfn.STDEV.S(G$62:G$91)</f>
        <v>5.5267841774828401</v>
      </c>
      <c r="AF75" s="2">
        <f ca="1">H75*Sheet2!G$18/_xlfn.STDEV.S(H$62:H$91)</f>
        <v>14.137720963619547</v>
      </c>
      <c r="AG75" s="2">
        <f ca="1">I75*Sheet2!H$18/_xlfn.STDEV.S(I$62:I$91)</f>
        <v>7.0016542754586215</v>
      </c>
      <c r="AH75" s="2">
        <f ca="1">J75*Sheet2!I$18/_xlfn.STDEV.S(J$62:J$91)</f>
        <v>1.1894043645925185</v>
      </c>
      <c r="AI75" s="2">
        <f ca="1">K75*Sheet2!J$18/_xlfn.STDEV.S(K$62:K$91)</f>
        <v>0.95958811176538561</v>
      </c>
      <c r="AJ75" s="2">
        <f ca="1">L75*Sheet2!K$18/_xlfn.STDEV.S(L$62:L$91)</f>
        <v>0.29920465107066829</v>
      </c>
      <c r="AK75" s="2">
        <f ca="1">M75*Sheet2!L$18/_xlfn.STDEV.S(M$62:M$91)</f>
        <v>2.6102626525361199</v>
      </c>
      <c r="AL75" s="2">
        <f ca="1">N75*Sheet2!M$18/_xlfn.STDEV.S(N$62:N$91)</f>
        <v>1.0571757552546064</v>
      </c>
      <c r="AM75" s="2">
        <f ca="1">O75*Sheet2!N$18/_xlfn.STDEV.S(O$62:O$91)</f>
        <v>3.8043232846875932</v>
      </c>
      <c r="AN75" s="2">
        <f ca="1">P75*Sheet2!O$18/_xlfn.STDEV.S(P$62:P$91)</f>
        <v>4.3024729603851677</v>
      </c>
      <c r="AO75" s="2">
        <f ca="1">Q75*Sheet2!P$18/_xlfn.STDEV.S(Q$62:Q$91)</f>
        <v>0.90772963020669373</v>
      </c>
      <c r="AP75" s="2">
        <f ca="1">R75*Sheet2!Q$18/_xlfn.STDEV.S(R$62:R$91)</f>
        <v>2.096275629255985</v>
      </c>
      <c r="AQ75" s="2">
        <f ca="1">S75*Sheet2!R$18/_xlfn.STDEV.S(S$62:S$91)</f>
        <v>2.277997243570633</v>
      </c>
      <c r="AR75" s="2">
        <f ca="1">T75*Sheet2!S$18/_xlfn.STDEV.S(T$62:T$91)</f>
        <v>0.83208696666493187</v>
      </c>
      <c r="AS75" s="2">
        <f ca="1">U75*Sheet2!T$18/_xlfn.STDEV.S(U$62:U$91)</f>
        <v>4.1461467704109261</v>
      </c>
      <c r="AT75" s="2">
        <f ca="1">V75*Sheet2!U$18/_xlfn.STDEV.S(V$62:V$91)</f>
        <v>3.6702383874828262</v>
      </c>
      <c r="AU75" s="2">
        <f ca="1">W75*Sheet2!V$18/_xlfn.STDEV.S(W$62:W$91)</f>
        <v>1.2038111379767129</v>
      </c>
      <c r="AV75" s="2">
        <f ca="1">X75*Sheet2!W$18/_xlfn.STDEV.S(X$62:X$91)</f>
        <v>1.0096904138335474</v>
      </c>
      <c r="AW75" s="2">
        <f ca="1">Y75*Sheet2!X$18/_xlfn.STDEV.S(Y$62:Y$91)</f>
        <v>4.1445930513034099</v>
      </c>
      <c r="AX75" s="2">
        <f ca="1">Z75*Sheet2!Y$18/_xlfn.STDEV.S(Z$62:Z$91)</f>
        <v>1.0684709017484435</v>
      </c>
      <c r="AY75" s="2">
        <f ca="1">AA75*Sheet2!Z$18/_xlfn.STDEV.S(AA$62:AA$91)</f>
        <v>2.6842987059336241</v>
      </c>
      <c r="AZ75" s="2">
        <f ca="1">AB75-AVERAGE(AB$62:AB$91)+Sheet2!C$17</f>
        <v>5.1781860141572444</v>
      </c>
      <c r="BA75" s="2">
        <f ca="1">AC75-AVERAGE(AC$62:AC$91)+Sheet2!D$17</f>
        <v>4.0847625192055315</v>
      </c>
      <c r="BB75" s="2">
        <f ca="1">AD75-AVERAGE(AD$62:AD$91)+Sheet2!E$17</f>
        <v>26.725691896719272</v>
      </c>
      <c r="BC75" s="2">
        <f ca="1">AE75-AVERAGE(AE$62:AE$91)+Sheet2!F$17</f>
        <v>2.8860690470642965</v>
      </c>
      <c r="BD75" s="2">
        <f ca="1">AF75-AVERAGE(AF$62:AF$91)+Sheet2!G$17</f>
        <v>36.942282598447569</v>
      </c>
      <c r="BE75" s="2">
        <f ca="1">AG75-AVERAGE(AG$62:AG$91)+Sheet2!H$17</f>
        <v>20.217744547554947</v>
      </c>
      <c r="BF75" s="2">
        <f ca="1">AH75-AVERAGE(AH$62:AH$91)+Sheet2!I$17</f>
        <v>9.7444902208155124</v>
      </c>
      <c r="BG75" s="2">
        <f ca="1">AI75-AVERAGE(AI$62:AI$91)+Sheet2!J$17</f>
        <v>23.601675596161094</v>
      </c>
      <c r="BH75" s="2">
        <f ca="1">AJ75-AVERAGE(AJ$62:AJ$91)+Sheet2!K$17</f>
        <v>17.571566751163154</v>
      </c>
      <c r="BI75" s="2">
        <f ca="1">AK75-AVERAGE(AK$62:AK$91)+Sheet2!L$17</f>
        <v>23.09359097968181</v>
      </c>
      <c r="BJ75" s="2">
        <f ca="1">AL75-AVERAGE(AL$62:AL$91)+Sheet2!M$17</f>
        <v>16.323312621002213</v>
      </c>
      <c r="BK75" s="2">
        <f ca="1">AM75-AVERAGE(AM$62:AM$91)+Sheet2!N$17</f>
        <v>15.952093605110479</v>
      </c>
      <c r="BL75" s="2">
        <f ca="1">AN75-AVERAGE(AN$62:AN$91)+Sheet2!O$17</f>
        <v>6.4492812595649927</v>
      </c>
      <c r="BM75" s="2">
        <f ca="1">AO75-AVERAGE(AO$62:AO$91)+Sheet2!P$17</f>
        <v>14.369411101399336</v>
      </c>
      <c r="BN75" s="2">
        <f ca="1">AP75-AVERAGE(AP$62:AP$91)+Sheet2!Q$17</f>
        <v>9.9817121001551605</v>
      </c>
      <c r="BO75" s="2">
        <f ca="1">AQ75-AVERAGE(AQ$62:AQ$91)+Sheet2!R$17</f>
        <v>11.575626444757054</v>
      </c>
      <c r="BP75" s="2">
        <f ca="1">AR75-AVERAGE(AR$62:AR$91)+Sheet2!S$17</f>
        <v>4.1663018819045279</v>
      </c>
      <c r="BQ75" s="2">
        <f ca="1">AS75-AVERAGE(AS$62:AS$91)+Sheet2!T$17</f>
        <v>14.988836976027843</v>
      </c>
      <c r="BR75" s="2">
        <f ca="1">AT75-AVERAGE(AT$62:AT$91)+Sheet2!U$17</f>
        <v>23.140777776690332</v>
      </c>
      <c r="BS75" s="2">
        <f ca="1">AU75-AVERAGE(AU$62:AU$91)+Sheet2!V$17</f>
        <v>20.490444431381079</v>
      </c>
      <c r="BT75" s="2">
        <f ca="1">AV75-AVERAGE(AV$62:AV$91)+Sheet2!W$17</f>
        <v>26.615683843478951</v>
      </c>
      <c r="BU75" s="2">
        <f ca="1">AW75-AVERAGE(AW$62:AW$91)+Sheet2!X$17</f>
        <v>21.644647193342472</v>
      </c>
      <c r="BV75" s="2">
        <f ca="1">AX75-AVERAGE(AX$62:AX$91)+Sheet2!Y$17</f>
        <v>17.32575583614728</v>
      </c>
      <c r="BW75" s="2">
        <f ca="1">AY75-AVERAGE(AY$62:AY$91)+Sheet2!Z$17</f>
        <v>10.463515994936106</v>
      </c>
      <c r="BZ75" s="2">
        <f ca="1">BA75-AVERAGE(AH$62:AH$91)+Sheet2!AB$17</f>
        <v>2.5024048469298084</v>
      </c>
      <c r="CA75" s="2">
        <f ca="1">BB75-AVERAGE(AI$62:AI$91)+Sheet2!AC$17</f>
        <v>24.123750960879285</v>
      </c>
      <c r="CB75" s="2">
        <f ca="1">BC75-AVERAGE(AJ$62:AJ$91)+Sheet2!AD$17</f>
        <v>-0.74305376076692797</v>
      </c>
      <c r="CC75" s="2">
        <f ca="1">BD75-AVERAGE(AK$62:AK$91)+Sheet2!AE$17</f>
        <v>32.164022794058958</v>
      </c>
    </row>
    <row r="76" spans="2:81" x14ac:dyDescent="0.3">
      <c r="B76">
        <v>75</v>
      </c>
      <c r="C76" s="1">
        <v>3</v>
      </c>
      <c r="D76" s="2">
        <f t="shared" ca="1" si="8"/>
        <v>0.77057371362317595</v>
      </c>
      <c r="E76" s="2">
        <f t="shared" ca="1" si="8"/>
        <v>0.15839980508148344</v>
      </c>
      <c r="F76" s="2">
        <f t="shared" ca="1" si="8"/>
        <v>0.11459200932450686</v>
      </c>
      <c r="G76" s="2">
        <f t="shared" ca="1" si="8"/>
        <v>0.13958741296171351</v>
      </c>
      <c r="H76" s="2">
        <f t="shared" ca="1" si="8"/>
        <v>0.17302935714284462</v>
      </c>
      <c r="I76" s="2">
        <f t="shared" ca="1" si="8"/>
        <v>0.64935837029500987</v>
      </c>
      <c r="J76" s="2">
        <f t="shared" ca="1" si="8"/>
        <v>0.57716328551257545</v>
      </c>
      <c r="K76" s="2">
        <f t="shared" ca="1" si="8"/>
        <v>0.66643512798679272</v>
      </c>
      <c r="L76" s="2">
        <f t="shared" ca="1" si="8"/>
        <v>0.25163099518511123</v>
      </c>
      <c r="M76" s="2">
        <f t="shared" ca="1" si="8"/>
        <v>0.85188677173592375</v>
      </c>
      <c r="N76" s="2">
        <f t="shared" ca="1" si="8"/>
        <v>0.10572325940665162</v>
      </c>
      <c r="O76" s="2">
        <f t="shared" ca="1" si="8"/>
        <v>0.25210472190504984</v>
      </c>
      <c r="P76" s="2">
        <f t="shared" ca="1" si="8"/>
        <v>0.16423714072491935</v>
      </c>
      <c r="Q76" s="2">
        <f t="shared" ca="1" si="7"/>
        <v>0.36470489544036522</v>
      </c>
      <c r="R76" s="2">
        <f t="shared" ca="1" si="7"/>
        <v>0.44346337176199802</v>
      </c>
      <c r="S76" s="2">
        <f t="shared" ca="1" si="7"/>
        <v>0.4565726721721447</v>
      </c>
      <c r="T76" s="2">
        <f t="shared" ca="1" si="7"/>
        <v>2.9502601864628275E-2</v>
      </c>
      <c r="U76" s="2">
        <f t="shared" ca="1" si="7"/>
        <v>0.53015317650244098</v>
      </c>
      <c r="V76" s="2">
        <f t="shared" ca="1" si="7"/>
        <v>0.90157924195821915</v>
      </c>
      <c r="W76" s="2">
        <f t="shared" ca="1" si="7"/>
        <v>0.22419333450122247</v>
      </c>
      <c r="X76" s="2">
        <f t="shared" ca="1" si="7"/>
        <v>0.34428422290028826</v>
      </c>
      <c r="Y76" s="2">
        <f t="shared" ca="1" si="7"/>
        <v>0.58420159795757698</v>
      </c>
      <c r="Z76" s="2">
        <f t="shared" ca="1" si="7"/>
        <v>0.38198373351015102</v>
      </c>
      <c r="AA76" s="2">
        <f t="shared" ca="1" si="7"/>
        <v>0.57252822625859512</v>
      </c>
      <c r="AB76" s="2">
        <f ca="1">D76*Sheet2!C$18/_xlfn.STDEV.S(D$62:D$91)</f>
        <v>2.4206044279520786</v>
      </c>
      <c r="AC76" s="2">
        <f ca="1">E76*Sheet2!D$18/_xlfn.STDEV.S(E$62:E$91)</f>
        <v>0.42836603304638848</v>
      </c>
      <c r="AD76" s="2">
        <f ca="1">F76*Sheet2!E$18/_xlfn.STDEV.S(F$62:F$91)</f>
        <v>0.46881453140239748</v>
      </c>
      <c r="AE76" s="2">
        <f ca="1">G76*Sheet2!F$18/_xlfn.STDEV.S(G$62:G$91)</f>
        <v>1.7109130739382765</v>
      </c>
      <c r="AF76" s="2">
        <f ca="1">H76*Sheet2!G$18/_xlfn.STDEV.S(H$62:H$91)</f>
        <v>3.6086163387314256</v>
      </c>
      <c r="AG76" s="2">
        <f ca="1">I76*Sheet2!H$18/_xlfn.STDEV.S(I$62:I$91)</f>
        <v>10.693529621877818</v>
      </c>
      <c r="AH76" s="2">
        <f ca="1">J76*Sheet2!I$18/_xlfn.STDEV.S(J$62:J$91)</f>
        <v>1.8168084400099656</v>
      </c>
      <c r="AI76" s="2">
        <f ca="1">K76*Sheet2!J$18/_xlfn.STDEV.S(K$62:K$91)</f>
        <v>4.1288077058902912</v>
      </c>
      <c r="AJ76" s="2">
        <f ca="1">L76*Sheet2!K$18/_xlfn.STDEV.S(L$62:L$91)</f>
        <v>1.9643994857585312</v>
      </c>
      <c r="AK76" s="2">
        <f ca="1">M76*Sheet2!L$18/_xlfn.STDEV.S(M$62:M$91)</f>
        <v>7.2511000251102686</v>
      </c>
      <c r="AL76" s="2">
        <f ca="1">N76*Sheet2!M$18/_xlfn.STDEV.S(N$62:N$91)</f>
        <v>0.56160086479721194</v>
      </c>
      <c r="AM76" s="2">
        <f ca="1">O76*Sheet2!N$18/_xlfn.STDEV.S(O$62:O$91)</f>
        <v>2.5795967579227388</v>
      </c>
      <c r="AN76" s="2">
        <f ca="1">P76*Sheet2!O$18/_xlfn.STDEV.S(P$62:P$91)</f>
        <v>0.72365284057898727</v>
      </c>
      <c r="AO76" s="2">
        <f ca="1">Q76*Sheet2!P$18/_xlfn.STDEV.S(Q$62:Q$91)</f>
        <v>3.1435496678459609</v>
      </c>
      <c r="AP76" s="2">
        <f ca="1">R76*Sheet2!Q$18/_xlfn.STDEV.S(R$62:R$91)</f>
        <v>2.9688202900834701</v>
      </c>
      <c r="AQ76" s="2">
        <f ca="1">S76*Sheet2!R$18/_xlfn.STDEV.S(S$62:S$91)</f>
        <v>1.4268421822206672</v>
      </c>
      <c r="AR76" s="2">
        <f ca="1">T76*Sheet2!S$18/_xlfn.STDEV.S(T$62:T$91)</f>
        <v>6.3140600960844187E-2</v>
      </c>
      <c r="AS76" s="2">
        <f ca="1">U76*Sheet2!T$18/_xlfn.STDEV.S(U$62:U$91)</f>
        <v>3.0039830549290492</v>
      </c>
      <c r="AT76" s="2">
        <f ca="1">V76*Sheet2!U$18/_xlfn.STDEV.S(V$62:V$91)</f>
        <v>3.7617321317209402</v>
      </c>
      <c r="AU76" s="2">
        <f ca="1">W76*Sheet2!V$18/_xlfn.STDEV.S(W$62:W$91)</f>
        <v>0.81036197064294802</v>
      </c>
      <c r="AV76" s="2">
        <f ca="1">X76*Sheet2!W$18/_xlfn.STDEV.S(X$62:X$91)</f>
        <v>1.9188753701760211</v>
      </c>
      <c r="AW76" s="2">
        <f ca="1">Y76*Sheet2!X$18/_xlfn.STDEV.S(Y$62:Y$91)</f>
        <v>4.4597961646530582</v>
      </c>
      <c r="AX76" s="2">
        <f ca="1">Z76*Sheet2!Y$18/_xlfn.STDEV.S(Z$62:Z$91)</f>
        <v>2.2143219053087959</v>
      </c>
      <c r="AY76" s="2">
        <f ca="1">AA76*Sheet2!Z$18/_xlfn.STDEV.S(AA$62:AA$91)</f>
        <v>2.1273673373635105</v>
      </c>
      <c r="AZ76" s="2">
        <f ca="1">AB76-AVERAGE(AB$62:AB$91)+Sheet2!C$17</f>
        <v>6.4676019348217242</v>
      </c>
      <c r="BA76" s="2">
        <f ca="1">AC76-AVERAGE(AC$62:AC$91)+Sheet2!D$17</f>
        <v>4.276845154883528</v>
      </c>
      <c r="BB76" s="2">
        <f ca="1">AD76-AVERAGE(AD$62:AD$91)+Sheet2!E$17</f>
        <v>25.690461755095278</v>
      </c>
      <c r="BC76" s="2">
        <f ca="1">AE76-AVERAGE(AE$62:AE$91)+Sheet2!F$17</f>
        <v>-0.92980205648026715</v>
      </c>
      <c r="BD76" s="2">
        <f ca="1">AF76-AVERAGE(AF$62:AF$91)+Sheet2!G$17</f>
        <v>26.413177973559449</v>
      </c>
      <c r="BE76" s="2">
        <f ca="1">AG76-AVERAGE(AG$62:AG$91)+Sheet2!H$17</f>
        <v>23.909619893974146</v>
      </c>
      <c r="BF76" s="2">
        <f ca="1">AH76-AVERAGE(AH$62:AH$91)+Sheet2!I$17</f>
        <v>10.371894296232959</v>
      </c>
      <c r="BG76" s="2">
        <f ca="1">AI76-AVERAGE(AI$62:AI$91)+Sheet2!J$17</f>
        <v>26.770895190285998</v>
      </c>
      <c r="BH76" s="2">
        <f ca="1">AJ76-AVERAGE(AJ$62:AJ$91)+Sheet2!K$17</f>
        <v>19.236761585851017</v>
      </c>
      <c r="BI76" s="2">
        <f ca="1">AK76-AVERAGE(AK$62:AK$91)+Sheet2!L$17</f>
        <v>27.734428352255961</v>
      </c>
      <c r="BJ76" s="2">
        <f ca="1">AL76-AVERAGE(AL$62:AL$91)+Sheet2!M$17</f>
        <v>15.827737730544818</v>
      </c>
      <c r="BK76" s="2">
        <f ca="1">AM76-AVERAGE(AM$62:AM$91)+Sheet2!N$17</f>
        <v>14.727367078345624</v>
      </c>
      <c r="BL76" s="2">
        <f ca="1">AN76-AVERAGE(AN$62:AN$91)+Sheet2!O$17</f>
        <v>2.8704611397588122</v>
      </c>
      <c r="BM76" s="2">
        <f ca="1">AO76-AVERAGE(AO$62:AO$91)+Sheet2!P$17</f>
        <v>16.605231139038601</v>
      </c>
      <c r="BN76" s="2">
        <f ca="1">AP76-AVERAGE(AP$62:AP$91)+Sheet2!Q$17</f>
        <v>10.854256760982647</v>
      </c>
      <c r="BO76" s="2">
        <f ca="1">AQ76-AVERAGE(AQ$62:AQ$91)+Sheet2!R$17</f>
        <v>10.724471383407089</v>
      </c>
      <c r="BP76" s="2">
        <f ca="1">AR76-AVERAGE(AR$62:AR$91)+Sheet2!S$17</f>
        <v>3.3973555162004399</v>
      </c>
      <c r="BQ76" s="2">
        <f ca="1">AS76-AVERAGE(AS$62:AS$91)+Sheet2!T$17</f>
        <v>13.846673260545966</v>
      </c>
      <c r="BR76" s="2">
        <f ca="1">AT76-AVERAGE(AT$62:AT$91)+Sheet2!U$17</f>
        <v>23.232271520928446</v>
      </c>
      <c r="BS76" s="2">
        <f ca="1">AU76-AVERAGE(AU$62:AU$91)+Sheet2!V$17</f>
        <v>20.096995264047312</v>
      </c>
      <c r="BT76" s="2">
        <f ca="1">AV76-AVERAGE(AV$62:AV$91)+Sheet2!W$17</f>
        <v>27.524868799821423</v>
      </c>
      <c r="BU76" s="2">
        <f ca="1">AW76-AVERAGE(AW$62:AW$91)+Sheet2!X$17</f>
        <v>21.959850306692118</v>
      </c>
      <c r="BV76" s="2">
        <f ca="1">AX76-AVERAGE(AX$62:AX$91)+Sheet2!Y$17</f>
        <v>18.471606839707633</v>
      </c>
      <c r="BW76" s="2">
        <f ca="1">AY76-AVERAGE(AY$62:AY$91)+Sheet2!Z$17</f>
        <v>9.9065846263659907</v>
      </c>
      <c r="BZ76" s="2">
        <f ca="1">BA76-AVERAGE(AH$62:AH$91)+Sheet2!AB$17</f>
        <v>2.6944874826078049</v>
      </c>
      <c r="CA76" s="2">
        <f ca="1">BB76-AVERAGE(AI$62:AI$91)+Sheet2!AC$17</f>
        <v>23.08852081925529</v>
      </c>
      <c r="CB76" s="2">
        <f ca="1">BC76-AVERAGE(AJ$62:AJ$91)+Sheet2!AD$17</f>
        <v>-4.558924864311491</v>
      </c>
      <c r="CC76" s="2">
        <f ca="1">BD76-AVERAGE(AK$62:AK$91)+Sheet2!AE$17</f>
        <v>21.634918169170835</v>
      </c>
    </row>
    <row r="77" spans="2:81" x14ac:dyDescent="0.3">
      <c r="B77">
        <v>76</v>
      </c>
      <c r="C77" s="1">
        <v>3</v>
      </c>
      <c r="D77" s="2">
        <f t="shared" ca="1" si="8"/>
        <v>0.57091947628345308</v>
      </c>
      <c r="E77" s="2">
        <f t="shared" ca="1" si="8"/>
        <v>0.45657131000644269</v>
      </c>
      <c r="F77" s="2">
        <f t="shared" ca="1" si="8"/>
        <v>0.41625655432059705</v>
      </c>
      <c r="G77" s="2">
        <f t="shared" ca="1" si="8"/>
        <v>0.26217350680678131</v>
      </c>
      <c r="H77" s="2">
        <f t="shared" ca="1" si="8"/>
        <v>0.524301059483954</v>
      </c>
      <c r="I77" s="2">
        <f t="shared" ca="1" si="8"/>
        <v>0.72386306733614603</v>
      </c>
      <c r="J77" s="2">
        <f t="shared" ca="1" si="8"/>
        <v>0.83443164881441734</v>
      </c>
      <c r="K77" s="2">
        <f t="shared" ca="1" si="8"/>
        <v>0.57516316813709523</v>
      </c>
      <c r="L77" s="2">
        <f t="shared" ca="1" si="8"/>
        <v>0.5325886790995441</v>
      </c>
      <c r="M77" s="2">
        <f t="shared" ca="1" si="8"/>
        <v>0.82299678260684261</v>
      </c>
      <c r="N77" s="2">
        <f t="shared" ca="1" si="8"/>
        <v>8.3880857555683419E-2</v>
      </c>
      <c r="O77" s="2">
        <f t="shared" ca="1" si="8"/>
        <v>0.45187677633176682</v>
      </c>
      <c r="P77" s="2">
        <f t="shared" ca="1" si="8"/>
        <v>0.124544395513707</v>
      </c>
      <c r="Q77" s="2">
        <f t="shared" ca="1" si="8"/>
        <v>0.55956475053078203</v>
      </c>
      <c r="R77" s="2">
        <f t="shared" ca="1" si="8"/>
        <v>0.88084255845485149</v>
      </c>
      <c r="S77" s="2">
        <f t="shared" ca="1" si="8"/>
        <v>0.99190936617327841</v>
      </c>
      <c r="T77" s="2">
        <f t="shared" ca="1" si="7"/>
        <v>0.9074776054635515</v>
      </c>
      <c r="U77" s="2">
        <f t="shared" ca="1" si="7"/>
        <v>0.39483144563391781</v>
      </c>
      <c r="V77" s="2">
        <f t="shared" ca="1" si="7"/>
        <v>0.56414686531897262</v>
      </c>
      <c r="W77" s="2">
        <f t="shared" ca="1" si="7"/>
        <v>0.15313187880018875</v>
      </c>
      <c r="X77" s="2">
        <f t="shared" ca="1" si="7"/>
        <v>0.2884580954253424</v>
      </c>
      <c r="Y77" s="2">
        <f t="shared" ca="1" si="7"/>
        <v>0.38242809334028849</v>
      </c>
      <c r="Z77" s="2">
        <f t="shared" ca="1" si="7"/>
        <v>0.3031327905103518</v>
      </c>
      <c r="AA77" s="2">
        <f t="shared" ca="1" si="7"/>
        <v>0.77584884424726563</v>
      </c>
      <c r="AB77" s="2">
        <f ca="1">D77*Sheet2!C$18/_xlfn.STDEV.S(D$62:D$91)</f>
        <v>1.793430255747883</v>
      </c>
      <c r="AC77" s="2">
        <f ca="1">E77*Sheet2!D$18/_xlfn.STDEV.S(E$62:E$91)</f>
        <v>1.2347214743707757</v>
      </c>
      <c r="AD77" s="2">
        <f ca="1">F77*Sheet2!E$18/_xlfn.STDEV.S(F$62:F$91)</f>
        <v>1.7029732056129745</v>
      </c>
      <c r="AE77" s="2">
        <f ca="1">G77*Sheet2!F$18/_xlfn.STDEV.S(G$62:G$91)</f>
        <v>3.2134421787657836</v>
      </c>
      <c r="AF77" s="2">
        <f ca="1">H77*Sheet2!G$18/_xlfn.STDEV.S(H$62:H$91)</f>
        <v>10.934568566338999</v>
      </c>
      <c r="AG77" s="2">
        <f ca="1">I77*Sheet2!H$18/_xlfn.STDEV.S(I$62:I$91)</f>
        <v>11.920461037910023</v>
      </c>
      <c r="AH77" s="2">
        <f ca="1">J77*Sheet2!I$18/_xlfn.STDEV.S(J$62:J$91)</f>
        <v>2.6266439675405056</v>
      </c>
      <c r="AI77" s="2">
        <f ca="1">K77*Sheet2!J$18/_xlfn.STDEV.S(K$62:K$91)</f>
        <v>3.5633447593353371</v>
      </c>
      <c r="AJ77" s="2">
        <f ca="1">L77*Sheet2!K$18/_xlfn.STDEV.S(L$62:L$91)</f>
        <v>4.157742676232373</v>
      </c>
      <c r="AK77" s="2">
        <f ca="1">M77*Sheet2!L$18/_xlfn.STDEV.S(M$62:M$91)</f>
        <v>7.0051938696801983</v>
      </c>
      <c r="AL77" s="2">
        <f ca="1">N77*Sheet2!M$18/_xlfn.STDEV.S(N$62:N$91)</f>
        <v>0.44557425118733862</v>
      </c>
      <c r="AM77" s="2">
        <f ca="1">O77*Sheet2!N$18/_xlfn.STDEV.S(O$62:O$91)</f>
        <v>4.6237129491173361</v>
      </c>
      <c r="AN77" s="2">
        <f ca="1">P77*Sheet2!O$18/_xlfn.STDEV.S(P$62:P$91)</f>
        <v>0.5487608052227384</v>
      </c>
      <c r="AO77" s="2">
        <f ca="1">Q77*Sheet2!P$18/_xlfn.STDEV.S(Q$62:Q$91)</f>
        <v>4.8231312704081164</v>
      </c>
      <c r="AP77" s="2">
        <f ca="1">R77*Sheet2!Q$18/_xlfn.STDEV.S(R$62:R$91)</f>
        <v>5.8969092520977684</v>
      </c>
      <c r="AQ77" s="2">
        <f ca="1">S77*Sheet2!R$18/_xlfn.STDEV.S(S$62:S$91)</f>
        <v>3.099831003600189</v>
      </c>
      <c r="AR77" s="2">
        <f ca="1">T77*Sheet2!S$18/_xlfn.STDEV.S(T$62:T$91)</f>
        <v>1.9421568860397338</v>
      </c>
      <c r="AS77" s="2">
        <f ca="1">U77*Sheet2!T$18/_xlfn.STDEV.S(U$62:U$91)</f>
        <v>2.2372156290040981</v>
      </c>
      <c r="AT77" s="2">
        <f ca="1">V77*Sheet2!U$18/_xlfn.STDEV.S(V$62:V$91)</f>
        <v>2.3538356824528246</v>
      </c>
      <c r="AU77" s="2">
        <f ca="1">W77*Sheet2!V$18/_xlfn.STDEV.S(W$62:W$91)</f>
        <v>0.55350553284224158</v>
      </c>
      <c r="AV77" s="2">
        <f ca="1">X77*Sheet2!W$18/_xlfn.STDEV.S(X$62:X$91)</f>
        <v>1.6077272724747633</v>
      </c>
      <c r="AW77" s="2">
        <f ca="1">Y77*Sheet2!X$18/_xlfn.STDEV.S(Y$62:Y$91)</f>
        <v>2.9194568277412554</v>
      </c>
      <c r="AX77" s="2">
        <f ca="1">Z77*Sheet2!Y$18/_xlfn.STDEV.S(Z$62:Z$91)</f>
        <v>1.7572307911551854</v>
      </c>
      <c r="AY77" s="2">
        <f ca="1">AA77*Sheet2!Z$18/_xlfn.STDEV.S(AA$62:AA$91)</f>
        <v>2.8828543542189835</v>
      </c>
      <c r="AZ77" s="2">
        <f ca="1">AB77-AVERAGE(AB$62:AB$91)+Sheet2!C$17</f>
        <v>5.8404277626175283</v>
      </c>
      <c r="BA77" s="2">
        <f ca="1">AC77-AVERAGE(AC$62:AC$91)+Sheet2!D$17</f>
        <v>5.0832005962079148</v>
      </c>
      <c r="BB77" s="2">
        <f ca="1">AD77-AVERAGE(AD$62:AD$91)+Sheet2!E$17</f>
        <v>26.924620429305854</v>
      </c>
      <c r="BC77" s="2">
        <f ca="1">AE77-AVERAGE(AE$62:AE$91)+Sheet2!F$17</f>
        <v>0.57272704834723998</v>
      </c>
      <c r="BD77" s="2">
        <f ca="1">AF77-AVERAGE(AF$62:AF$91)+Sheet2!G$17</f>
        <v>33.739130201167022</v>
      </c>
      <c r="BE77" s="2">
        <f ca="1">AG77-AVERAGE(AG$62:AG$91)+Sheet2!H$17</f>
        <v>25.136551310006347</v>
      </c>
      <c r="BF77" s="2">
        <f ca="1">AH77-AVERAGE(AH$62:AH$91)+Sheet2!I$17</f>
        <v>11.181729823763501</v>
      </c>
      <c r="BG77" s="2">
        <f ca="1">AI77-AVERAGE(AI$62:AI$91)+Sheet2!J$17</f>
        <v>26.205432243731046</v>
      </c>
      <c r="BH77" s="2">
        <f ca="1">AJ77-AVERAGE(AJ$62:AJ$91)+Sheet2!K$17</f>
        <v>21.430104776324857</v>
      </c>
      <c r="BI77" s="2">
        <f ca="1">AK77-AVERAGE(AK$62:AK$91)+Sheet2!L$17</f>
        <v>27.48852219682589</v>
      </c>
      <c r="BJ77" s="2">
        <f ca="1">AL77-AVERAGE(AL$62:AL$91)+Sheet2!M$17</f>
        <v>15.711711116934945</v>
      </c>
      <c r="BK77" s="2">
        <f ca="1">AM77-AVERAGE(AM$62:AM$91)+Sheet2!N$17</f>
        <v>16.771483269540219</v>
      </c>
      <c r="BL77" s="2">
        <f ca="1">AN77-AVERAGE(AN$62:AN$91)+Sheet2!O$17</f>
        <v>2.6955691044025629</v>
      </c>
      <c r="BM77" s="2">
        <f ca="1">AO77-AVERAGE(AO$62:AO$91)+Sheet2!P$17</f>
        <v>18.28481274160076</v>
      </c>
      <c r="BN77" s="2">
        <f ca="1">AP77-AVERAGE(AP$62:AP$91)+Sheet2!Q$17</f>
        <v>13.782345722996943</v>
      </c>
      <c r="BO77" s="2">
        <f ca="1">AQ77-AVERAGE(AQ$62:AQ$91)+Sheet2!R$17</f>
        <v>12.39746020478661</v>
      </c>
      <c r="BP77" s="2">
        <f ca="1">AR77-AVERAGE(AR$62:AR$91)+Sheet2!S$17</f>
        <v>5.2763718012793301</v>
      </c>
      <c r="BQ77" s="2">
        <f ca="1">AS77-AVERAGE(AS$62:AS$91)+Sheet2!T$17</f>
        <v>13.079905834621014</v>
      </c>
      <c r="BR77" s="2">
        <f ca="1">AT77-AVERAGE(AT$62:AT$91)+Sheet2!U$17</f>
        <v>21.824375071660331</v>
      </c>
      <c r="BS77" s="2">
        <f ca="1">AU77-AVERAGE(AU$62:AU$91)+Sheet2!V$17</f>
        <v>19.840138826246605</v>
      </c>
      <c r="BT77" s="2">
        <f ca="1">AV77-AVERAGE(AV$62:AV$91)+Sheet2!W$17</f>
        <v>27.213720702120167</v>
      </c>
      <c r="BU77" s="2">
        <f ca="1">AW77-AVERAGE(AW$62:AW$91)+Sheet2!X$17</f>
        <v>20.419510969780315</v>
      </c>
      <c r="BV77" s="2">
        <f ca="1">AX77-AVERAGE(AX$62:AX$91)+Sheet2!Y$17</f>
        <v>18.014515725554023</v>
      </c>
      <c r="BW77" s="2">
        <f ca="1">AY77-AVERAGE(AY$62:AY$91)+Sheet2!Z$17</f>
        <v>10.662071643221465</v>
      </c>
      <c r="BZ77" s="2">
        <f ca="1">BA77-AVERAGE(AH$62:AH$91)+Sheet2!AB$17</f>
        <v>3.5008429239321917</v>
      </c>
      <c r="CA77" s="2">
        <f ca="1">BB77-AVERAGE(AI$62:AI$91)+Sheet2!AC$17</f>
        <v>24.322679493465866</v>
      </c>
      <c r="CB77" s="2">
        <f ca="1">BC77-AVERAGE(AJ$62:AJ$91)+Sheet2!AD$17</f>
        <v>-3.0563957594839843</v>
      </c>
      <c r="CC77" s="2">
        <f ca="1">BD77-AVERAGE(AK$62:AK$91)+Sheet2!AE$17</f>
        <v>28.960870396778407</v>
      </c>
    </row>
    <row r="78" spans="2:81" x14ac:dyDescent="0.3">
      <c r="B78">
        <v>77</v>
      </c>
      <c r="C78" s="1">
        <v>3</v>
      </c>
      <c r="D78" s="2">
        <f t="shared" ca="1" si="8"/>
        <v>6.3873877663431444E-2</v>
      </c>
      <c r="E78" s="2">
        <f t="shared" ca="1" si="8"/>
        <v>0.67587821576779772</v>
      </c>
      <c r="F78" s="2">
        <f t="shared" ca="1" si="8"/>
        <v>0.33004553883549259</v>
      </c>
      <c r="G78" s="2">
        <f t="shared" ca="1" si="8"/>
        <v>0.59565908158775527</v>
      </c>
      <c r="H78" s="2">
        <f t="shared" ca="1" si="8"/>
        <v>0.6267410154185441</v>
      </c>
      <c r="I78" s="2">
        <f t="shared" ca="1" si="8"/>
        <v>0.82812281948212774</v>
      </c>
      <c r="J78" s="2">
        <f t="shared" ca="1" si="8"/>
        <v>0.89040047429874336</v>
      </c>
      <c r="K78" s="2">
        <f t="shared" ca="1" si="8"/>
        <v>3.4422704464158183E-2</v>
      </c>
      <c r="L78" s="2">
        <f t="shared" ca="1" si="8"/>
        <v>0.70778889111961585</v>
      </c>
      <c r="M78" s="2">
        <f t="shared" ca="1" si="8"/>
        <v>0.36950297025005963</v>
      </c>
      <c r="N78" s="2">
        <f t="shared" ca="1" si="8"/>
        <v>0.84707883751035518</v>
      </c>
      <c r="O78" s="2">
        <f t="shared" ca="1" si="8"/>
        <v>0.56022171892299533</v>
      </c>
      <c r="P78" s="2">
        <f t="shared" ca="1" si="8"/>
        <v>0.94430711831616598</v>
      </c>
      <c r="Q78" s="2">
        <f t="shared" ca="1" si="8"/>
        <v>0.63847475696022915</v>
      </c>
      <c r="R78" s="2">
        <f t="shared" ca="1" si="8"/>
        <v>0.18669520236565396</v>
      </c>
      <c r="S78" s="2">
        <f t="shared" ca="1" si="8"/>
        <v>0.37291358059996216</v>
      </c>
      <c r="T78" s="2">
        <f t="shared" ca="1" si="7"/>
        <v>0.22659379376346578</v>
      </c>
      <c r="U78" s="2">
        <f t="shared" ca="1" si="7"/>
        <v>0.37286482869005644</v>
      </c>
      <c r="V78" s="2">
        <f t="shared" ca="1" si="7"/>
        <v>5.2509888055245812E-2</v>
      </c>
      <c r="W78" s="2">
        <f t="shared" ca="1" si="7"/>
        <v>0.37296240596950692</v>
      </c>
      <c r="X78" s="2">
        <f t="shared" ca="1" si="7"/>
        <v>0.28271394359125579</v>
      </c>
      <c r="Y78" s="2">
        <f t="shared" ca="1" si="7"/>
        <v>0.88487401310885849</v>
      </c>
      <c r="Z78" s="2">
        <f t="shared" ca="1" si="7"/>
        <v>0.81029379983459759</v>
      </c>
      <c r="AA78" s="2">
        <f t="shared" ca="1" si="7"/>
        <v>0.2146511818151744</v>
      </c>
      <c r="AB78" s="2">
        <f ca="1">D78*Sheet2!C$18/_xlfn.STDEV.S(D$62:D$91)</f>
        <v>0.20064711314326014</v>
      </c>
      <c r="AC78" s="2">
        <f ca="1">E78*Sheet2!D$18/_xlfn.STDEV.S(E$62:E$91)</f>
        <v>1.8278006716105937</v>
      </c>
      <c r="AD78" s="2">
        <f ca="1">F78*Sheet2!E$18/_xlfn.STDEV.S(F$62:F$91)</f>
        <v>1.3502699319325258</v>
      </c>
      <c r="AE78" s="2">
        <f ca="1">G78*Sheet2!F$18/_xlfn.STDEV.S(G$62:G$91)</f>
        <v>7.3009513442167222</v>
      </c>
      <c r="AF78" s="2">
        <f ca="1">H78*Sheet2!G$18/_xlfn.STDEV.S(H$62:H$91)</f>
        <v>13.071006595287525</v>
      </c>
      <c r="AG78" s="2">
        <f ca="1">I78*Sheet2!H$18/_xlfn.STDEV.S(I$62:I$91)</f>
        <v>13.637393934972986</v>
      </c>
      <c r="AH78" s="2">
        <f ca="1">J78*Sheet2!I$18/_xlfn.STDEV.S(J$62:J$91)</f>
        <v>2.8028239794535343</v>
      </c>
      <c r="AI78" s="2">
        <f ca="1">K78*Sheet2!J$18/_xlfn.STDEV.S(K$62:K$91)</f>
        <v>0.21326115848445648</v>
      </c>
      <c r="AJ78" s="2">
        <f ca="1">L78*Sheet2!K$18/_xlfn.STDEV.S(L$62:L$91)</f>
        <v>5.5254724590591362</v>
      </c>
      <c r="AK78" s="2">
        <f ca="1">M78*Sheet2!L$18/_xlfn.STDEV.S(M$62:M$91)</f>
        <v>3.1451398070177841</v>
      </c>
      <c r="AL78" s="2">
        <f ca="1">N78*Sheet2!M$18/_xlfn.STDEV.S(N$62:N$91)</f>
        <v>4.499674058169477</v>
      </c>
      <c r="AM78" s="2">
        <f ca="1">O78*Sheet2!N$18/_xlfn.STDEV.S(O$62:O$91)</f>
        <v>5.7323247217715645</v>
      </c>
      <c r="AN78" s="2">
        <f ca="1">P78*Sheet2!O$18/_xlfn.STDEV.S(P$62:P$91)</f>
        <v>4.1607551466875243</v>
      </c>
      <c r="AO78" s="2">
        <f ca="1">Q78*Sheet2!P$18/_xlfn.STDEV.S(Q$62:Q$91)</f>
        <v>5.5032908394248485</v>
      </c>
      <c r="AP78" s="2">
        <f ca="1">R78*Sheet2!Q$18/_xlfn.STDEV.S(R$62:R$91)</f>
        <v>1.2498540807150602</v>
      </c>
      <c r="AQ78" s="2">
        <f ca="1">S78*Sheet2!R$18/_xlfn.STDEV.S(S$62:S$91)</f>
        <v>1.1653978863683625</v>
      </c>
      <c r="AR78" s="2">
        <f ca="1">T78*Sheet2!S$18/_xlfn.STDEV.S(T$62:T$91)</f>
        <v>0.48494937422371254</v>
      </c>
      <c r="AS78" s="2">
        <f ca="1">U78*Sheet2!T$18/_xlfn.STDEV.S(U$62:U$91)</f>
        <v>2.1127471772467921</v>
      </c>
      <c r="AT78" s="2">
        <f ca="1">V78*Sheet2!U$18/_xlfn.STDEV.S(V$62:V$91)</f>
        <v>0.21909126113136662</v>
      </c>
      <c r="AU78" s="2">
        <f ca="1">W78*Sheet2!V$18/_xlfn.STDEV.S(W$62:W$91)</f>
        <v>1.3480978413099824</v>
      </c>
      <c r="AV78" s="2">
        <f ca="1">X78*Sheet2!W$18/_xlfn.STDEV.S(X$62:X$91)</f>
        <v>1.5757121212019951</v>
      </c>
      <c r="AW78" s="2">
        <f ca="1">Y78*Sheet2!X$18/_xlfn.STDEV.S(Y$62:Y$91)</f>
        <v>6.7551299819460944</v>
      </c>
      <c r="AX78" s="2">
        <f ca="1">Z78*Sheet2!Y$18/_xlfn.STDEV.S(Z$62:Z$91)</f>
        <v>4.6971929778836223</v>
      </c>
      <c r="AY78" s="2">
        <f ca="1">AA78*Sheet2!Z$18/_xlfn.STDEV.S(AA$62:AA$91)</f>
        <v>0.79758847193295546</v>
      </c>
      <c r="AZ78" s="2">
        <f ca="1">AB78-AVERAGE(AB$62:AB$91)+Sheet2!C$17</f>
        <v>4.2476446200129061</v>
      </c>
      <c r="BA78" s="2">
        <f ca="1">AC78-AVERAGE(AC$62:AC$91)+Sheet2!D$17</f>
        <v>5.6762797934477334</v>
      </c>
      <c r="BB78" s="2">
        <f ca="1">AD78-AVERAGE(AD$62:AD$91)+Sheet2!E$17</f>
        <v>26.571917155625407</v>
      </c>
      <c r="BC78" s="2">
        <f ca="1">AE78-AVERAGE(AE$62:AE$91)+Sheet2!F$17</f>
        <v>4.6602362137981785</v>
      </c>
      <c r="BD78" s="2">
        <f ca="1">AF78-AVERAGE(AF$62:AF$91)+Sheet2!G$17</f>
        <v>35.875568230115547</v>
      </c>
      <c r="BE78" s="2">
        <f ca="1">AG78-AVERAGE(AG$62:AG$91)+Sheet2!H$17</f>
        <v>26.853484207069311</v>
      </c>
      <c r="BF78" s="2">
        <f ca="1">AH78-AVERAGE(AH$62:AH$91)+Sheet2!I$17</f>
        <v>11.357909835676528</v>
      </c>
      <c r="BG78" s="2">
        <f ca="1">AI78-AVERAGE(AI$62:AI$91)+Sheet2!J$17</f>
        <v>22.855348642880166</v>
      </c>
      <c r="BH78" s="2">
        <f ca="1">AJ78-AVERAGE(AJ$62:AJ$91)+Sheet2!K$17</f>
        <v>22.797834559151621</v>
      </c>
      <c r="BI78" s="2">
        <f ca="1">AK78-AVERAGE(AK$62:AK$91)+Sheet2!L$17</f>
        <v>23.628468134163473</v>
      </c>
      <c r="BJ78" s="2">
        <f ca="1">AL78-AVERAGE(AL$62:AL$91)+Sheet2!M$17</f>
        <v>19.765810923917083</v>
      </c>
      <c r="BK78" s="2">
        <f ca="1">AM78-AVERAGE(AM$62:AM$91)+Sheet2!N$17</f>
        <v>17.880095042194448</v>
      </c>
      <c r="BL78" s="2">
        <f ca="1">AN78-AVERAGE(AN$62:AN$91)+Sheet2!O$17</f>
        <v>6.3075634458673493</v>
      </c>
      <c r="BM78" s="2">
        <f ca="1">AO78-AVERAGE(AO$62:AO$91)+Sheet2!P$17</f>
        <v>18.96497231061749</v>
      </c>
      <c r="BN78" s="2">
        <f ca="1">AP78-AVERAGE(AP$62:AP$91)+Sheet2!Q$17</f>
        <v>9.1352905516142364</v>
      </c>
      <c r="BO78" s="2">
        <f ca="1">AQ78-AVERAGE(AQ$62:AQ$91)+Sheet2!R$17</f>
        <v>10.463027087554783</v>
      </c>
      <c r="BP78" s="2">
        <f ca="1">AR78-AVERAGE(AR$62:AR$91)+Sheet2!S$17</f>
        <v>3.8191642894633082</v>
      </c>
      <c r="BQ78" s="2">
        <f ca="1">AS78-AVERAGE(AS$62:AS$91)+Sheet2!T$17</f>
        <v>12.955437382863709</v>
      </c>
      <c r="BR78" s="2">
        <f ca="1">AT78-AVERAGE(AT$62:AT$91)+Sheet2!U$17</f>
        <v>19.689630650338874</v>
      </c>
      <c r="BS78" s="2">
        <f ca="1">AU78-AVERAGE(AU$62:AU$91)+Sheet2!V$17</f>
        <v>20.634731134714347</v>
      </c>
      <c r="BT78" s="2">
        <f ca="1">AV78-AVERAGE(AV$62:AV$91)+Sheet2!W$17</f>
        <v>27.181705550847397</v>
      </c>
      <c r="BU78" s="2">
        <f ca="1">AW78-AVERAGE(AW$62:AW$91)+Sheet2!X$17</f>
        <v>24.255184123985156</v>
      </c>
      <c r="BV78" s="2">
        <f ca="1">AX78-AVERAGE(AX$62:AX$91)+Sheet2!Y$17</f>
        <v>20.95447791228246</v>
      </c>
      <c r="BW78" s="2">
        <f ca="1">AY78-AVERAGE(AY$62:AY$91)+Sheet2!Z$17</f>
        <v>8.5768057609354358</v>
      </c>
      <c r="BZ78" s="2">
        <f ca="1">BA78-AVERAGE(AH$62:AH$91)+Sheet2!AB$17</f>
        <v>4.0939221211720103</v>
      </c>
      <c r="CA78" s="2">
        <f ca="1">BB78-AVERAGE(AI$62:AI$91)+Sheet2!AC$17</f>
        <v>23.969976219785419</v>
      </c>
      <c r="CB78" s="2">
        <f ca="1">BC78-AVERAGE(AJ$62:AJ$91)+Sheet2!AD$17</f>
        <v>1.0311134059669542</v>
      </c>
      <c r="CC78" s="2">
        <f ca="1">BD78-AVERAGE(AK$62:AK$91)+Sheet2!AE$17</f>
        <v>31.097308425726933</v>
      </c>
    </row>
    <row r="79" spans="2:81" x14ac:dyDescent="0.3">
      <c r="B79">
        <v>78</v>
      </c>
      <c r="C79" s="1">
        <v>3</v>
      </c>
      <c r="D79" s="2">
        <f t="shared" ca="1" si="8"/>
        <v>6.7977818429821757E-2</v>
      </c>
      <c r="E79" s="2">
        <f t="shared" ca="1" si="8"/>
        <v>0.35848581930222934</v>
      </c>
      <c r="F79" s="2">
        <f t="shared" ca="1" si="8"/>
        <v>0.35894878505952654</v>
      </c>
      <c r="G79" s="2">
        <f t="shared" ca="1" si="8"/>
        <v>0.84928657394790075</v>
      </c>
      <c r="H79" s="2">
        <f t="shared" ca="1" si="8"/>
        <v>0.14281139220588313</v>
      </c>
      <c r="I79" s="2">
        <f t="shared" ca="1" si="8"/>
        <v>0.77883976609348504</v>
      </c>
      <c r="J79" s="2">
        <f t="shared" ca="1" si="8"/>
        <v>0.27509891076828941</v>
      </c>
      <c r="K79" s="2">
        <f t="shared" ca="1" si="8"/>
        <v>0.88694372909552932</v>
      </c>
      <c r="L79" s="2">
        <f t="shared" ca="1" si="8"/>
        <v>0.53345197531572786</v>
      </c>
      <c r="M79" s="2">
        <f t="shared" ca="1" si="8"/>
        <v>0.30757687892415664</v>
      </c>
      <c r="N79" s="2">
        <f t="shared" ca="1" si="8"/>
        <v>7.5365075057781672E-3</v>
      </c>
      <c r="O79" s="2">
        <f t="shared" ca="1" si="8"/>
        <v>0.21158503693613162</v>
      </c>
      <c r="P79" s="2">
        <f t="shared" ca="1" si="8"/>
        <v>0.69606794523995219</v>
      </c>
      <c r="Q79" s="2">
        <f t="shared" ca="1" si="7"/>
        <v>0.57222215418016875</v>
      </c>
      <c r="R79" s="2">
        <f t="shared" ca="1" si="7"/>
        <v>0.61792917022312643</v>
      </c>
      <c r="S79" s="2">
        <f t="shared" ca="1" si="7"/>
        <v>0.35801155391659245</v>
      </c>
      <c r="T79" s="2">
        <f t="shared" ca="1" si="7"/>
        <v>0.55985269721221609</v>
      </c>
      <c r="U79" s="2">
        <f t="shared" ca="1" si="7"/>
        <v>0.1993392729067136</v>
      </c>
      <c r="V79" s="2">
        <f t="shared" ca="1" si="7"/>
        <v>0.17579597402357461</v>
      </c>
      <c r="W79" s="2">
        <f t="shared" ca="1" si="7"/>
        <v>0.14682809520009743</v>
      </c>
      <c r="X79" s="2">
        <f t="shared" ca="1" si="7"/>
        <v>6.5368583624712318E-2</v>
      </c>
      <c r="Y79" s="2">
        <f t="shared" ca="1" si="7"/>
        <v>0.32406133262865844</v>
      </c>
      <c r="Z79" s="2">
        <f t="shared" ca="1" si="7"/>
        <v>0.33268826395786999</v>
      </c>
      <c r="AA79" s="2">
        <f t="shared" ca="1" si="7"/>
        <v>0.75278452267536122</v>
      </c>
      <c r="AB79" s="2">
        <f ca="1">D79*Sheet2!C$18/_xlfn.STDEV.S(D$62:D$91)</f>
        <v>0.21353882877740563</v>
      </c>
      <c r="AC79" s="2">
        <f ca="1">E79*Sheet2!D$18/_xlfn.STDEV.S(E$62:E$91)</f>
        <v>0.96946551316073304</v>
      </c>
      <c r="AD79" s="2">
        <f ca="1">F79*Sheet2!E$18/_xlfn.STDEV.S(F$62:F$91)</f>
        <v>1.4685178090262623</v>
      </c>
      <c r="AE79" s="2">
        <f ca="1">G79*Sheet2!F$18/_xlfn.STDEV.S(G$62:G$91)</f>
        <v>10.409645626760481</v>
      </c>
      <c r="AF79" s="2">
        <f ca="1">H79*Sheet2!G$18/_xlfn.STDEV.S(H$62:H$91)</f>
        <v>2.9784051202691715</v>
      </c>
      <c r="AG79" s="2">
        <f ca="1">I79*Sheet2!H$18/_xlfn.STDEV.S(I$62:I$91)</f>
        <v>12.825808506377355</v>
      </c>
      <c r="AH79" s="2">
        <f ca="1">J79*Sheet2!I$18/_xlfn.STDEV.S(J$62:J$91)</f>
        <v>0.86596295271537449</v>
      </c>
      <c r="AI79" s="2">
        <f ca="1">K79*Sheet2!J$18/_xlfn.STDEV.S(K$62:K$91)</f>
        <v>5.4949385913121702</v>
      </c>
      <c r="AJ79" s="2">
        <f ca="1">L79*Sheet2!K$18/_xlfn.STDEV.S(L$62:L$91)</f>
        <v>4.164482142655741</v>
      </c>
      <c r="AK79" s="2">
        <f ca="1">M79*Sheet2!L$18/_xlfn.STDEV.S(M$62:M$91)</f>
        <v>2.6180365612974348</v>
      </c>
      <c r="AL79" s="2">
        <f ca="1">N79*Sheet2!M$18/_xlfn.STDEV.S(N$62:N$91)</f>
        <v>4.0033850228887356E-2</v>
      </c>
      <c r="AM79" s="2">
        <f ca="1">O79*Sheet2!N$18/_xlfn.STDEV.S(O$62:O$91)</f>
        <v>2.1649894979395667</v>
      </c>
      <c r="AN79" s="2">
        <f ca="1">P79*Sheet2!O$18/_xlfn.STDEV.S(P$62:P$91)</f>
        <v>3.0669770770823175</v>
      </c>
      <c r="AO79" s="2">
        <f ca="1">Q79*Sheet2!P$18/_xlfn.STDEV.S(Q$62:Q$91)</f>
        <v>4.932230922031323</v>
      </c>
      <c r="AP79" s="2">
        <f ca="1">R79*Sheet2!Q$18/_xlfn.STDEV.S(R$62:R$91)</f>
        <v>4.1368031165771848</v>
      </c>
      <c r="AQ79" s="2">
        <f ca="1">S79*Sheet2!R$18/_xlfn.STDEV.S(S$62:S$91)</f>
        <v>1.118827336774906</v>
      </c>
      <c r="AR79" s="2">
        <f ca="1">T79*Sheet2!S$18/_xlfn.STDEV.S(T$62:T$91)</f>
        <v>1.1981802796149501</v>
      </c>
      <c r="AS79" s="2">
        <f ca="1">U79*Sheet2!T$18/_xlfn.STDEV.S(U$62:U$91)</f>
        <v>1.1295071396990637</v>
      </c>
      <c r="AT79" s="2">
        <f ca="1">V79*Sheet2!U$18/_xlfn.STDEV.S(V$62:V$91)</f>
        <v>0.73348778824513594</v>
      </c>
      <c r="AU79" s="2">
        <f ca="1">W79*Sheet2!V$18/_xlfn.STDEV.S(W$62:W$91)</f>
        <v>0.53072008066971565</v>
      </c>
      <c r="AV79" s="2">
        <f ca="1">X79*Sheet2!W$18/_xlfn.STDEV.S(X$62:X$91)</f>
        <v>0.3643331781052318</v>
      </c>
      <c r="AW79" s="2">
        <f ca="1">Y79*Sheet2!X$18/_xlfn.STDEV.S(Y$62:Y$91)</f>
        <v>2.4738848599907444</v>
      </c>
      <c r="AX79" s="2">
        <f ca="1">Z79*Sheet2!Y$18/_xlfn.STDEV.S(Z$62:Z$91)</f>
        <v>1.9285609461730899</v>
      </c>
      <c r="AY79" s="2">
        <f ca="1">AA79*Sheet2!Z$18/_xlfn.STDEV.S(AA$62:AA$91)</f>
        <v>2.7971532793721403</v>
      </c>
      <c r="AZ79" s="2">
        <f ca="1">AB79-AVERAGE(AB$62:AB$91)+Sheet2!C$17</f>
        <v>4.2605363356470516</v>
      </c>
      <c r="BA79" s="2">
        <f ca="1">AC79-AVERAGE(AC$62:AC$91)+Sheet2!D$17</f>
        <v>4.8179446349978727</v>
      </c>
      <c r="BB79" s="2">
        <f ca="1">AD79-AVERAGE(AD$62:AD$91)+Sheet2!E$17</f>
        <v>26.690165032719143</v>
      </c>
      <c r="BC79" s="2">
        <f ca="1">AE79-AVERAGE(AE$62:AE$91)+Sheet2!F$17</f>
        <v>7.7689304963419374</v>
      </c>
      <c r="BD79" s="2">
        <f ca="1">AF79-AVERAGE(AF$62:AF$91)+Sheet2!G$17</f>
        <v>25.782966755097195</v>
      </c>
      <c r="BE79" s="2">
        <f ca="1">AG79-AVERAGE(AG$62:AG$91)+Sheet2!H$17</f>
        <v>26.04189877847368</v>
      </c>
      <c r="BF79" s="2">
        <f ca="1">AH79-AVERAGE(AH$62:AH$91)+Sheet2!I$17</f>
        <v>9.4210488089383695</v>
      </c>
      <c r="BG79" s="2">
        <f ca="1">AI79-AVERAGE(AI$62:AI$91)+Sheet2!J$17</f>
        <v>28.13702607570788</v>
      </c>
      <c r="BH79" s="2">
        <f ca="1">AJ79-AVERAGE(AJ$62:AJ$91)+Sheet2!K$17</f>
        <v>21.436844242748226</v>
      </c>
      <c r="BI79" s="2">
        <f ca="1">AK79-AVERAGE(AK$62:AK$91)+Sheet2!L$17</f>
        <v>23.101364888443126</v>
      </c>
      <c r="BJ79" s="2">
        <f ca="1">AL79-AVERAGE(AL$62:AL$91)+Sheet2!M$17</f>
        <v>15.306170715976492</v>
      </c>
      <c r="BK79" s="2">
        <f ca="1">AM79-AVERAGE(AM$62:AM$91)+Sheet2!N$17</f>
        <v>14.312759818362451</v>
      </c>
      <c r="BL79" s="2">
        <f ca="1">AN79-AVERAGE(AN$62:AN$91)+Sheet2!O$17</f>
        <v>5.213785376262142</v>
      </c>
      <c r="BM79" s="2">
        <f ca="1">AO79-AVERAGE(AO$62:AO$91)+Sheet2!P$17</f>
        <v>18.393912393223964</v>
      </c>
      <c r="BN79" s="2">
        <f ca="1">AP79-AVERAGE(AP$62:AP$91)+Sheet2!Q$17</f>
        <v>12.02223958747636</v>
      </c>
      <c r="BO79" s="2">
        <f ca="1">AQ79-AVERAGE(AQ$62:AQ$91)+Sheet2!R$17</f>
        <v>10.416456537961327</v>
      </c>
      <c r="BP79" s="2">
        <f ca="1">AR79-AVERAGE(AR$62:AR$91)+Sheet2!S$17</f>
        <v>4.532395194854546</v>
      </c>
      <c r="BQ79" s="2">
        <f ca="1">AS79-AVERAGE(AS$62:AS$91)+Sheet2!T$17</f>
        <v>11.97219734531598</v>
      </c>
      <c r="BR79" s="2">
        <f ca="1">AT79-AVERAGE(AT$62:AT$91)+Sheet2!U$17</f>
        <v>20.204027177452641</v>
      </c>
      <c r="BS79" s="2">
        <f ca="1">AU79-AVERAGE(AU$62:AU$91)+Sheet2!V$17</f>
        <v>19.817353374074081</v>
      </c>
      <c r="BT79" s="2">
        <f ca="1">AV79-AVERAGE(AV$62:AV$91)+Sheet2!W$17</f>
        <v>25.970326607750636</v>
      </c>
      <c r="BU79" s="2">
        <f ca="1">AW79-AVERAGE(AW$62:AW$91)+Sheet2!X$17</f>
        <v>19.973939002029805</v>
      </c>
      <c r="BV79" s="2">
        <f ca="1">AX79-AVERAGE(AX$62:AX$91)+Sheet2!Y$17</f>
        <v>18.185845880571925</v>
      </c>
      <c r="BW79" s="2">
        <f ca="1">AY79-AVERAGE(AY$62:AY$91)+Sheet2!Z$17</f>
        <v>10.576370568374621</v>
      </c>
      <c r="BZ79" s="2">
        <f ca="1">BA79-AVERAGE(AH$62:AH$91)+Sheet2!AB$17</f>
        <v>3.2355869627221496</v>
      </c>
      <c r="CA79" s="2">
        <f ca="1">BB79-AVERAGE(AI$62:AI$91)+Sheet2!AC$17</f>
        <v>24.088224096879156</v>
      </c>
      <c r="CB79" s="2">
        <f ca="1">BC79-AVERAGE(AJ$62:AJ$91)+Sheet2!AD$17</f>
        <v>4.1398076885107127</v>
      </c>
      <c r="CC79" s="2">
        <f ca="1">BD79-AVERAGE(AK$62:AK$91)+Sheet2!AE$17</f>
        <v>21.004706950708584</v>
      </c>
    </row>
    <row r="80" spans="2:81" x14ac:dyDescent="0.3">
      <c r="B80">
        <v>79</v>
      </c>
      <c r="C80" s="1">
        <v>3</v>
      </c>
      <c r="D80" s="2">
        <f t="shared" ca="1" si="8"/>
        <v>0.26005638956046673</v>
      </c>
      <c r="E80" s="2">
        <f t="shared" ca="1" si="8"/>
        <v>1.0521267166740178E-2</v>
      </c>
      <c r="F80" s="2">
        <f t="shared" ca="1" si="8"/>
        <v>0.78791520615265742</v>
      </c>
      <c r="G80" s="2">
        <f t="shared" ca="1" si="8"/>
        <v>0.13937418753795627</v>
      </c>
      <c r="H80" s="2">
        <f t="shared" ca="1" si="8"/>
        <v>0.11035341660237985</v>
      </c>
      <c r="I80" s="2">
        <f t="shared" ca="1" si="8"/>
        <v>0.59237421389955647</v>
      </c>
      <c r="J80" s="2">
        <f t="shared" ca="1" si="8"/>
        <v>0.96922084750976456</v>
      </c>
      <c r="K80" s="2">
        <f t="shared" ca="1" si="8"/>
        <v>0.71154610791534845</v>
      </c>
      <c r="L80" s="2">
        <f t="shared" ca="1" si="8"/>
        <v>0.89908109014631887</v>
      </c>
      <c r="M80" s="2">
        <f t="shared" ca="1" si="8"/>
        <v>0.72160620687152077</v>
      </c>
      <c r="N80" s="2">
        <f t="shared" ca="1" si="8"/>
        <v>0.15105860774789415</v>
      </c>
      <c r="O80" s="2">
        <f t="shared" ca="1" si="8"/>
        <v>0.59970526980642014</v>
      </c>
      <c r="P80" s="2">
        <f t="shared" ca="1" si="8"/>
        <v>2.1928112750674522E-2</v>
      </c>
      <c r="Q80" s="2">
        <f t="shared" ca="1" si="7"/>
        <v>0.20562814878239621</v>
      </c>
      <c r="R80" s="2">
        <f t="shared" ca="1" si="7"/>
        <v>0.66992106498071513</v>
      </c>
      <c r="S80" s="2">
        <f t="shared" ca="1" si="7"/>
        <v>0.19065164149796499</v>
      </c>
      <c r="T80" s="2">
        <f t="shared" ca="1" si="7"/>
        <v>0.94297574758407932</v>
      </c>
      <c r="U80" s="2">
        <f t="shared" ca="1" si="7"/>
        <v>0.1754208587818894</v>
      </c>
      <c r="V80" s="2">
        <f t="shared" ca="1" si="7"/>
        <v>0.65540341319248996</v>
      </c>
      <c r="W80" s="2">
        <f t="shared" ca="1" si="7"/>
        <v>0.99919640599920512</v>
      </c>
      <c r="X80" s="2">
        <f t="shared" ca="1" si="7"/>
        <v>0.74488811968783342</v>
      </c>
      <c r="Y80" s="2">
        <f t="shared" ca="1" si="7"/>
        <v>0.91053677181670523</v>
      </c>
      <c r="Z80" s="2">
        <f t="shared" ca="1" si="7"/>
        <v>0.65708821152799268</v>
      </c>
      <c r="AA80" s="2">
        <f t="shared" ca="1" si="7"/>
        <v>0.20798121809347847</v>
      </c>
      <c r="AB80" s="2">
        <f ca="1">D80*Sheet2!C$18/_xlfn.STDEV.S(D$62:D$91)</f>
        <v>0.81691554871170957</v>
      </c>
      <c r="AC80" s="2">
        <f ca="1">E80*Sheet2!D$18/_xlfn.STDEV.S(E$62:E$91)</f>
        <v>2.8453024146836894E-2</v>
      </c>
      <c r="AD80" s="2">
        <f ca="1">F80*Sheet2!E$18/_xlfn.STDEV.S(F$62:F$91)</f>
        <v>3.2234891449650487</v>
      </c>
      <c r="AE80" s="2">
        <f ca="1">G80*Sheet2!F$18/_xlfn.STDEV.S(G$62:G$91)</f>
        <v>1.708299584960568</v>
      </c>
      <c r="AF80" s="2">
        <f ca="1">H80*Sheet2!G$18/_xlfn.STDEV.S(H$62:H$91)</f>
        <v>2.3014773259397252</v>
      </c>
      <c r="AG80" s="2">
        <f ca="1">I80*Sheet2!H$18/_xlfn.STDEV.S(I$62:I$91)</f>
        <v>9.7551236625988764</v>
      </c>
      <c r="AH80" s="2">
        <f ca="1">J80*Sheet2!I$18/_xlfn.STDEV.S(J$62:J$91)</f>
        <v>3.050936641656818</v>
      </c>
      <c r="AI80" s="2">
        <f ca="1">K80*Sheet2!J$18/_xlfn.STDEV.S(K$62:K$91)</f>
        <v>4.4082866134801906</v>
      </c>
      <c r="AJ80" s="2">
        <f ca="1">L80*Sheet2!K$18/_xlfn.STDEV.S(L$62:L$91)</f>
        <v>7.0188270321761621</v>
      </c>
      <c r="AK80" s="2">
        <f ca="1">M80*Sheet2!L$18/_xlfn.STDEV.S(M$62:M$91)</f>
        <v>6.1421763529717222</v>
      </c>
      <c r="AL80" s="2">
        <f ca="1">N80*Sheet2!M$18/_xlfn.STDEV.S(N$62:N$91)</f>
        <v>0.80242176813688693</v>
      </c>
      <c r="AM80" s="2">
        <f ca="1">O80*Sheet2!N$18/_xlfn.STDEV.S(O$62:O$91)</f>
        <v>6.1363300060855979</v>
      </c>
      <c r="AN80" s="2">
        <f ca="1">P80*Sheet2!O$18/_xlfn.STDEV.S(P$62:P$91)</f>
        <v>9.6618468943877919E-2</v>
      </c>
      <c r="AO80" s="2">
        <f ca="1">Q80*Sheet2!P$18/_xlfn.STDEV.S(Q$62:Q$91)</f>
        <v>1.7723981961475428</v>
      </c>
      <c r="AP80" s="2">
        <f ca="1">R80*Sheet2!Q$18/_xlfn.STDEV.S(R$62:R$91)</f>
        <v>4.4848692746973517</v>
      </c>
      <c r="AQ80" s="2">
        <f ca="1">S80*Sheet2!R$18/_xlfn.STDEV.S(S$62:S$91)</f>
        <v>0.59580833628242957</v>
      </c>
      <c r="AR80" s="2">
        <f ca="1">T80*Sheet2!S$18/_xlfn.STDEV.S(T$62:T$91)</f>
        <v>2.0181289659521449</v>
      </c>
      <c r="AS80" s="2">
        <f ca="1">U80*Sheet2!T$18/_xlfn.STDEV.S(U$62:U$91)</f>
        <v>0.99397930752466435</v>
      </c>
      <c r="AT80" s="2">
        <f ca="1">V80*Sheet2!U$18/_xlfn.STDEV.S(V$62:V$91)</f>
        <v>2.7345927722235861</v>
      </c>
      <c r="AU80" s="2">
        <f ca="1">W80*Sheet2!V$18/_xlfn.STDEV.S(W$62:W$91)</f>
        <v>3.611662989117332</v>
      </c>
      <c r="AV80" s="2">
        <f ca="1">X80*Sheet2!W$18/_xlfn.STDEV.S(X$62:X$91)</f>
        <v>4.151649629381013</v>
      </c>
      <c r="AW80" s="2">
        <f ca="1">Y80*Sheet2!X$18/_xlfn.STDEV.S(Y$62:Y$91)</f>
        <v>6.9510395331349342</v>
      </c>
      <c r="AX80" s="2">
        <f ca="1">Z80*Sheet2!Y$18/_xlfn.STDEV.S(Z$62:Z$91)</f>
        <v>3.8090753423874468</v>
      </c>
      <c r="AY80" s="2">
        <f ca="1">AA80*Sheet2!Z$18/_xlfn.STDEV.S(AA$62:AA$91)</f>
        <v>0.77280460571964771</v>
      </c>
      <c r="AZ80" s="2">
        <f ca="1">AB80-AVERAGE(AB$62:AB$91)+Sheet2!C$17</f>
        <v>4.8639130555813557</v>
      </c>
      <c r="BA80" s="2">
        <f ca="1">AC80-AVERAGE(AC$62:AC$91)+Sheet2!D$17</f>
        <v>3.8769321459839761</v>
      </c>
      <c r="BB80" s="2">
        <f ca="1">AD80-AVERAGE(AD$62:AD$91)+Sheet2!E$17</f>
        <v>28.445136368657927</v>
      </c>
      <c r="BC80" s="2">
        <f ca="1">AE80-AVERAGE(AE$62:AE$91)+Sheet2!F$17</f>
        <v>-0.93241554545797545</v>
      </c>
      <c r="BD80" s="2">
        <f ca="1">AF80-AVERAGE(AF$62:AF$91)+Sheet2!G$17</f>
        <v>25.106038960767748</v>
      </c>
      <c r="BE80" s="2">
        <f ca="1">AG80-AVERAGE(AG$62:AG$91)+Sheet2!H$17</f>
        <v>22.9712139346952</v>
      </c>
      <c r="BF80" s="2">
        <f ca="1">AH80-AVERAGE(AH$62:AH$91)+Sheet2!I$17</f>
        <v>11.606022497879813</v>
      </c>
      <c r="BG80" s="2">
        <f ca="1">AI80-AVERAGE(AI$62:AI$91)+Sheet2!J$17</f>
        <v>27.050374097875899</v>
      </c>
      <c r="BH80" s="2">
        <f ca="1">AJ80-AVERAGE(AJ$62:AJ$91)+Sheet2!K$17</f>
        <v>24.291189132268649</v>
      </c>
      <c r="BI80" s="2">
        <f ca="1">AK80-AVERAGE(AK$62:AK$91)+Sheet2!L$17</f>
        <v>26.625504680117412</v>
      </c>
      <c r="BJ80" s="2">
        <f ca="1">AL80-AVERAGE(AL$62:AL$91)+Sheet2!M$17</f>
        <v>16.068558633884493</v>
      </c>
      <c r="BK80" s="2">
        <f ca="1">AM80-AVERAGE(AM$62:AM$91)+Sheet2!N$17</f>
        <v>18.284100326508483</v>
      </c>
      <c r="BL80" s="2">
        <f ca="1">AN80-AVERAGE(AN$62:AN$91)+Sheet2!O$17</f>
        <v>2.2434267681237028</v>
      </c>
      <c r="BM80" s="2">
        <f ca="1">AO80-AVERAGE(AO$62:AO$91)+Sheet2!P$17</f>
        <v>15.234079667340184</v>
      </c>
      <c r="BN80" s="2">
        <f ca="1">AP80-AVERAGE(AP$62:AP$91)+Sheet2!Q$17</f>
        <v>12.370305745596529</v>
      </c>
      <c r="BO80" s="2">
        <f ca="1">AQ80-AVERAGE(AQ$62:AQ$91)+Sheet2!R$17</f>
        <v>9.8934375374688504</v>
      </c>
      <c r="BP80" s="2">
        <f ca="1">AR80-AVERAGE(AR$62:AR$91)+Sheet2!S$17</f>
        <v>5.3523438811917412</v>
      </c>
      <c r="BQ80" s="2">
        <f ca="1">AS80-AVERAGE(AS$62:AS$91)+Sheet2!T$17</f>
        <v>11.83666951314158</v>
      </c>
      <c r="BR80" s="2">
        <f ca="1">AT80-AVERAGE(AT$62:AT$91)+Sheet2!U$17</f>
        <v>22.205132161431091</v>
      </c>
      <c r="BS80" s="2">
        <f ca="1">AU80-AVERAGE(AU$62:AU$91)+Sheet2!V$17</f>
        <v>22.898296282521699</v>
      </c>
      <c r="BT80" s="2">
        <f ca="1">AV80-AVERAGE(AV$62:AV$91)+Sheet2!W$17</f>
        <v>29.757643059026417</v>
      </c>
      <c r="BU80" s="2">
        <f ca="1">AW80-AVERAGE(AW$62:AW$91)+Sheet2!X$17</f>
        <v>24.451093675173993</v>
      </c>
      <c r="BV80" s="2">
        <f ca="1">AX80-AVERAGE(AX$62:AX$91)+Sheet2!Y$17</f>
        <v>20.066360276786284</v>
      </c>
      <c r="BW80" s="2">
        <f ca="1">AY80-AVERAGE(AY$62:AY$91)+Sheet2!Z$17</f>
        <v>8.5520218947221291</v>
      </c>
      <c r="BZ80" s="2">
        <f ca="1">BA80-AVERAGE(AH$62:AH$91)+Sheet2!AB$17</f>
        <v>2.294574473708253</v>
      </c>
      <c r="CA80" s="2">
        <f ca="1">BB80-AVERAGE(AI$62:AI$91)+Sheet2!AC$17</f>
        <v>25.843195432817939</v>
      </c>
      <c r="CB80" s="2">
        <f ca="1">BC80-AVERAGE(AJ$62:AJ$91)+Sheet2!AD$17</f>
        <v>-4.5615383532891993</v>
      </c>
      <c r="CC80" s="2">
        <f ca="1">BD80-AVERAGE(AK$62:AK$91)+Sheet2!AE$17</f>
        <v>20.327779156379133</v>
      </c>
    </row>
    <row r="81" spans="2:81" x14ac:dyDescent="0.3">
      <c r="B81">
        <v>80</v>
      </c>
      <c r="C81" s="1">
        <v>3</v>
      </c>
      <c r="D81" s="2">
        <f t="shared" ca="1" si="8"/>
        <v>0.67782384022323694</v>
      </c>
      <c r="E81" s="2">
        <f t="shared" ca="1" si="8"/>
        <v>0.90162255430489724</v>
      </c>
      <c r="F81" s="2">
        <f t="shared" ca="1" si="8"/>
        <v>0.71484692511752357</v>
      </c>
      <c r="G81" s="2">
        <f t="shared" ca="1" si="8"/>
        <v>0.34730017308598027</v>
      </c>
      <c r="H81" s="2">
        <f t="shared" ca="1" si="8"/>
        <v>0.81826438070434115</v>
      </c>
      <c r="I81" s="2">
        <f t="shared" ca="1" si="8"/>
        <v>0.35113351858512853</v>
      </c>
      <c r="J81" s="2">
        <f t="shared" ca="1" si="8"/>
        <v>5.0737569644982772E-2</v>
      </c>
      <c r="K81" s="2">
        <f t="shared" ca="1" si="8"/>
        <v>0.29122711719264627</v>
      </c>
      <c r="L81" s="2">
        <f t="shared" ca="1" si="8"/>
        <v>0.25526781543323451</v>
      </c>
      <c r="M81" s="2">
        <f t="shared" ca="1" si="8"/>
        <v>0.71191040249485904</v>
      </c>
      <c r="N81" s="2">
        <f t="shared" ca="1" si="8"/>
        <v>9.8795788785678296E-3</v>
      </c>
      <c r="O81" s="2">
        <f t="shared" ca="1" si="8"/>
        <v>0.34917522160699799</v>
      </c>
      <c r="P81" s="2">
        <f t="shared" ca="1" si="8"/>
        <v>0.79950783465530562</v>
      </c>
      <c r="Q81" s="2">
        <f t="shared" ca="1" si="7"/>
        <v>0.67013686904969239</v>
      </c>
      <c r="R81" s="2">
        <f t="shared" ca="1" si="7"/>
        <v>0.45805199212745595</v>
      </c>
      <c r="S81" s="2">
        <f t="shared" ca="1" si="7"/>
        <v>0.75233525316859617</v>
      </c>
      <c r="T81" s="2">
        <f t="shared" ca="1" si="7"/>
        <v>0.93048742695659459</v>
      </c>
      <c r="U81" s="2">
        <f t="shared" ca="1" si="7"/>
        <v>0.6601582241372419</v>
      </c>
      <c r="V81" s="2">
        <f t="shared" ca="1" si="7"/>
        <v>0.80849120088082194</v>
      </c>
      <c r="W81" s="2">
        <f t="shared" ca="1" si="7"/>
        <v>0.97219949337111888</v>
      </c>
      <c r="X81" s="2">
        <f t="shared" ca="1" si="7"/>
        <v>0.16210676533616863</v>
      </c>
      <c r="Y81" s="2">
        <f t="shared" ca="1" si="7"/>
        <v>0.83488434277902557</v>
      </c>
      <c r="Z81" s="2">
        <f t="shared" ca="1" si="7"/>
        <v>0.90892459627871303</v>
      </c>
      <c r="AA81" s="2">
        <f t="shared" ca="1" si="7"/>
        <v>0.8354981943590335</v>
      </c>
      <c r="AB81" s="2">
        <f ca="1">D81*Sheet2!C$18/_xlfn.STDEV.S(D$62:D$91)</f>
        <v>2.1292491036337138</v>
      </c>
      <c r="AC81" s="2">
        <f ca="1">E81*Sheet2!D$18/_xlfn.STDEV.S(E$62:E$91)</f>
        <v>2.4382888393963662</v>
      </c>
      <c r="AD81" s="2">
        <f ca="1">F81*Sheet2!E$18/_xlfn.STDEV.S(F$62:F$91)</f>
        <v>2.9245549336200081</v>
      </c>
      <c r="AE81" s="2">
        <f ca="1">G81*Sheet2!F$18/_xlfn.STDEV.S(G$62:G$91)</f>
        <v>4.256833722370148</v>
      </c>
      <c r="AF81" s="2">
        <f ca="1">H81*Sheet2!G$18/_xlfn.STDEV.S(H$62:H$91)</f>
        <v>17.06532499669375</v>
      </c>
      <c r="AG81" s="2">
        <f ca="1">I81*Sheet2!H$18/_xlfn.STDEV.S(I$62:I$91)</f>
        <v>5.7824105362935247</v>
      </c>
      <c r="AH81" s="2">
        <f ca="1">J81*Sheet2!I$18/_xlfn.STDEV.S(J$62:J$91)</f>
        <v>0.15971293925034263</v>
      </c>
      <c r="AI81" s="2">
        <f ca="1">K81*Sheet2!J$18/_xlfn.STDEV.S(K$62:K$91)</f>
        <v>1.8042577816411898</v>
      </c>
      <c r="AJ81" s="2">
        <f ca="1">L81*Sheet2!K$18/_xlfn.STDEV.S(L$62:L$91)</f>
        <v>1.9927909318121226</v>
      </c>
      <c r="AK81" s="2">
        <f ca="1">M81*Sheet2!L$18/_xlfn.STDEV.S(M$62:M$91)</f>
        <v>6.0596474891700085</v>
      </c>
      <c r="AL81" s="2">
        <f ca="1">N81*Sheet2!M$18/_xlfn.STDEV.S(N$62:N$91)</f>
        <v>5.2480221222605282E-2</v>
      </c>
      <c r="AM81" s="2">
        <f ca="1">O81*Sheet2!N$18/_xlfn.STDEV.S(O$62:O$91)</f>
        <v>3.5728456920517653</v>
      </c>
      <c r="AN81" s="2">
        <f ca="1">P81*Sheet2!O$18/_xlfn.STDEV.S(P$62:P$91)</f>
        <v>3.5227483446177814</v>
      </c>
      <c r="AO81" s="2">
        <f ca="1">Q81*Sheet2!P$18/_xlfn.STDEV.S(Q$62:Q$91)</f>
        <v>5.7762003155149735</v>
      </c>
      <c r="AP81" s="2">
        <f ca="1">R81*Sheet2!Q$18/_xlfn.STDEV.S(R$62:R$91)</f>
        <v>3.0664856101598734</v>
      </c>
      <c r="AQ81" s="2">
        <f ca="1">S81*Sheet2!R$18/_xlfn.STDEV.S(S$62:S$91)</f>
        <v>2.3511343096502335</v>
      </c>
      <c r="AR81" s="2">
        <f ca="1">T81*Sheet2!S$18/_xlfn.STDEV.S(T$62:T$91)</f>
        <v>1.9914018293752018</v>
      </c>
      <c r="AS81" s="2">
        <f ca="1">U81*Sheet2!T$18/_xlfn.STDEV.S(U$62:U$91)</f>
        <v>3.7406247982203635</v>
      </c>
      <c r="AT81" s="2">
        <f ca="1">V81*Sheet2!U$18/_xlfn.STDEV.S(V$62:V$91)</f>
        <v>3.3733333544384978</v>
      </c>
      <c r="AU81" s="2">
        <f ca="1">W81*Sheet2!V$18/_xlfn.STDEV.S(W$62:W$91)</f>
        <v>3.514080822514372</v>
      </c>
      <c r="AV81" s="2">
        <f ca="1">X81*Sheet2!W$18/_xlfn.STDEV.S(X$62:X$91)</f>
        <v>0.90350547208365128</v>
      </c>
      <c r="AW81" s="2">
        <f ca="1">Y81*Sheet2!X$18/_xlfn.STDEV.S(Y$62:Y$91)</f>
        <v>6.3735087388877192</v>
      </c>
      <c r="AX81" s="2">
        <f ca="1">Z81*Sheet2!Y$18/_xlfn.STDEV.S(Z$62:Z$91)</f>
        <v>5.2689459452084826</v>
      </c>
      <c r="AY81" s="2">
        <f ca="1">AA81*Sheet2!Z$18/_xlfn.STDEV.S(AA$62:AA$91)</f>
        <v>3.1044959664622547</v>
      </c>
      <c r="AZ81" s="2">
        <f ca="1">AB81-AVERAGE(AB$62:AB$91)+Sheet2!C$17</f>
        <v>6.1762466105033598</v>
      </c>
      <c r="BA81" s="2">
        <f ca="1">AC81-AVERAGE(AC$62:AC$91)+Sheet2!D$17</f>
        <v>6.2867679612335055</v>
      </c>
      <c r="BB81" s="2">
        <f ca="1">AD81-AVERAGE(AD$62:AD$91)+Sheet2!E$17</f>
        <v>28.146202157312889</v>
      </c>
      <c r="BC81" s="2">
        <f ca="1">AE81-AVERAGE(AE$62:AE$91)+Sheet2!F$17</f>
        <v>1.6161185919516043</v>
      </c>
      <c r="BD81" s="2">
        <f ca="1">AF81-AVERAGE(AF$62:AF$91)+Sheet2!G$17</f>
        <v>39.869886631521773</v>
      </c>
      <c r="BE81" s="2">
        <f ca="1">AG81-AVERAGE(AG$62:AG$91)+Sheet2!H$17</f>
        <v>18.998500808389849</v>
      </c>
      <c r="BF81" s="2">
        <f ca="1">AH81-AVERAGE(AH$62:AH$91)+Sheet2!I$17</f>
        <v>8.714798795473337</v>
      </c>
      <c r="BG81" s="2">
        <f ca="1">AI81-AVERAGE(AI$62:AI$91)+Sheet2!J$17</f>
        <v>24.4463452660369</v>
      </c>
      <c r="BH81" s="2">
        <f ca="1">AJ81-AVERAGE(AJ$62:AJ$91)+Sheet2!K$17</f>
        <v>19.265153031904607</v>
      </c>
      <c r="BI81" s="2">
        <f ca="1">AK81-AVERAGE(AK$62:AK$91)+Sheet2!L$17</f>
        <v>26.5429758163157</v>
      </c>
      <c r="BJ81" s="2">
        <f ca="1">AL81-AVERAGE(AL$62:AL$91)+Sheet2!M$17</f>
        <v>15.31861708697021</v>
      </c>
      <c r="BK81" s="2">
        <f ca="1">AM81-AVERAGE(AM$62:AM$91)+Sheet2!N$17</f>
        <v>15.72061601247465</v>
      </c>
      <c r="BL81" s="2">
        <f ca="1">AN81-AVERAGE(AN$62:AN$91)+Sheet2!O$17</f>
        <v>5.6695566437976064</v>
      </c>
      <c r="BM81" s="2">
        <f ca="1">AO81-AVERAGE(AO$62:AO$91)+Sheet2!P$17</f>
        <v>19.237881786707614</v>
      </c>
      <c r="BN81" s="2">
        <f ca="1">AP81-AVERAGE(AP$62:AP$91)+Sheet2!Q$17</f>
        <v>10.951922081059049</v>
      </c>
      <c r="BO81" s="2">
        <f ca="1">AQ81-AVERAGE(AQ$62:AQ$91)+Sheet2!R$17</f>
        <v>11.648763510836654</v>
      </c>
      <c r="BP81" s="2">
        <f ca="1">AR81-AVERAGE(AR$62:AR$91)+Sheet2!S$17</f>
        <v>5.3256167446147975</v>
      </c>
      <c r="BQ81" s="2">
        <f ca="1">AS81-AVERAGE(AS$62:AS$91)+Sheet2!T$17</f>
        <v>14.58331500383728</v>
      </c>
      <c r="BR81" s="2">
        <f ca="1">AT81-AVERAGE(AT$62:AT$91)+Sheet2!U$17</f>
        <v>22.843872743646003</v>
      </c>
      <c r="BS81" s="2">
        <f ca="1">AU81-AVERAGE(AU$62:AU$91)+Sheet2!V$17</f>
        <v>22.800714115918737</v>
      </c>
      <c r="BT81" s="2">
        <f ca="1">AV81-AVERAGE(AV$62:AV$91)+Sheet2!W$17</f>
        <v>26.509498901729053</v>
      </c>
      <c r="BU81" s="2">
        <f ca="1">AW81-AVERAGE(AW$62:AW$91)+Sheet2!X$17</f>
        <v>23.87356288092678</v>
      </c>
      <c r="BV81" s="2">
        <f ca="1">AX81-AVERAGE(AX$62:AX$91)+Sheet2!Y$17</f>
        <v>21.526230879607319</v>
      </c>
      <c r="BW81" s="2">
        <f ca="1">AY81-AVERAGE(AY$62:AY$91)+Sheet2!Z$17</f>
        <v>10.883713255464736</v>
      </c>
      <c r="BZ81" s="2">
        <f ca="1">BA81-AVERAGE(AH$62:AH$91)+Sheet2!AB$17</f>
        <v>4.7044102889577823</v>
      </c>
      <c r="CA81" s="2">
        <f ca="1">BB81-AVERAGE(AI$62:AI$91)+Sheet2!AC$17</f>
        <v>25.544261221472901</v>
      </c>
      <c r="CB81" s="2">
        <f ca="1">BC81-AVERAGE(AJ$62:AJ$91)+Sheet2!AD$17</f>
        <v>-2.01300421587962</v>
      </c>
      <c r="CC81" s="2">
        <f ca="1">BD81-AVERAGE(AK$62:AK$91)+Sheet2!AE$17</f>
        <v>35.091626827133162</v>
      </c>
    </row>
    <row r="82" spans="2:81" x14ac:dyDescent="0.3">
      <c r="B82">
        <v>81</v>
      </c>
      <c r="C82" s="1">
        <v>3</v>
      </c>
      <c r="D82" s="2">
        <f t="shared" ca="1" si="8"/>
        <v>0.46286164465340618</v>
      </c>
      <c r="E82" s="2">
        <f t="shared" ca="1" si="8"/>
        <v>0.6555719231941789</v>
      </c>
      <c r="F82" s="2">
        <f t="shared" ca="1" si="8"/>
        <v>0.11062770901766084</v>
      </c>
      <c r="G82" s="2">
        <f t="shared" ca="1" si="8"/>
        <v>0.12729560261626849</v>
      </c>
      <c r="H82" s="2">
        <f t="shared" ca="1" si="8"/>
        <v>9.8310290243022957E-2</v>
      </c>
      <c r="I82" s="2">
        <f t="shared" ca="1" si="8"/>
        <v>0.43862520339955058</v>
      </c>
      <c r="J82" s="2">
        <f t="shared" ca="1" si="8"/>
        <v>0.40553626746057647</v>
      </c>
      <c r="K82" s="2">
        <f t="shared" ca="1" si="8"/>
        <v>0.91719648752549077</v>
      </c>
      <c r="L82" s="2">
        <f t="shared" ca="1" si="8"/>
        <v>0.45692997745291664</v>
      </c>
      <c r="M82" s="2">
        <f t="shared" ca="1" si="8"/>
        <v>0.22481292298482602</v>
      </c>
      <c r="N82" s="2">
        <f t="shared" ca="1" si="8"/>
        <v>0.86478525861407052</v>
      </c>
      <c r="O82" s="2">
        <f t="shared" ca="1" si="8"/>
        <v>0.55418668063927301</v>
      </c>
      <c r="P82" s="2">
        <f t="shared" ca="1" si="8"/>
        <v>0.26836771884765553</v>
      </c>
      <c r="Q82" s="2">
        <f t="shared" ca="1" si="8"/>
        <v>0.76577790142640068</v>
      </c>
      <c r="R82" s="2">
        <f t="shared" ca="1" si="8"/>
        <v>0.24443918082359184</v>
      </c>
      <c r="S82" s="2">
        <f t="shared" ca="1" si="8"/>
        <v>0.59771310108096354</v>
      </c>
      <c r="T82" s="2">
        <f t="shared" ca="1" si="7"/>
        <v>0.51261681871272258</v>
      </c>
      <c r="U82" s="2">
        <f t="shared" ca="1" si="7"/>
        <v>0.43926326039280905</v>
      </c>
      <c r="V82" s="2">
        <f t="shared" ca="1" si="7"/>
        <v>0.9280892464362096</v>
      </c>
      <c r="W82" s="2">
        <f t="shared" ca="1" si="7"/>
        <v>0.851266067930328</v>
      </c>
      <c r="X82" s="2">
        <f t="shared" ca="1" si="7"/>
        <v>0.46231248650018864</v>
      </c>
      <c r="Y82" s="2">
        <f t="shared" ca="1" si="7"/>
        <v>0.62074031906304827</v>
      </c>
      <c r="Z82" s="2">
        <f t="shared" ca="1" si="7"/>
        <v>0.22510896645034784</v>
      </c>
      <c r="AA82" s="2">
        <f t="shared" ca="1" si="7"/>
        <v>0.56470795316858746</v>
      </c>
      <c r="AB82" s="2">
        <f ca="1">D82*Sheet2!C$18/_xlfn.STDEV.S(D$62:D$91)</f>
        <v>1.4539880179783997</v>
      </c>
      <c r="AC82" s="2">
        <f ca="1">E82*Sheet2!D$18/_xlfn.STDEV.S(E$62:E$91)</f>
        <v>1.7728856671939797</v>
      </c>
      <c r="AD82" s="2">
        <f ca="1">F82*Sheet2!E$18/_xlfn.STDEV.S(F$62:F$91)</f>
        <v>0.45259593464641112</v>
      </c>
      <c r="AE82" s="2">
        <f ca="1">G82*Sheet2!F$18/_xlfn.STDEV.S(G$62:G$91)</f>
        <v>1.5602532216193579</v>
      </c>
      <c r="AF82" s="2">
        <f ca="1">H82*Sheet2!G$18/_xlfn.STDEV.S(H$62:H$91)</f>
        <v>2.0503117245215519</v>
      </c>
      <c r="AG82" s="2">
        <f ca="1">I82*Sheet2!H$18/_xlfn.STDEV.S(I$62:I$91)</f>
        <v>7.2232095866021702</v>
      </c>
      <c r="AH82" s="2">
        <f ca="1">J82*Sheet2!I$18/_xlfn.STDEV.S(J$62:J$91)</f>
        <v>1.2765567941456679</v>
      </c>
      <c r="AI82" s="2">
        <f ca="1">K82*Sheet2!J$18/_xlfn.STDEV.S(K$62:K$91)</f>
        <v>5.6823654193477688</v>
      </c>
      <c r="AJ82" s="2">
        <f ca="1">L82*Sheet2!K$18/_xlfn.STDEV.S(L$62:L$91)</f>
        <v>3.5671003569169062</v>
      </c>
      <c r="AK82" s="2">
        <f ca="1">M82*Sheet2!L$18/_xlfn.STDEV.S(M$62:M$91)</f>
        <v>1.9135653300245306</v>
      </c>
      <c r="AL82" s="2">
        <f ca="1">N82*Sheet2!M$18/_xlfn.STDEV.S(N$62:N$91)</f>
        <v>4.5937303846592039</v>
      </c>
      <c r="AM82" s="2">
        <f ca="1">O82*Sheet2!N$18/_xlfn.STDEV.S(O$62:O$91)</f>
        <v>5.6705727439704772</v>
      </c>
      <c r="AN82" s="2">
        <f ca="1">P82*Sheet2!O$18/_xlfn.STDEV.S(P$62:P$91)</f>
        <v>1.1824673834835133</v>
      </c>
      <c r="AO82" s="2">
        <f ca="1">Q82*Sheet2!P$18/_xlfn.STDEV.S(Q$62:Q$91)</f>
        <v>6.6005718534873976</v>
      </c>
      <c r="AP82" s="2">
        <f ca="1">R82*Sheet2!Q$18/_xlfn.STDEV.S(R$62:R$91)</f>
        <v>1.6364282732913846</v>
      </c>
      <c r="AQ82" s="2">
        <f ca="1">S82*Sheet2!R$18/_xlfn.STDEV.S(S$62:S$91)</f>
        <v>1.867922277149981</v>
      </c>
      <c r="AR82" s="2">
        <f ca="1">T82*Sheet2!S$18/_xlfn.STDEV.S(T$62:T$91)</f>
        <v>1.0970874414626899</v>
      </c>
      <c r="AS82" s="2">
        <f ca="1">U82*Sheet2!T$18/_xlfn.STDEV.S(U$62:U$91)</f>
        <v>2.4889776188425978</v>
      </c>
      <c r="AT82" s="2">
        <f ca="1">V82*Sheet2!U$18/_xlfn.STDEV.S(V$62:V$91)</f>
        <v>3.8723419716728058</v>
      </c>
      <c r="AU82" s="2">
        <f ca="1">W82*Sheet2!V$18/_xlfn.STDEV.S(W$62:W$91)</f>
        <v>3.0769587770493363</v>
      </c>
      <c r="AV82" s="2">
        <f ca="1">X82*Sheet2!W$18/_xlfn.STDEV.S(X$62:X$91)</f>
        <v>2.5767083841276524</v>
      </c>
      <c r="AW82" s="2">
        <f ca="1">Y82*Sheet2!X$18/_xlfn.STDEV.S(Y$62:Y$91)</f>
        <v>4.7387328344896611</v>
      </c>
      <c r="AX82" s="2">
        <f ca="1">Z82*Sheet2!Y$18/_xlfn.STDEV.S(Z$62:Z$91)</f>
        <v>1.3049344036509387</v>
      </c>
      <c r="AY82" s="2">
        <f ca="1">AA82*Sheet2!Z$18/_xlfn.STDEV.S(AA$62:AA$91)</f>
        <v>2.0983092179941591</v>
      </c>
      <c r="AZ82" s="2">
        <f ca="1">AB82-AVERAGE(AB$62:AB$91)+Sheet2!C$17</f>
        <v>5.5009855248480459</v>
      </c>
      <c r="BA82" s="2">
        <f ca="1">AC82-AVERAGE(AC$62:AC$91)+Sheet2!D$17</f>
        <v>5.6213647890311194</v>
      </c>
      <c r="BB82" s="2">
        <f ca="1">AD82-AVERAGE(AD$62:AD$91)+Sheet2!E$17</f>
        <v>25.674243158339291</v>
      </c>
      <c r="BC82" s="2">
        <f ca="1">AE82-AVERAGE(AE$62:AE$91)+Sheet2!F$17</f>
        <v>-1.0804619087991858</v>
      </c>
      <c r="BD82" s="2">
        <f ca="1">AF82-AVERAGE(AF$62:AF$91)+Sheet2!G$17</f>
        <v>24.854873359349575</v>
      </c>
      <c r="BE82" s="2">
        <f ca="1">AG82-AVERAGE(AG$62:AG$91)+Sheet2!H$17</f>
        <v>20.439299858698497</v>
      </c>
      <c r="BF82" s="2">
        <f ca="1">AH82-AVERAGE(AH$62:AH$91)+Sheet2!I$17</f>
        <v>9.8316426503686625</v>
      </c>
      <c r="BG82" s="2">
        <f ca="1">AI82-AVERAGE(AI$62:AI$91)+Sheet2!J$17</f>
        <v>28.324452903743477</v>
      </c>
      <c r="BH82" s="2">
        <f ca="1">AJ82-AVERAGE(AJ$62:AJ$91)+Sheet2!K$17</f>
        <v>20.83946245700939</v>
      </c>
      <c r="BI82" s="2">
        <f ca="1">AK82-AVERAGE(AK$62:AK$91)+Sheet2!L$17</f>
        <v>22.396893657170221</v>
      </c>
      <c r="BJ82" s="2">
        <f ca="1">AL82-AVERAGE(AL$62:AL$91)+Sheet2!M$17</f>
        <v>19.859867250406808</v>
      </c>
      <c r="BK82" s="2">
        <f ca="1">AM82-AVERAGE(AM$62:AM$91)+Sheet2!N$17</f>
        <v>17.81834306439336</v>
      </c>
      <c r="BL82" s="2">
        <f ca="1">AN82-AVERAGE(AN$62:AN$91)+Sheet2!O$17</f>
        <v>3.3292756826633383</v>
      </c>
      <c r="BM82" s="2">
        <f ca="1">AO82-AVERAGE(AO$62:AO$91)+Sheet2!P$17</f>
        <v>20.062253324680039</v>
      </c>
      <c r="BN82" s="2">
        <f ca="1">AP82-AVERAGE(AP$62:AP$91)+Sheet2!Q$17</f>
        <v>9.5218647441905606</v>
      </c>
      <c r="BO82" s="2">
        <f ca="1">AQ82-AVERAGE(AQ$62:AQ$91)+Sheet2!R$17</f>
        <v>11.165551478336402</v>
      </c>
      <c r="BP82" s="2">
        <f ca="1">AR82-AVERAGE(AR$62:AR$91)+Sheet2!S$17</f>
        <v>4.431302356702286</v>
      </c>
      <c r="BQ82" s="2">
        <f ca="1">AS82-AVERAGE(AS$62:AS$91)+Sheet2!T$17</f>
        <v>13.331667824459513</v>
      </c>
      <c r="BR82" s="2">
        <f ca="1">AT82-AVERAGE(AT$62:AT$91)+Sheet2!U$17</f>
        <v>23.342881360880313</v>
      </c>
      <c r="BS82" s="2">
        <f ca="1">AU82-AVERAGE(AU$62:AU$91)+Sheet2!V$17</f>
        <v>22.363592070453702</v>
      </c>
      <c r="BT82" s="2">
        <f ca="1">AV82-AVERAGE(AV$62:AV$91)+Sheet2!W$17</f>
        <v>28.182701813773058</v>
      </c>
      <c r="BU82" s="2">
        <f ca="1">AW82-AVERAGE(AW$62:AW$91)+Sheet2!X$17</f>
        <v>22.238786976528722</v>
      </c>
      <c r="BV82" s="2">
        <f ca="1">AX82-AVERAGE(AX$62:AX$91)+Sheet2!Y$17</f>
        <v>17.562219338049776</v>
      </c>
      <c r="BW82" s="2">
        <f ca="1">AY82-AVERAGE(AY$62:AY$91)+Sheet2!Z$17</f>
        <v>9.8775265069966398</v>
      </c>
      <c r="BZ82" s="2">
        <f ca="1">BA82-AVERAGE(AH$62:AH$91)+Sheet2!AB$17</f>
        <v>4.0390071167553963</v>
      </c>
      <c r="CA82" s="2">
        <f ca="1">BB82-AVERAGE(AI$62:AI$91)+Sheet2!AC$17</f>
        <v>23.072302222499303</v>
      </c>
      <c r="CB82" s="2">
        <f ca="1">BC82-AVERAGE(AJ$62:AJ$91)+Sheet2!AD$17</f>
        <v>-4.7095847166304097</v>
      </c>
      <c r="CC82" s="2">
        <f ca="1">BD82-AVERAGE(AK$62:AK$91)+Sheet2!AE$17</f>
        <v>20.076613554960961</v>
      </c>
    </row>
    <row r="83" spans="2:81" x14ac:dyDescent="0.3">
      <c r="B83">
        <v>82</v>
      </c>
      <c r="C83" s="1">
        <v>3</v>
      </c>
      <c r="D83" s="2">
        <f t="shared" ca="1" si="8"/>
        <v>6.9500393025289098E-3</v>
      </c>
      <c r="E83" s="2">
        <f t="shared" ca="1" si="8"/>
        <v>0.49472137877071576</v>
      </c>
      <c r="F83" s="2">
        <f t="shared" ca="1" si="8"/>
        <v>0.11513138876446438</v>
      </c>
      <c r="G83" s="2">
        <f t="shared" ca="1" si="8"/>
        <v>0.58558786445872113</v>
      </c>
      <c r="H83" s="2">
        <f t="shared" ca="1" si="8"/>
        <v>0.75246697614302227</v>
      </c>
      <c r="I83" s="2">
        <f t="shared" ca="1" si="8"/>
        <v>0.55247929188976441</v>
      </c>
      <c r="J83" s="2">
        <f t="shared" ca="1" si="8"/>
        <v>0.91452130971977574</v>
      </c>
      <c r="K83" s="2">
        <f t="shared" ca="1" si="8"/>
        <v>8.5191748236734366E-2</v>
      </c>
      <c r="L83" s="2">
        <f t="shared" ca="1" si="8"/>
        <v>0.48098834918092281</v>
      </c>
      <c r="M83" s="2">
        <f t="shared" ca="1" si="8"/>
        <v>0.88728128378495252</v>
      </c>
      <c r="N83" s="2">
        <f t="shared" ca="1" si="8"/>
        <v>0.26820492716904443</v>
      </c>
      <c r="O83" s="2">
        <f t="shared" ca="1" si="8"/>
        <v>0.52362653962627459</v>
      </c>
      <c r="P83" s="2">
        <f t="shared" ca="1" si="8"/>
        <v>0.64069871702078895</v>
      </c>
      <c r="Q83" s="2">
        <f t="shared" ca="1" si="8"/>
        <v>0.35211144115378212</v>
      </c>
      <c r="R83" s="2">
        <f t="shared" ca="1" si="8"/>
        <v>0.57766985698359863</v>
      </c>
      <c r="S83" s="2">
        <f t="shared" ca="1" si="8"/>
        <v>0.49148344171641412</v>
      </c>
      <c r="T83" s="2">
        <f t="shared" ca="1" si="7"/>
        <v>0.4642006913978568</v>
      </c>
      <c r="U83" s="2">
        <f t="shared" ca="1" si="7"/>
        <v>0.97967715967033997</v>
      </c>
      <c r="V83" s="2">
        <f t="shared" ca="1" si="7"/>
        <v>0.65425117460532223</v>
      </c>
      <c r="W83" s="2">
        <f t="shared" ca="1" si="7"/>
        <v>0.25662149957101088</v>
      </c>
      <c r="X83" s="2">
        <f t="shared" ca="1" si="7"/>
        <v>0.25491725131551757</v>
      </c>
      <c r="Y83" s="2">
        <f t="shared" ca="1" si="7"/>
        <v>0.12670803631326555</v>
      </c>
      <c r="Z83" s="2">
        <f t="shared" ca="1" si="7"/>
        <v>0.86872451269628526</v>
      </c>
      <c r="AA83" s="2">
        <f t="shared" ca="1" si="7"/>
        <v>0.72654506118867801</v>
      </c>
      <c r="AB83" s="2">
        <f ca="1">D83*Sheet2!C$18/_xlfn.STDEV.S(D$62:D$91)</f>
        <v>2.1832169476740472E-2</v>
      </c>
      <c r="AC83" s="2">
        <f ca="1">E83*Sheet2!D$18/_xlfn.STDEV.S(E$62:E$91)</f>
        <v>1.3378920155756207</v>
      </c>
      <c r="AD83" s="2">
        <f ca="1">F83*Sheet2!E$18/_xlfn.STDEV.S(F$62:F$91)</f>
        <v>0.47102122034067839</v>
      </c>
      <c r="AE83" s="2">
        <f ca="1">G83*Sheet2!F$18/_xlfn.STDEV.S(G$62:G$91)</f>
        <v>7.1775091463069307</v>
      </c>
      <c r="AF83" s="2">
        <f ca="1">H83*Sheet2!G$18/_xlfn.STDEV.S(H$62:H$91)</f>
        <v>15.693086244456582</v>
      </c>
      <c r="AG83" s="2">
        <f ca="1">I83*Sheet2!H$18/_xlfn.STDEV.S(I$62:I$91)</f>
        <v>9.0981404776737307</v>
      </c>
      <c r="AH83" s="2">
        <f ca="1">J83*Sheet2!I$18/_xlfn.STDEV.S(J$62:J$91)</f>
        <v>2.87875212400643</v>
      </c>
      <c r="AI83" s="2">
        <f ca="1">K83*Sheet2!J$18/_xlfn.STDEV.S(K$62:K$91)</f>
        <v>0.52779382692603982</v>
      </c>
      <c r="AJ83" s="2">
        <f ca="1">L83*Sheet2!K$18/_xlfn.STDEV.S(L$62:L$91)</f>
        <v>3.7549160630699427</v>
      </c>
      <c r="AK83" s="2">
        <f ca="1">M83*Sheet2!L$18/_xlfn.STDEV.S(M$62:M$91)</f>
        <v>7.5523714566228088</v>
      </c>
      <c r="AL83" s="2">
        <f ca="1">N83*Sheet2!M$18/_xlfn.STDEV.S(N$62:N$91)</f>
        <v>1.4247018100496815</v>
      </c>
      <c r="AM83" s="2">
        <f ca="1">O83*Sheet2!N$18/_xlfn.STDEV.S(O$62:O$91)</f>
        <v>5.3578739572001002</v>
      </c>
      <c r="AN83" s="2">
        <f ca="1">P83*Sheet2!O$18/_xlfn.STDEV.S(P$62:P$91)</f>
        <v>2.8230121669249142</v>
      </c>
      <c r="AO83" s="2">
        <f ca="1">Q83*Sheet2!P$18/_xlfn.STDEV.S(Q$62:Q$91)</f>
        <v>3.0350012235158661</v>
      </c>
      <c r="AP83" s="2">
        <f ca="1">R83*Sheet2!Q$18/_xlfn.STDEV.S(R$62:R$91)</f>
        <v>3.8672821738769101</v>
      </c>
      <c r="AQ83" s="2">
        <f ca="1">S83*Sheet2!R$18/_xlfn.STDEV.S(S$62:S$91)</f>
        <v>1.535942357582821</v>
      </c>
      <c r="AR83" s="2">
        <f ca="1">T83*Sheet2!S$18/_xlfn.STDEV.S(T$62:T$91)</f>
        <v>0.99346866950201951</v>
      </c>
      <c r="AS83" s="2">
        <f ca="1">U83*Sheet2!T$18/_xlfn.STDEV.S(U$62:U$91)</f>
        <v>5.5511005448765278</v>
      </c>
      <c r="AT83" s="2">
        <f ca="1">V83*Sheet2!U$18/_xlfn.STDEV.S(V$62:V$91)</f>
        <v>2.7297851937933824</v>
      </c>
      <c r="AU83" s="2">
        <f ca="1">W83*Sheet2!V$18/_xlfn.STDEV.S(W$62:W$91)</f>
        <v>0.92757576653367835</v>
      </c>
      <c r="AV83" s="2">
        <f ca="1">X83*Sheet2!W$18/_xlfn.STDEV.S(X$62:X$91)</f>
        <v>1.4207866711452146</v>
      </c>
      <c r="AW83" s="2">
        <f ca="1">Y83*Sheet2!X$18/_xlfn.STDEV.S(Y$62:Y$91)</f>
        <v>0.9672894020766738</v>
      </c>
      <c r="AX83" s="2">
        <f ca="1">Z83*Sheet2!Y$18/_xlfn.STDEV.S(Z$62:Z$91)</f>
        <v>5.0359100385382609</v>
      </c>
      <c r="AY83" s="2">
        <f ca="1">AA83*Sheet2!Z$18/_xlfn.STDEV.S(AA$62:AA$91)</f>
        <v>2.6996542028959269</v>
      </c>
      <c r="AZ83" s="2">
        <f ca="1">AB83-AVERAGE(AB$62:AB$91)+Sheet2!C$17</f>
        <v>4.068829676346386</v>
      </c>
      <c r="BA83" s="2">
        <f ca="1">AC83-AVERAGE(AC$62:AC$91)+Sheet2!D$17</f>
        <v>5.1863711374127597</v>
      </c>
      <c r="BB83" s="2">
        <f ca="1">AD83-AVERAGE(AD$62:AD$91)+Sheet2!E$17</f>
        <v>25.692668444033558</v>
      </c>
      <c r="BC83" s="2">
        <f ca="1">AE83-AVERAGE(AE$62:AE$91)+Sheet2!F$17</f>
        <v>4.536794015888387</v>
      </c>
      <c r="BD83" s="2">
        <f ca="1">AF83-AVERAGE(AF$62:AF$91)+Sheet2!G$17</f>
        <v>38.497647879284607</v>
      </c>
      <c r="BE83" s="2">
        <f ca="1">AG83-AVERAGE(AG$62:AG$91)+Sheet2!H$17</f>
        <v>22.314230749770054</v>
      </c>
      <c r="BF83" s="2">
        <f ca="1">AH83-AVERAGE(AH$62:AH$91)+Sheet2!I$17</f>
        <v>11.433837980229425</v>
      </c>
      <c r="BG83" s="2">
        <f ca="1">AI83-AVERAGE(AI$62:AI$91)+Sheet2!J$17</f>
        <v>23.169881311321749</v>
      </c>
      <c r="BH83" s="2">
        <f ca="1">AJ83-AVERAGE(AJ$62:AJ$91)+Sheet2!K$17</f>
        <v>21.027278163162428</v>
      </c>
      <c r="BI83" s="2">
        <f ca="1">AK83-AVERAGE(AK$62:AK$91)+Sheet2!L$17</f>
        <v>28.0356997837685</v>
      </c>
      <c r="BJ83" s="2">
        <f ca="1">AL83-AVERAGE(AL$62:AL$91)+Sheet2!M$17</f>
        <v>16.690838675797288</v>
      </c>
      <c r="BK83" s="2">
        <f ca="1">AM83-AVERAGE(AM$62:AM$91)+Sheet2!N$17</f>
        <v>17.505644277622984</v>
      </c>
      <c r="BL83" s="2">
        <f ca="1">AN83-AVERAGE(AN$62:AN$91)+Sheet2!O$17</f>
        <v>4.9698204661047392</v>
      </c>
      <c r="BM83" s="2">
        <f ca="1">AO83-AVERAGE(AO$62:AO$91)+Sheet2!P$17</f>
        <v>16.496682694708507</v>
      </c>
      <c r="BN83" s="2">
        <f ca="1">AP83-AVERAGE(AP$62:AP$91)+Sheet2!Q$17</f>
        <v>11.752718644776087</v>
      </c>
      <c r="BO83" s="2">
        <f ca="1">AQ83-AVERAGE(AQ$62:AQ$91)+Sheet2!R$17</f>
        <v>10.833571558769242</v>
      </c>
      <c r="BP83" s="2">
        <f ca="1">AR83-AVERAGE(AR$62:AR$91)+Sheet2!S$17</f>
        <v>4.3276835847416155</v>
      </c>
      <c r="BQ83" s="2">
        <f ca="1">AS83-AVERAGE(AS$62:AS$91)+Sheet2!T$17</f>
        <v>16.393790750493444</v>
      </c>
      <c r="BR83" s="2">
        <f ca="1">AT83-AVERAGE(AT$62:AT$91)+Sheet2!U$17</f>
        <v>22.200324583000889</v>
      </c>
      <c r="BS83" s="2">
        <f ca="1">AU83-AVERAGE(AU$62:AU$91)+Sheet2!V$17</f>
        <v>20.214209059938042</v>
      </c>
      <c r="BT83" s="2">
        <f ca="1">AV83-AVERAGE(AV$62:AV$91)+Sheet2!W$17</f>
        <v>27.026780100790617</v>
      </c>
      <c r="BU83" s="2">
        <f ca="1">AW83-AVERAGE(AW$62:AW$91)+Sheet2!X$17</f>
        <v>18.467343544115735</v>
      </c>
      <c r="BV83" s="2">
        <f ca="1">AX83-AVERAGE(AX$62:AX$91)+Sheet2!Y$17</f>
        <v>21.293194972937098</v>
      </c>
      <c r="BW83" s="2">
        <f ca="1">AY83-AVERAGE(AY$62:AY$91)+Sheet2!Z$17</f>
        <v>10.478871491898408</v>
      </c>
      <c r="BZ83" s="2">
        <f ca="1">BA83-AVERAGE(AH$62:AH$91)+Sheet2!AB$17</f>
        <v>3.6040134651370366</v>
      </c>
      <c r="CA83" s="2">
        <f ca="1">BB83-AVERAGE(AI$62:AI$91)+Sheet2!AC$17</f>
        <v>23.09072750819357</v>
      </c>
      <c r="CB83" s="2">
        <f ca="1">BC83-AVERAGE(AJ$62:AJ$91)+Sheet2!AD$17</f>
        <v>0.90767120805716262</v>
      </c>
      <c r="CC83" s="2">
        <f ca="1">BD83-AVERAGE(AK$62:AK$91)+Sheet2!AE$17</f>
        <v>33.719388074895996</v>
      </c>
    </row>
    <row r="84" spans="2:81" x14ac:dyDescent="0.3">
      <c r="B84">
        <v>83</v>
      </c>
      <c r="C84" s="1">
        <v>3</v>
      </c>
      <c r="D84" s="2">
        <f t="shared" ca="1" si="8"/>
        <v>0.13172758746157476</v>
      </c>
      <c r="E84" s="2">
        <f t="shared" ca="1" si="8"/>
        <v>0.46551105169681983</v>
      </c>
      <c r="F84" s="2">
        <f t="shared" ca="1" si="8"/>
        <v>0.54049094619051274</v>
      </c>
      <c r="G84" s="2">
        <f t="shared" ca="1" si="8"/>
        <v>0.46950979963749784</v>
      </c>
      <c r="H84" s="2">
        <f t="shared" ca="1" si="8"/>
        <v>0.38939822821863757</v>
      </c>
      <c r="I84" s="2">
        <f t="shared" ca="1" si="8"/>
        <v>0.43701727011457636</v>
      </c>
      <c r="J84" s="2">
        <f t="shared" ca="1" si="8"/>
        <v>0.66737885825471954</v>
      </c>
      <c r="K84" s="2">
        <f t="shared" ca="1" si="8"/>
        <v>0.38212638148998379</v>
      </c>
      <c r="L84" s="2">
        <f t="shared" ca="1" si="8"/>
        <v>8.9286300574337174E-3</v>
      </c>
      <c r="M84" s="2">
        <f t="shared" ca="1" si="8"/>
        <v>0.48685006758650318</v>
      </c>
      <c r="N84" s="2">
        <f t="shared" ca="1" si="8"/>
        <v>0.91838944594247718</v>
      </c>
      <c r="O84" s="2">
        <f t="shared" ca="1" si="8"/>
        <v>0.8342699555559776</v>
      </c>
      <c r="P84" s="2">
        <f t="shared" ca="1" si="8"/>
        <v>0.21320068105486778</v>
      </c>
      <c r="Q84" s="2">
        <f t="shared" ca="1" si="7"/>
        <v>0.84178398817581523</v>
      </c>
      <c r="R84" s="2">
        <f t="shared" ca="1" si="7"/>
        <v>0.22905670183080895</v>
      </c>
      <c r="S84" s="2">
        <f t="shared" ca="1" si="7"/>
        <v>0.85670408618299954</v>
      </c>
      <c r="T84" s="2">
        <f t="shared" ca="1" si="7"/>
        <v>0.41887806972329233</v>
      </c>
      <c r="U84" s="2">
        <f t="shared" ca="1" si="7"/>
        <v>1.4568442479538923E-3</v>
      </c>
      <c r="V84" s="2">
        <f t="shared" ca="1" si="7"/>
        <v>0.10638513103666813</v>
      </c>
      <c r="W84" s="2">
        <f t="shared" ca="1" si="7"/>
        <v>0.73074883006117441</v>
      </c>
      <c r="X84" s="2">
        <f t="shared" ca="1" si="7"/>
        <v>0.31795720059804711</v>
      </c>
      <c r="Y84" s="2">
        <f t="shared" ca="1" si="7"/>
        <v>0.32702331875635293</v>
      </c>
      <c r="Z84" s="2">
        <f t="shared" ca="1" si="7"/>
        <v>0.7551110635758973</v>
      </c>
      <c r="AA84" s="2">
        <f t="shared" ca="1" si="7"/>
        <v>0.27098150360199713</v>
      </c>
      <c r="AB84" s="2">
        <f ca="1">D84*Sheet2!C$18/_xlfn.STDEV.S(D$62:D$91)</f>
        <v>0.41379607927926398</v>
      </c>
      <c r="AC84" s="2">
        <f ca="1">E84*Sheet2!D$18/_xlfn.STDEV.S(E$62:E$91)</f>
        <v>1.2588975248551582</v>
      </c>
      <c r="AD84" s="2">
        <f ca="1">F84*Sheet2!E$18/_xlfn.STDEV.S(F$62:F$91)</f>
        <v>2.2112362909003744</v>
      </c>
      <c r="AE84" s="2">
        <f ca="1">G84*Sheet2!F$18/_xlfn.STDEV.S(G$62:G$91)</f>
        <v>5.7547484941372531</v>
      </c>
      <c r="AF84" s="2">
        <f ca="1">H84*Sheet2!G$18/_xlfn.STDEV.S(H$62:H$91)</f>
        <v>8.1211005567268462</v>
      </c>
      <c r="AG84" s="2">
        <f ca="1">I84*Sheet2!H$18/_xlfn.STDEV.S(I$62:I$91)</f>
        <v>7.1967303988386186</v>
      </c>
      <c r="AH84" s="2">
        <f ca="1">J84*Sheet2!I$18/_xlfn.STDEV.S(J$62:J$91)</f>
        <v>2.1007911847417233</v>
      </c>
      <c r="AI84" s="2">
        <f ca="1">K84*Sheet2!J$18/_xlfn.STDEV.S(K$62:K$91)</f>
        <v>2.3674117438645661</v>
      </c>
      <c r="AJ84" s="2">
        <f ca="1">L84*Sheet2!K$18/_xlfn.STDEV.S(L$62:L$91)</f>
        <v>6.9702845154064497E-2</v>
      </c>
      <c r="AK84" s="2">
        <f ca="1">M84*Sheet2!L$18/_xlfn.STDEV.S(M$62:M$91)</f>
        <v>4.143976235371988</v>
      </c>
      <c r="AL84" s="2">
        <f ca="1">N84*Sheet2!M$18/_xlfn.STDEV.S(N$62:N$91)</f>
        <v>4.8784752755123408</v>
      </c>
      <c r="AM84" s="2">
        <f ca="1">O84*Sheet2!N$18/_xlfn.STDEV.S(O$62:O$91)</f>
        <v>8.5364528530928681</v>
      </c>
      <c r="AN84" s="2">
        <f ca="1">P84*Sheet2!O$18/_xlfn.STDEV.S(P$62:P$91)</f>
        <v>0.9393933538890491</v>
      </c>
      <c r="AO84" s="2">
        <f ca="1">Q84*Sheet2!P$18/_xlfn.STDEV.S(Q$62:Q$91)</f>
        <v>7.2557012793397639</v>
      </c>
      <c r="AP84" s="2">
        <f ca="1">R84*Sheet2!Q$18/_xlfn.STDEV.S(R$62:R$91)</f>
        <v>1.5334483686284444</v>
      </c>
      <c r="AQ84" s="2">
        <f ca="1">S84*Sheet2!R$18/_xlfn.STDEV.S(S$62:S$91)</f>
        <v>2.6772989325691197</v>
      </c>
      <c r="AR84" s="2">
        <f ca="1">T84*Sheet2!S$18/_xlfn.STDEV.S(T$62:T$91)</f>
        <v>0.89647052734548061</v>
      </c>
      <c r="AS84" s="2">
        <f ca="1">U84*Sheet2!T$18/_xlfn.STDEV.S(U$62:U$91)</f>
        <v>8.2548509157224625E-3</v>
      </c>
      <c r="AT84" s="2">
        <f ca="1">V84*Sheet2!U$18/_xlfn.STDEV.S(V$62:V$91)</f>
        <v>0.44387930326430791</v>
      </c>
      <c r="AU84" s="2">
        <f ca="1">W84*Sheet2!V$18/_xlfn.STDEV.S(W$62:W$91)</f>
        <v>2.6413410697104069</v>
      </c>
      <c r="AV84" s="2">
        <f ca="1">X84*Sheet2!W$18/_xlfn.STDEV.S(X$62:X$91)</f>
        <v>1.7721411566815024</v>
      </c>
      <c r="AW84" s="2">
        <f ca="1">Y84*Sheet2!X$18/_xlfn.STDEV.S(Y$62:Y$91)</f>
        <v>2.496496668000566</v>
      </c>
      <c r="AX84" s="2">
        <f ca="1">Z84*Sheet2!Y$18/_xlfn.STDEV.S(Z$62:Z$91)</f>
        <v>4.3773041162044608</v>
      </c>
      <c r="AY84" s="2">
        <f ca="1">AA84*Sheet2!Z$18/_xlfn.STDEV.S(AA$62:AA$91)</f>
        <v>1.006897430297458</v>
      </c>
      <c r="AZ84" s="2">
        <f ca="1">AB84-AVERAGE(AB$62:AB$91)+Sheet2!C$17</f>
        <v>4.4607935861489096</v>
      </c>
      <c r="BA84" s="2">
        <f ca="1">AC84-AVERAGE(AC$62:AC$91)+Sheet2!D$17</f>
        <v>5.1073766466922974</v>
      </c>
      <c r="BB84" s="2">
        <f ca="1">AD84-AVERAGE(AD$62:AD$91)+Sheet2!E$17</f>
        <v>27.432883514593254</v>
      </c>
      <c r="BC84" s="2">
        <f ca="1">AE84-AVERAGE(AE$62:AE$91)+Sheet2!F$17</f>
        <v>3.1140333637187094</v>
      </c>
      <c r="BD84" s="2">
        <f ca="1">AF84-AVERAGE(AF$62:AF$91)+Sheet2!G$17</f>
        <v>30.925662191554871</v>
      </c>
      <c r="BE84" s="2">
        <f ca="1">AG84-AVERAGE(AG$62:AG$91)+Sheet2!H$17</f>
        <v>20.412820670934945</v>
      </c>
      <c r="BF84" s="2">
        <f ca="1">AH84-AVERAGE(AH$62:AH$91)+Sheet2!I$17</f>
        <v>10.655877040964718</v>
      </c>
      <c r="BG84" s="2">
        <f ca="1">AI84-AVERAGE(AI$62:AI$91)+Sheet2!J$17</f>
        <v>25.009499228260275</v>
      </c>
      <c r="BH84" s="2">
        <f ca="1">AJ84-AVERAGE(AJ$62:AJ$91)+Sheet2!K$17</f>
        <v>17.342064945246548</v>
      </c>
      <c r="BI84" s="2">
        <f ca="1">AK84-AVERAGE(AK$62:AK$91)+Sheet2!L$17</f>
        <v>24.627304562517679</v>
      </c>
      <c r="BJ84" s="2">
        <f ca="1">AL84-AVERAGE(AL$62:AL$91)+Sheet2!M$17</f>
        <v>20.144612141259948</v>
      </c>
      <c r="BK84" s="2">
        <f ca="1">AM84-AVERAGE(AM$62:AM$91)+Sheet2!N$17</f>
        <v>20.684223173515754</v>
      </c>
      <c r="BL84" s="2">
        <f ca="1">AN84-AVERAGE(AN$62:AN$91)+Sheet2!O$17</f>
        <v>3.0862016530688736</v>
      </c>
      <c r="BM84" s="2">
        <f ca="1">AO84-AVERAGE(AO$62:AO$91)+Sheet2!P$17</f>
        <v>20.717382750532405</v>
      </c>
      <c r="BN84" s="2">
        <f ca="1">AP84-AVERAGE(AP$62:AP$91)+Sheet2!Q$17</f>
        <v>9.418884839527621</v>
      </c>
      <c r="BO84" s="2">
        <f ca="1">AQ84-AVERAGE(AQ$62:AQ$91)+Sheet2!R$17</f>
        <v>11.97492813375554</v>
      </c>
      <c r="BP84" s="2">
        <f ca="1">AR84-AVERAGE(AR$62:AR$91)+Sheet2!S$17</f>
        <v>4.2306854425850764</v>
      </c>
      <c r="BQ84" s="2">
        <f ca="1">AS84-AVERAGE(AS$62:AS$91)+Sheet2!T$17</f>
        <v>10.850945056532638</v>
      </c>
      <c r="BR84" s="2">
        <f ca="1">AT84-AVERAGE(AT$62:AT$91)+Sheet2!U$17</f>
        <v>19.914418692471813</v>
      </c>
      <c r="BS84" s="2">
        <f ca="1">AU84-AVERAGE(AU$62:AU$91)+Sheet2!V$17</f>
        <v>21.927974363114771</v>
      </c>
      <c r="BT84" s="2">
        <f ca="1">AV84-AVERAGE(AV$62:AV$91)+Sheet2!W$17</f>
        <v>27.378134586326905</v>
      </c>
      <c r="BU84" s="2">
        <f ca="1">AW84-AVERAGE(AW$62:AW$91)+Sheet2!X$17</f>
        <v>19.996550810039626</v>
      </c>
      <c r="BV84" s="2">
        <f ca="1">AX84-AVERAGE(AX$62:AX$91)+Sheet2!Y$17</f>
        <v>20.634589050603296</v>
      </c>
      <c r="BW84" s="2">
        <f ca="1">AY84-AVERAGE(AY$62:AY$91)+Sheet2!Z$17</f>
        <v>8.7861147192999383</v>
      </c>
      <c r="BZ84" s="2">
        <f ca="1">BA84-AVERAGE(AH$62:AH$91)+Sheet2!AB$17</f>
        <v>3.5250189744165743</v>
      </c>
      <c r="CA84" s="2">
        <f ca="1">BB84-AVERAGE(AI$62:AI$91)+Sheet2!AC$17</f>
        <v>24.830942578753266</v>
      </c>
      <c r="CB84" s="2">
        <f ca="1">BC84-AVERAGE(AJ$62:AJ$91)+Sheet2!AD$17</f>
        <v>-0.515089444112515</v>
      </c>
      <c r="CC84" s="2">
        <f ca="1">BD84-AVERAGE(AK$62:AK$91)+Sheet2!AE$17</f>
        <v>26.147402387166256</v>
      </c>
    </row>
    <row r="85" spans="2:81" x14ac:dyDescent="0.3">
      <c r="B85">
        <v>84</v>
      </c>
      <c r="C85" s="1">
        <v>3</v>
      </c>
      <c r="D85" s="2">
        <f t="shared" ca="1" si="8"/>
        <v>0.67598115175125284</v>
      </c>
      <c r="E85" s="2">
        <f t="shared" ca="1" si="8"/>
        <v>0.54619128516056958</v>
      </c>
      <c r="F85" s="2">
        <f t="shared" ca="1" si="8"/>
        <v>0.64943659113407404</v>
      </c>
      <c r="G85" s="2">
        <f t="shared" ca="1" si="8"/>
        <v>0.59151640062758903</v>
      </c>
      <c r="H85" s="2">
        <f t="shared" ca="1" si="8"/>
        <v>0.43402874855191864</v>
      </c>
      <c r="I85" s="2">
        <f t="shared" ca="1" si="8"/>
        <v>3.3371785984489311E-2</v>
      </c>
      <c r="J85" s="2">
        <f t="shared" ca="1" si="8"/>
        <v>0.77941055055368114</v>
      </c>
      <c r="K85" s="2">
        <f t="shared" ca="1" si="8"/>
        <v>0.29884290367573141</v>
      </c>
      <c r="L85" s="2">
        <f t="shared" ca="1" si="8"/>
        <v>0.95123506356847309</v>
      </c>
      <c r="M85" s="2">
        <f t="shared" ca="1" si="8"/>
        <v>0.37810488957330923</v>
      </c>
      <c r="N85" s="2">
        <f t="shared" ca="1" si="8"/>
        <v>0.78401877388964902</v>
      </c>
      <c r="O85" s="2">
        <f t="shared" ca="1" si="8"/>
        <v>0.42388192658175305</v>
      </c>
      <c r="P85" s="2">
        <f t="shared" ca="1" si="8"/>
        <v>0.8570023915035796</v>
      </c>
      <c r="Q85" s="2">
        <f t="shared" ca="1" si="7"/>
        <v>0.65693470016475664</v>
      </c>
      <c r="R85" s="2">
        <f t="shared" ca="1" si="7"/>
        <v>2.7843412572888138E-2</v>
      </c>
      <c r="S85" s="2">
        <f t="shared" ca="1" si="7"/>
        <v>0.64421128279681528</v>
      </c>
      <c r="T85" s="2">
        <f t="shared" ca="1" si="7"/>
        <v>0.26434697458921641</v>
      </c>
      <c r="U85" s="2">
        <f t="shared" ca="1" si="7"/>
        <v>0.22606156061838245</v>
      </c>
      <c r="V85" s="2">
        <f t="shared" ca="1" si="7"/>
        <v>0.7358385393347614</v>
      </c>
      <c r="W85" s="2">
        <f t="shared" ca="1" si="7"/>
        <v>0.93310811716765141</v>
      </c>
      <c r="X85" s="2">
        <f t="shared" ca="1" si="7"/>
        <v>0.89318990788413921</v>
      </c>
      <c r="Y85" s="2">
        <f t="shared" ca="1" si="7"/>
        <v>0.74713511378131547</v>
      </c>
      <c r="Z85" s="2">
        <f t="shared" ca="1" si="7"/>
        <v>0.71214761578035524</v>
      </c>
      <c r="AA85" s="2">
        <f t="shared" ca="1" si="7"/>
        <v>0.47212250774398157</v>
      </c>
      <c r="AB85" s="2">
        <f ca="1">D85*Sheet2!C$18/_xlfn.STDEV.S(D$62:D$91)</f>
        <v>2.1234606634160373</v>
      </c>
      <c r="AC85" s="2">
        <f ca="1">E85*Sheet2!D$18/_xlfn.STDEV.S(E$62:E$91)</f>
        <v>1.4770838511346911</v>
      </c>
      <c r="AD85" s="2">
        <f ca="1">F85*Sheet2!E$18/_xlfn.STDEV.S(F$62:F$91)</f>
        <v>2.6569506280834347</v>
      </c>
      <c r="AE85" s="2">
        <f ca="1">G85*Sheet2!F$18/_xlfn.STDEV.S(G$62:G$91)</f>
        <v>7.2501747959197234</v>
      </c>
      <c r="AF85" s="2">
        <f ca="1">H85*Sheet2!G$18/_xlfn.STDEV.S(H$62:H$91)</f>
        <v>9.0518930392291352</v>
      </c>
      <c r="AG85" s="2">
        <f ca="1">I85*Sheet2!H$18/_xlfn.STDEV.S(I$62:I$91)</f>
        <v>0.54956122579582289</v>
      </c>
      <c r="AH85" s="2">
        <f ca="1">J85*Sheet2!I$18/_xlfn.STDEV.S(J$62:J$91)</f>
        <v>2.4534472341239879</v>
      </c>
      <c r="AI85" s="2">
        <f ca="1">K85*Sheet2!J$18/_xlfn.STDEV.S(K$62:K$91)</f>
        <v>1.8514403454006443</v>
      </c>
      <c r="AJ85" s="2">
        <f ca="1">L85*Sheet2!K$18/_xlfn.STDEV.S(L$62:L$91)</f>
        <v>7.4259757560262418</v>
      </c>
      <c r="AK85" s="2">
        <f ca="1">M85*Sheet2!L$18/_xlfn.STDEV.S(M$62:M$91)</f>
        <v>3.2183577269224579</v>
      </c>
      <c r="AL85" s="2">
        <f ca="1">N85*Sheet2!M$18/_xlfn.STDEV.S(N$62:N$91)</f>
        <v>4.1646996498669679</v>
      </c>
      <c r="AM85" s="2">
        <f ca="1">O85*Sheet2!N$18/_xlfn.STDEV.S(O$62:O$91)</f>
        <v>4.3372628457318552</v>
      </c>
      <c r="AN85" s="2">
        <f ca="1">P85*Sheet2!O$18/_xlfn.STDEV.S(P$62:P$91)</f>
        <v>3.7760777632708344</v>
      </c>
      <c r="AO85" s="2">
        <f ca="1">Q85*Sheet2!P$18/_xlfn.STDEV.S(Q$62:Q$91)</f>
        <v>5.6624050960595973</v>
      </c>
      <c r="AP85" s="2">
        <f ca="1">R85*Sheet2!Q$18/_xlfn.STDEV.S(R$62:R$91)</f>
        <v>0.18640116288097713</v>
      </c>
      <c r="AQ85" s="2">
        <f ca="1">S85*Sheet2!R$18/_xlfn.STDEV.S(S$62:S$91)</f>
        <v>2.0132344500251116</v>
      </c>
      <c r="AR85" s="2">
        <f ca="1">T85*Sheet2!S$18/_xlfn.STDEV.S(T$62:T$91)</f>
        <v>0.56574762166165415</v>
      </c>
      <c r="AS85" s="2">
        <f ca="1">U85*Sheet2!T$18/_xlfn.STDEV.S(U$62:U$91)</f>
        <v>1.2809224344340229</v>
      </c>
      <c r="AT85" s="2">
        <f ca="1">V85*Sheet2!U$18/_xlfn.STDEV.S(V$62:V$91)</f>
        <v>3.0701987671788595</v>
      </c>
      <c r="AU85" s="2">
        <f ca="1">W85*Sheet2!V$18/_xlfn.STDEV.S(W$62:W$91)</f>
        <v>3.3727823993214465</v>
      </c>
      <c r="AV85" s="2">
        <f ca="1">X85*Sheet2!W$18/_xlfn.STDEV.S(X$62:X$91)</f>
        <v>4.9782127705138848</v>
      </c>
      <c r="AW85" s="2">
        <f ca="1">Y85*Sheet2!X$18/_xlfn.STDEV.S(Y$62:Y$91)</f>
        <v>5.7036309496050057</v>
      </c>
      <c r="AX85" s="2">
        <f ca="1">Z85*Sheet2!Y$18/_xlfn.STDEV.S(Z$62:Z$91)</f>
        <v>4.1282492606297501</v>
      </c>
      <c r="AY85" s="2">
        <f ca="1">AA85*Sheet2!Z$18/_xlfn.STDEV.S(AA$62:AA$91)</f>
        <v>1.7542855638265904</v>
      </c>
      <c r="AZ85" s="2">
        <f ca="1">AB85-AVERAGE(AB$62:AB$91)+Sheet2!C$17</f>
        <v>6.1704581702856833</v>
      </c>
      <c r="BA85" s="2">
        <f ca="1">AC85-AVERAGE(AC$62:AC$91)+Sheet2!D$17</f>
        <v>5.3255629729718308</v>
      </c>
      <c r="BB85" s="2">
        <f ca="1">AD85-AVERAGE(AD$62:AD$91)+Sheet2!E$17</f>
        <v>27.878597851776313</v>
      </c>
      <c r="BC85" s="2">
        <f ca="1">AE85-AVERAGE(AE$62:AE$91)+Sheet2!F$17</f>
        <v>4.6094596655011797</v>
      </c>
      <c r="BD85" s="2">
        <f ca="1">AF85-AVERAGE(AF$62:AF$91)+Sheet2!G$17</f>
        <v>31.856454674057161</v>
      </c>
      <c r="BE85" s="2">
        <f ca="1">AG85-AVERAGE(AG$62:AG$91)+Sheet2!H$17</f>
        <v>13.765651497892147</v>
      </c>
      <c r="BF85" s="2">
        <f ca="1">AH85-AVERAGE(AH$62:AH$91)+Sheet2!I$17</f>
        <v>11.008533090346983</v>
      </c>
      <c r="BG85" s="2">
        <f ca="1">AI85-AVERAGE(AI$62:AI$91)+Sheet2!J$17</f>
        <v>24.493527829796353</v>
      </c>
      <c r="BH85" s="2">
        <f ca="1">AJ85-AVERAGE(AJ$62:AJ$91)+Sheet2!K$17</f>
        <v>24.698337856118727</v>
      </c>
      <c r="BI85" s="2">
        <f ca="1">AK85-AVERAGE(AK$62:AK$91)+Sheet2!L$17</f>
        <v>23.701686054068148</v>
      </c>
      <c r="BJ85" s="2">
        <f ca="1">AL85-AVERAGE(AL$62:AL$91)+Sheet2!M$17</f>
        <v>19.430836515614573</v>
      </c>
      <c r="BK85" s="2">
        <f ca="1">AM85-AVERAGE(AM$62:AM$91)+Sheet2!N$17</f>
        <v>16.485033166154739</v>
      </c>
      <c r="BL85" s="2">
        <f ca="1">AN85-AVERAGE(AN$62:AN$91)+Sheet2!O$17</f>
        <v>5.922886062450659</v>
      </c>
      <c r="BM85" s="2">
        <f ca="1">AO85-AVERAGE(AO$62:AO$91)+Sheet2!P$17</f>
        <v>19.124086567252238</v>
      </c>
      <c r="BN85" s="2">
        <f ca="1">AP85-AVERAGE(AP$62:AP$91)+Sheet2!Q$17</f>
        <v>8.0718376337801523</v>
      </c>
      <c r="BO85" s="2">
        <f ca="1">AQ85-AVERAGE(AQ$62:AQ$91)+Sheet2!R$17</f>
        <v>11.310863651211532</v>
      </c>
      <c r="BP85" s="2">
        <f ca="1">AR85-AVERAGE(AR$62:AR$91)+Sheet2!S$17</f>
        <v>3.8999625369012501</v>
      </c>
      <c r="BQ85" s="2">
        <f ca="1">AS85-AVERAGE(AS$62:AS$91)+Sheet2!T$17</f>
        <v>12.12361264005094</v>
      </c>
      <c r="BR85" s="2">
        <f ca="1">AT85-AVERAGE(AT$62:AT$91)+Sheet2!U$17</f>
        <v>22.540738156386364</v>
      </c>
      <c r="BS85" s="2">
        <f ca="1">AU85-AVERAGE(AU$62:AU$91)+Sheet2!V$17</f>
        <v>22.659415692725812</v>
      </c>
      <c r="BT85" s="2">
        <f ca="1">AV85-AVERAGE(AV$62:AV$91)+Sheet2!W$17</f>
        <v>30.584206200159286</v>
      </c>
      <c r="BU85" s="2">
        <f ca="1">AW85-AVERAGE(AW$62:AW$91)+Sheet2!X$17</f>
        <v>23.203685091644068</v>
      </c>
      <c r="BV85" s="2">
        <f ca="1">AX85-AVERAGE(AX$62:AX$91)+Sheet2!Y$17</f>
        <v>20.385534195028587</v>
      </c>
      <c r="BW85" s="2">
        <f ca="1">AY85-AVERAGE(AY$62:AY$91)+Sheet2!Z$17</f>
        <v>9.5335028528290717</v>
      </c>
      <c r="BZ85" s="2">
        <f ca="1">BA85-AVERAGE(AH$62:AH$91)+Sheet2!AB$17</f>
        <v>3.7432053006961077</v>
      </c>
      <c r="CA85" s="2">
        <f ca="1">BB85-AVERAGE(AI$62:AI$91)+Sheet2!AC$17</f>
        <v>25.276656915936325</v>
      </c>
      <c r="CB85" s="2">
        <f ca="1">BC85-AVERAGE(AJ$62:AJ$91)+Sheet2!AD$17</f>
        <v>0.98033685766995526</v>
      </c>
      <c r="CC85" s="2">
        <f ca="1">BD85-AVERAGE(AK$62:AK$91)+Sheet2!AE$17</f>
        <v>27.078194869668547</v>
      </c>
    </row>
    <row r="86" spans="2:81" x14ac:dyDescent="0.3">
      <c r="B86">
        <v>85</v>
      </c>
      <c r="C86" s="1">
        <v>3</v>
      </c>
      <c r="D86" s="2">
        <f t="shared" ca="1" si="8"/>
        <v>0.4486603714600822</v>
      </c>
      <c r="E86" s="2">
        <f t="shared" ca="1" si="8"/>
        <v>0.5992209136893808</v>
      </c>
      <c r="F86" s="2">
        <f t="shared" ca="1" si="8"/>
        <v>0.81531844450022206</v>
      </c>
      <c r="G86" s="2">
        <f t="shared" ca="1" si="8"/>
        <v>0.94034969471422647</v>
      </c>
      <c r="H86" s="2">
        <f t="shared" ca="1" si="8"/>
        <v>0.92836347019095222</v>
      </c>
      <c r="I86" s="2">
        <f t="shared" ca="1" si="8"/>
        <v>0.63941178688952782</v>
      </c>
      <c r="J86" s="2">
        <f t="shared" ca="1" si="8"/>
        <v>0.36598744529906502</v>
      </c>
      <c r="K86" s="2">
        <f t="shared" ca="1" si="8"/>
        <v>0.84045269911623577</v>
      </c>
      <c r="L86" s="2">
        <f t="shared" ca="1" si="8"/>
        <v>0.25973283423511873</v>
      </c>
      <c r="M86" s="2">
        <f t="shared" ca="1" si="8"/>
        <v>0.25401440745815751</v>
      </c>
      <c r="N86" s="2">
        <f t="shared" ca="1" si="8"/>
        <v>0.46059801389080746</v>
      </c>
      <c r="O86" s="2">
        <f t="shared" ca="1" si="8"/>
        <v>4.5367761244377025E-3</v>
      </c>
      <c r="P86" s="2">
        <f t="shared" ca="1" si="8"/>
        <v>0.12359411214874583</v>
      </c>
      <c r="Q86" s="2">
        <f t="shared" ca="1" si="7"/>
        <v>0.24427408464217726</v>
      </c>
      <c r="R86" s="2">
        <f t="shared" ref="Q86:AA111" ca="1" si="9">RAND()</f>
        <v>0.78234645518642731</v>
      </c>
      <c r="S86" s="2">
        <f t="shared" ca="1" si="9"/>
        <v>0.42465814118427392</v>
      </c>
      <c r="T86" s="2">
        <f t="shared" ca="1" si="9"/>
        <v>0.80510684382284836</v>
      </c>
      <c r="U86" s="2">
        <f t="shared" ca="1" si="9"/>
        <v>0.4589132391455728</v>
      </c>
      <c r="V86" s="2">
        <f t="shared" ca="1" si="9"/>
        <v>0.34772618092017582</v>
      </c>
      <c r="W86" s="2">
        <f t="shared" ca="1" si="9"/>
        <v>0.34375962248071545</v>
      </c>
      <c r="X86" s="2">
        <f t="shared" ca="1" si="9"/>
        <v>0.58994561711574312</v>
      </c>
      <c r="Y86" s="2">
        <f t="shared" ca="1" si="9"/>
        <v>0.6902580686342622</v>
      </c>
      <c r="Z86" s="2">
        <f t="shared" ca="1" si="9"/>
        <v>0.44072613709884367</v>
      </c>
      <c r="AA86" s="2">
        <f t="shared" ca="1" si="9"/>
        <v>0.7902388161200723</v>
      </c>
      <c r="AB86" s="2">
        <f ca="1">D86*Sheet2!C$18/_xlfn.STDEV.S(D$62:D$91)</f>
        <v>1.4093775359874092</v>
      </c>
      <c r="AC86" s="2">
        <f ca="1">E86*Sheet2!D$18/_xlfn.STDEV.S(E$62:E$91)</f>
        <v>1.6204936968420447</v>
      </c>
      <c r="AD86" s="2">
        <f ca="1">F86*Sheet2!E$18/_xlfn.STDEV.S(F$62:F$91)</f>
        <v>3.3356002460841583</v>
      </c>
      <c r="AE86" s="2">
        <f ca="1">G86*Sheet2!F$18/_xlfn.STDEV.S(G$62:G$91)</f>
        <v>11.525799874245964</v>
      </c>
      <c r="AF86" s="2">
        <f ca="1">H86*Sheet2!G$18/_xlfn.STDEV.S(H$62:H$91)</f>
        <v>19.361498199677115</v>
      </c>
      <c r="AG86" s="2">
        <f ca="1">I86*Sheet2!H$18/_xlfn.STDEV.S(I$62:I$91)</f>
        <v>10.529730879690698</v>
      </c>
      <c r="AH86" s="2">
        <f ca="1">J86*Sheet2!I$18/_xlfn.STDEV.S(J$62:J$91)</f>
        <v>1.1520640627140848</v>
      </c>
      <c r="AI86" s="2">
        <f ca="1">K86*Sheet2!J$18/_xlfn.STDEV.S(K$62:K$91)</f>
        <v>5.2069097723434803</v>
      </c>
      <c r="AJ86" s="2">
        <f ca="1">L86*Sheet2!K$18/_xlfn.STDEV.S(L$62:L$91)</f>
        <v>2.0276478485121943</v>
      </c>
      <c r="AK86" s="2">
        <f ca="1">M86*Sheet2!L$18/_xlfn.STDEV.S(M$62:M$91)</f>
        <v>2.1621228752559869</v>
      </c>
      <c r="AL86" s="2">
        <f ca="1">N86*Sheet2!M$18/_xlfn.STDEV.S(N$62:N$91)</f>
        <v>2.4466919046640858</v>
      </c>
      <c r="AM86" s="2">
        <f ca="1">O86*Sheet2!N$18/_xlfn.STDEV.S(O$62:O$91)</f>
        <v>4.6421395416895453E-2</v>
      </c>
      <c r="AN86" s="2">
        <f ca="1">P86*Sheet2!O$18/_xlfn.STDEV.S(P$62:P$91)</f>
        <v>0.54457371786007602</v>
      </c>
      <c r="AO86" s="2">
        <f ca="1">Q86*Sheet2!P$18/_xlfn.STDEV.S(Q$62:Q$91)</f>
        <v>2.1055042782277482</v>
      </c>
      <c r="AP86" s="2">
        <f ca="1">R86*Sheet2!Q$18/_xlfn.STDEV.S(R$62:R$91)</f>
        <v>5.2375149289192766</v>
      </c>
      <c r="AQ86" s="2">
        <f ca="1">S86*Sheet2!R$18/_xlfn.STDEV.S(S$62:S$91)</f>
        <v>1.3271055974122943</v>
      </c>
      <c r="AR86" s="2">
        <f ca="1">T86*Sheet2!S$18/_xlfn.STDEV.S(T$62:T$91)</f>
        <v>1.7230659922781584</v>
      </c>
      <c r="AS86" s="2">
        <f ca="1">U86*Sheet2!T$18/_xlfn.STDEV.S(U$62:U$91)</f>
        <v>2.6003194080070853</v>
      </c>
      <c r="AT86" s="2">
        <f ca="1">V86*Sheet2!U$18/_xlfn.STDEV.S(V$62:V$91)</f>
        <v>1.4508461230395675</v>
      </c>
      <c r="AU86" s="2">
        <f ca="1">W86*Sheet2!V$18/_xlfn.STDEV.S(W$62:W$91)</f>
        <v>1.24254240528917</v>
      </c>
      <c r="AV86" s="2">
        <f ca="1">X86*Sheet2!W$18/_xlfn.STDEV.S(X$62:X$91)</f>
        <v>3.2880743267592383</v>
      </c>
      <c r="AW86" s="2">
        <f ca="1">Y86*Sheet2!X$18/_xlfn.STDEV.S(Y$62:Y$91)</f>
        <v>5.2694314734473817</v>
      </c>
      <c r="AX86" s="2">
        <f ca="1">Z86*Sheet2!Y$18/_xlfn.STDEV.S(Z$62:Z$91)</f>
        <v>2.5548458062656292</v>
      </c>
      <c r="AY86" s="2">
        <f ca="1">AA86*Sheet2!Z$18/_xlfn.STDEV.S(AA$62:AA$91)</f>
        <v>2.9363237811288831</v>
      </c>
      <c r="AZ86" s="2">
        <f ca="1">AB86-AVERAGE(AB$62:AB$91)+Sheet2!C$17</f>
        <v>5.4563750428570552</v>
      </c>
      <c r="BA86" s="2">
        <f ca="1">AC86-AVERAGE(AC$62:AC$91)+Sheet2!D$17</f>
        <v>5.4689728186791839</v>
      </c>
      <c r="BB86" s="2">
        <f ca="1">AD86-AVERAGE(AD$62:AD$91)+Sheet2!E$17</f>
        <v>28.557247469777039</v>
      </c>
      <c r="BC86" s="2">
        <f ca="1">AE86-AVERAGE(AE$62:AE$91)+Sheet2!F$17</f>
        <v>8.8850847438274201</v>
      </c>
      <c r="BD86" s="2">
        <f ca="1">AF86-AVERAGE(AF$62:AF$91)+Sheet2!G$17</f>
        <v>42.166059834505141</v>
      </c>
      <c r="BE86" s="2">
        <f ca="1">AG86-AVERAGE(AG$62:AG$91)+Sheet2!H$17</f>
        <v>23.745821151787023</v>
      </c>
      <c r="BF86" s="2">
        <f ca="1">AH86-AVERAGE(AH$62:AH$91)+Sheet2!I$17</f>
        <v>9.7071499189370787</v>
      </c>
      <c r="BG86" s="2">
        <f ca="1">AI86-AVERAGE(AI$62:AI$91)+Sheet2!J$17</f>
        <v>27.848997256739189</v>
      </c>
      <c r="BH86" s="2">
        <f ca="1">AJ86-AVERAGE(AJ$62:AJ$91)+Sheet2!K$17</f>
        <v>19.300009948604679</v>
      </c>
      <c r="BI86" s="2">
        <f ca="1">AK86-AVERAGE(AK$62:AK$91)+Sheet2!L$17</f>
        <v>22.645451202401677</v>
      </c>
      <c r="BJ86" s="2">
        <f ca="1">AL86-AVERAGE(AL$62:AL$91)+Sheet2!M$17</f>
        <v>17.71282877041169</v>
      </c>
      <c r="BK86" s="2">
        <f ca="1">AM86-AVERAGE(AM$62:AM$91)+Sheet2!N$17</f>
        <v>12.19419171583978</v>
      </c>
      <c r="BL86" s="2">
        <f ca="1">AN86-AVERAGE(AN$62:AN$91)+Sheet2!O$17</f>
        <v>2.691382017039901</v>
      </c>
      <c r="BM86" s="2">
        <f ca="1">AO86-AVERAGE(AO$62:AO$91)+Sheet2!P$17</f>
        <v>15.567185749420389</v>
      </c>
      <c r="BN86" s="2">
        <f ca="1">AP86-AVERAGE(AP$62:AP$91)+Sheet2!Q$17</f>
        <v>13.122951399818453</v>
      </c>
      <c r="BO86" s="2">
        <f ca="1">AQ86-AVERAGE(AQ$62:AQ$91)+Sheet2!R$17</f>
        <v>10.624734798598714</v>
      </c>
      <c r="BP86" s="2">
        <f ca="1">AR86-AVERAGE(AR$62:AR$91)+Sheet2!S$17</f>
        <v>5.0572809075177538</v>
      </c>
      <c r="BQ86" s="2">
        <f ca="1">AS86-AVERAGE(AS$62:AS$91)+Sheet2!T$17</f>
        <v>13.443009613624001</v>
      </c>
      <c r="BR86" s="2">
        <f ca="1">AT86-AVERAGE(AT$62:AT$91)+Sheet2!U$17</f>
        <v>20.921385512247074</v>
      </c>
      <c r="BS86" s="2">
        <f ca="1">AU86-AVERAGE(AU$62:AU$91)+Sheet2!V$17</f>
        <v>20.529175698693535</v>
      </c>
      <c r="BT86" s="2">
        <f ca="1">AV86-AVERAGE(AV$62:AV$91)+Sheet2!W$17</f>
        <v>28.894067756404642</v>
      </c>
      <c r="BU86" s="2">
        <f ca="1">AW86-AVERAGE(AW$62:AW$91)+Sheet2!X$17</f>
        <v>22.769485615486442</v>
      </c>
      <c r="BV86" s="2">
        <f ca="1">AX86-AVERAGE(AX$62:AX$91)+Sheet2!Y$17</f>
        <v>18.812130740664465</v>
      </c>
      <c r="BW86" s="2">
        <f ca="1">AY86-AVERAGE(AY$62:AY$91)+Sheet2!Z$17</f>
        <v>10.715541070131364</v>
      </c>
      <c r="BZ86" s="2">
        <f ca="1">BA86-AVERAGE(AH$62:AH$91)+Sheet2!AB$17</f>
        <v>3.8866151464034608</v>
      </c>
      <c r="CA86" s="2">
        <f ca="1">BB86-AVERAGE(AI$62:AI$91)+Sheet2!AC$17</f>
        <v>25.955306533937051</v>
      </c>
      <c r="CB86" s="2">
        <f ca="1">BC86-AVERAGE(AJ$62:AJ$91)+Sheet2!AD$17</f>
        <v>5.2559619359961953</v>
      </c>
      <c r="CC86" s="2">
        <f ca="1">BD86-AVERAGE(AK$62:AK$91)+Sheet2!AE$17</f>
        <v>37.38780003011653</v>
      </c>
    </row>
    <row r="87" spans="2:81" x14ac:dyDescent="0.3">
      <c r="B87">
        <v>86</v>
      </c>
      <c r="C87" s="1">
        <v>3</v>
      </c>
      <c r="D87" s="2">
        <f t="shared" ca="1" si="8"/>
        <v>0.67678739155439871</v>
      </c>
      <c r="E87" s="2">
        <f t="shared" ca="1" si="8"/>
        <v>0.19112685613332803</v>
      </c>
      <c r="F87" s="2">
        <f t="shared" ca="1" si="8"/>
        <v>0.42944578976246839</v>
      </c>
      <c r="G87" s="2">
        <f t="shared" ca="1" si="8"/>
        <v>0.46157869099743865</v>
      </c>
      <c r="H87" s="2">
        <f t="shared" ca="1" si="8"/>
        <v>0.61832740878537162</v>
      </c>
      <c r="I87" s="2">
        <f t="shared" ca="1" si="8"/>
        <v>0.78378299691072928</v>
      </c>
      <c r="J87" s="2">
        <f t="shared" ca="1" si="8"/>
        <v>0.31924220198423947</v>
      </c>
      <c r="K87" s="2">
        <f t="shared" ca="1" si="8"/>
        <v>0.38025773110211258</v>
      </c>
      <c r="L87" s="2">
        <f t="shared" ca="1" si="8"/>
        <v>0.45465553076416754</v>
      </c>
      <c r="M87" s="2">
        <f t="shared" ca="1" si="8"/>
        <v>0.59772877196521468</v>
      </c>
      <c r="N87" s="2">
        <f t="shared" ca="1" si="8"/>
        <v>0.86438275245492946</v>
      </c>
      <c r="O87" s="2">
        <f t="shared" ca="1" si="8"/>
        <v>9.8548937908168099E-2</v>
      </c>
      <c r="P87" s="2">
        <f t="shared" ca="1" si="8"/>
        <v>7.9648070920831038E-2</v>
      </c>
      <c r="Q87" s="2">
        <f t="shared" ca="1" si="8"/>
        <v>0.94318656148623459</v>
      </c>
      <c r="R87" s="2">
        <f t="shared" ca="1" si="8"/>
        <v>0.14172583571359265</v>
      </c>
      <c r="S87" s="2">
        <f t="shared" ca="1" si="8"/>
        <v>0.5496327015990532</v>
      </c>
      <c r="T87" s="2">
        <f t="shared" ca="1" si="9"/>
        <v>0.87100715277870033</v>
      </c>
      <c r="U87" s="2">
        <f t="shared" ca="1" si="9"/>
        <v>0.85119399019421826</v>
      </c>
      <c r="V87" s="2">
        <f t="shared" ca="1" si="9"/>
        <v>0.93924057082845636</v>
      </c>
      <c r="W87" s="2">
        <f t="shared" ca="1" si="9"/>
        <v>0.36983581197263626</v>
      </c>
      <c r="X87" s="2">
        <f t="shared" ca="1" si="9"/>
        <v>0.96791906150294282</v>
      </c>
      <c r="Y87" s="2">
        <f t="shared" ca="1" si="9"/>
        <v>0.56692915236163977</v>
      </c>
      <c r="Z87" s="2">
        <f t="shared" ca="1" si="9"/>
        <v>0.62645864968326315</v>
      </c>
      <c r="AA87" s="2">
        <f t="shared" ca="1" si="9"/>
        <v>0.84231502160180483</v>
      </c>
      <c r="AB87" s="2">
        <f ca="1">D87*Sheet2!C$18/_xlfn.STDEV.S(D$62:D$91)</f>
        <v>2.1259933057875369</v>
      </c>
      <c r="AC87" s="2">
        <f ca="1">E87*Sheet2!D$18/_xlfn.STDEV.S(E$62:E$91)</f>
        <v>0.51687092120059819</v>
      </c>
      <c r="AD87" s="2">
        <f ca="1">F87*Sheet2!E$18/_xlfn.STDEV.S(F$62:F$91)</f>
        <v>1.7569325110626821</v>
      </c>
      <c r="AE87" s="2">
        <f ca="1">G87*Sheet2!F$18/_xlfn.STDEV.S(G$62:G$91)</f>
        <v>5.657537455009936</v>
      </c>
      <c r="AF87" s="2">
        <f ca="1">H87*Sheet2!G$18/_xlfn.STDEV.S(H$62:H$91)</f>
        <v>12.8955364966553</v>
      </c>
      <c r="AG87" s="2">
        <f ca="1">I87*Sheet2!H$18/_xlfn.STDEV.S(I$62:I$91)</f>
        <v>12.907212839623979</v>
      </c>
      <c r="AH87" s="2">
        <f ca="1">J87*Sheet2!I$18/_xlfn.STDEV.S(J$62:J$91)</f>
        <v>1.0049182640874947</v>
      </c>
      <c r="AI87" s="2">
        <f ca="1">K87*Sheet2!J$18/_xlfn.STDEV.S(K$62:K$91)</f>
        <v>2.3558347759091638</v>
      </c>
      <c r="AJ87" s="2">
        <f ca="1">L87*Sheet2!K$18/_xlfn.STDEV.S(L$62:L$91)</f>
        <v>3.5493445081095003</v>
      </c>
      <c r="AK87" s="2">
        <f ca="1">M87*Sheet2!L$18/_xlfn.STDEV.S(M$62:M$91)</f>
        <v>5.0877549190887699</v>
      </c>
      <c r="AL87" s="2">
        <f ca="1">N87*Sheet2!M$18/_xlfn.STDEV.S(N$62:N$91)</f>
        <v>4.5915922760885026</v>
      </c>
      <c r="AM87" s="2">
        <f ca="1">O87*Sheet2!N$18/_xlfn.STDEV.S(O$62:O$91)</f>
        <v>1.0083766730096599</v>
      </c>
      <c r="AN87" s="2">
        <f ca="1">P87*Sheet2!O$18/_xlfn.STDEV.S(P$62:P$91)</f>
        <v>0.35094103875708055</v>
      </c>
      <c r="AO87" s="2">
        <f ca="1">Q87*Sheet2!P$18/_xlfn.STDEV.S(Q$62:Q$91)</f>
        <v>8.1297340374243525</v>
      </c>
      <c r="AP87" s="2">
        <f ca="1">R87*Sheet2!Q$18/_xlfn.STDEV.S(R$62:R$91)</f>
        <v>0.948801103964381</v>
      </c>
      <c r="AQ87" s="2">
        <f ca="1">S87*Sheet2!R$18/_xlfn.STDEV.S(S$62:S$91)</f>
        <v>1.7176654915381069</v>
      </c>
      <c r="AR87" s="2">
        <f ca="1">T87*Sheet2!S$18/_xlfn.STDEV.S(T$62:T$91)</f>
        <v>1.8641038956492015</v>
      </c>
      <c r="AS87" s="2">
        <f ca="1">U87*Sheet2!T$18/_xlfn.STDEV.S(U$62:U$91)</f>
        <v>4.823082151218804</v>
      </c>
      <c r="AT87" s="2">
        <f ca="1">V87*Sheet2!U$18/_xlfn.STDEV.S(V$62:V$91)</f>
        <v>3.9188695460948244</v>
      </c>
      <c r="AU87" s="2">
        <f ca="1">W87*Sheet2!V$18/_xlfn.STDEV.S(W$62:W$91)</f>
        <v>1.3367965558442867</v>
      </c>
      <c r="AV87" s="2">
        <f ca="1">X87*Sheet2!W$18/_xlfn.STDEV.S(X$62:X$91)</f>
        <v>5.3947172827022136</v>
      </c>
      <c r="AW87" s="2">
        <f ca="1">Y87*Sheet2!X$18/_xlfn.STDEV.S(Y$62:Y$91)</f>
        <v>4.3279382805044193</v>
      </c>
      <c r="AX87" s="2">
        <f ca="1">Z87*Sheet2!Y$18/_xlfn.STDEV.S(Z$62:Z$91)</f>
        <v>3.6315188032135275</v>
      </c>
      <c r="AY87" s="2">
        <f ca="1">AA87*Sheet2!Z$18/_xlfn.STDEV.S(AA$62:AA$91)</f>
        <v>3.1298255396703558</v>
      </c>
      <c r="AZ87" s="2">
        <f ca="1">AB87-AVERAGE(AB$62:AB$91)+Sheet2!C$17</f>
        <v>6.1729908126571829</v>
      </c>
      <c r="BA87" s="2">
        <f ca="1">AC87-AVERAGE(AC$62:AC$91)+Sheet2!D$17</f>
        <v>4.3653500430377381</v>
      </c>
      <c r="BB87" s="2">
        <f ca="1">AD87-AVERAGE(AD$62:AD$91)+Sheet2!E$17</f>
        <v>26.978579734755563</v>
      </c>
      <c r="BC87" s="2">
        <f ca="1">AE87-AVERAGE(AE$62:AE$91)+Sheet2!F$17</f>
        <v>3.0168223245913923</v>
      </c>
      <c r="BD87" s="2">
        <f ca="1">AF87-AVERAGE(AF$62:AF$91)+Sheet2!G$17</f>
        <v>35.700098131483323</v>
      </c>
      <c r="BE87" s="2">
        <f ca="1">AG87-AVERAGE(AG$62:AG$91)+Sheet2!H$17</f>
        <v>26.123303111720304</v>
      </c>
      <c r="BF87" s="2">
        <f ca="1">AH87-AVERAGE(AH$62:AH$91)+Sheet2!I$17</f>
        <v>9.5600041203104897</v>
      </c>
      <c r="BG87" s="2">
        <f ca="1">AI87-AVERAGE(AI$62:AI$91)+Sheet2!J$17</f>
        <v>24.997922260304872</v>
      </c>
      <c r="BH87" s="2">
        <f ca="1">AJ87-AVERAGE(AJ$62:AJ$91)+Sheet2!K$17</f>
        <v>20.821706608201985</v>
      </c>
      <c r="BI87" s="2">
        <f ca="1">AK87-AVERAGE(AK$62:AK$91)+Sheet2!L$17</f>
        <v>25.571083246234458</v>
      </c>
      <c r="BJ87" s="2">
        <f ca="1">AL87-AVERAGE(AL$62:AL$91)+Sheet2!M$17</f>
        <v>19.85772914183611</v>
      </c>
      <c r="BK87" s="2">
        <f ca="1">AM87-AVERAGE(AM$62:AM$91)+Sheet2!N$17</f>
        <v>13.156146993432545</v>
      </c>
      <c r="BL87" s="2">
        <f ca="1">AN87-AVERAGE(AN$62:AN$91)+Sheet2!O$17</f>
        <v>2.4977493379369053</v>
      </c>
      <c r="BM87" s="2">
        <f ca="1">AO87-AVERAGE(AO$62:AO$91)+Sheet2!P$17</f>
        <v>21.591415508616993</v>
      </c>
      <c r="BN87" s="2">
        <f ca="1">AP87-AVERAGE(AP$62:AP$91)+Sheet2!Q$17</f>
        <v>8.8342375748635575</v>
      </c>
      <c r="BO87" s="2">
        <f ca="1">AQ87-AVERAGE(AQ$62:AQ$91)+Sheet2!R$17</f>
        <v>11.015294692724527</v>
      </c>
      <c r="BP87" s="2">
        <f ca="1">AR87-AVERAGE(AR$62:AR$91)+Sheet2!S$17</f>
        <v>5.1983188108887974</v>
      </c>
      <c r="BQ87" s="2">
        <f ca="1">AS87-AVERAGE(AS$62:AS$91)+Sheet2!T$17</f>
        <v>15.665772356835721</v>
      </c>
      <c r="BR87" s="2">
        <f ca="1">AT87-AVERAGE(AT$62:AT$91)+Sheet2!U$17</f>
        <v>23.389408935302331</v>
      </c>
      <c r="BS87" s="2">
        <f ca="1">AU87-AVERAGE(AU$62:AU$91)+Sheet2!V$17</f>
        <v>20.623429849248652</v>
      </c>
      <c r="BT87" s="2">
        <f ca="1">AV87-AVERAGE(AV$62:AV$91)+Sheet2!W$17</f>
        <v>31.000710712347619</v>
      </c>
      <c r="BU87" s="2">
        <f ca="1">AW87-AVERAGE(AW$62:AW$91)+Sheet2!X$17</f>
        <v>21.827992422543481</v>
      </c>
      <c r="BV87" s="2">
        <f ca="1">AX87-AVERAGE(AX$62:AX$91)+Sheet2!Y$17</f>
        <v>19.888803737612363</v>
      </c>
      <c r="BW87" s="2">
        <f ca="1">AY87-AVERAGE(AY$62:AY$91)+Sheet2!Z$17</f>
        <v>10.909042828672836</v>
      </c>
      <c r="BZ87" s="2">
        <f ca="1">BA87-AVERAGE(AH$62:AH$91)+Sheet2!AB$17</f>
        <v>2.782992370762015</v>
      </c>
      <c r="CA87" s="2">
        <f ca="1">BB87-AVERAGE(AI$62:AI$91)+Sheet2!AC$17</f>
        <v>24.376638798915575</v>
      </c>
      <c r="CB87" s="2">
        <f ca="1">BC87-AVERAGE(AJ$62:AJ$91)+Sheet2!AD$17</f>
        <v>-0.61230048323983211</v>
      </c>
      <c r="CC87" s="2">
        <f ca="1">BD87-AVERAGE(AK$62:AK$91)+Sheet2!AE$17</f>
        <v>30.921838327094708</v>
      </c>
    </row>
    <row r="88" spans="2:81" x14ac:dyDescent="0.3">
      <c r="B88">
        <v>87</v>
      </c>
      <c r="C88" s="1">
        <v>3</v>
      </c>
      <c r="D88" s="2">
        <f t="shared" ca="1" si="8"/>
        <v>0.9740863496646377</v>
      </c>
      <c r="E88" s="2">
        <f t="shared" ca="1" si="8"/>
        <v>0.40935801789854542</v>
      </c>
      <c r="F88" s="2">
        <f t="shared" ca="1" si="8"/>
        <v>0.21719021880790135</v>
      </c>
      <c r="G88" s="2">
        <f t="shared" ca="1" si="8"/>
        <v>0.42209260973345319</v>
      </c>
      <c r="H88" s="2">
        <f t="shared" ca="1" si="8"/>
        <v>0.93754289036227512</v>
      </c>
      <c r="I88" s="2">
        <f t="shared" ca="1" si="8"/>
        <v>0.13293482963083891</v>
      </c>
      <c r="J88" s="2">
        <f t="shared" ca="1" si="8"/>
        <v>0.70269293361997676</v>
      </c>
      <c r="K88" s="2">
        <f t="shared" ca="1" si="8"/>
        <v>0.64173282434125178</v>
      </c>
      <c r="L88" s="2">
        <f t="shared" ca="1" si="8"/>
        <v>7.7560324489982402E-2</v>
      </c>
      <c r="M88" s="2">
        <f t="shared" ca="1" si="8"/>
        <v>0.44752574766115949</v>
      </c>
      <c r="N88" s="2">
        <f t="shared" ca="1" si="8"/>
        <v>0.54453964494222873</v>
      </c>
      <c r="O88" s="2">
        <f t="shared" ca="1" si="8"/>
        <v>0.56353891108208765</v>
      </c>
      <c r="P88" s="2">
        <f t="shared" ca="1" si="8"/>
        <v>0.57501571563960951</v>
      </c>
      <c r="Q88" s="2">
        <f t="shared" ref="D88:S106" ca="1" si="10">RAND()</f>
        <v>0.57315171993173253</v>
      </c>
      <c r="R88" s="2">
        <f t="shared" ca="1" si="10"/>
        <v>0.52824618168782711</v>
      </c>
      <c r="S88" s="2">
        <f t="shared" ca="1" si="10"/>
        <v>0.30389724781525562</v>
      </c>
      <c r="T88" s="2">
        <f t="shared" ca="1" si="9"/>
        <v>0.44044834119193144</v>
      </c>
      <c r="U88" s="2">
        <f t="shared" ca="1" si="9"/>
        <v>0.51418799266488902</v>
      </c>
      <c r="V88" s="2">
        <f t="shared" ca="1" si="9"/>
        <v>0.40037538013180296</v>
      </c>
      <c r="W88" s="2">
        <f t="shared" ca="1" si="9"/>
        <v>0.41218945411273866</v>
      </c>
      <c r="X88" s="2">
        <f t="shared" ca="1" si="9"/>
        <v>0.30235410280860231</v>
      </c>
      <c r="Y88" s="2">
        <f t="shared" ca="1" si="9"/>
        <v>0.86673585548010401</v>
      </c>
      <c r="Z88" s="2">
        <f t="shared" ca="1" si="9"/>
        <v>0.15304696917954952</v>
      </c>
      <c r="AA88" s="2">
        <f t="shared" ca="1" si="9"/>
        <v>0.82172313623069204</v>
      </c>
      <c r="AB88" s="2">
        <f ca="1">D88*Sheet2!C$18/_xlfn.STDEV.S(D$62:D$91)</f>
        <v>3.0598989941135497</v>
      </c>
      <c r="AC88" s="2">
        <f ca="1">E88*Sheet2!D$18/_xlfn.STDEV.S(E$62:E$91)</f>
        <v>1.1070409470057549</v>
      </c>
      <c r="AD88" s="2">
        <f ca="1">F88*Sheet2!E$18/_xlfn.STDEV.S(F$62:F$91)</f>
        <v>0.88856047865664423</v>
      </c>
      <c r="AE88" s="2">
        <f ca="1">G88*Sheet2!F$18/_xlfn.STDEV.S(G$62:G$91)</f>
        <v>5.1735593423725756</v>
      </c>
      <c r="AF88" s="2">
        <f ca="1">H88*Sheet2!G$18/_xlfn.STDEV.S(H$62:H$91)</f>
        <v>19.552939733976814</v>
      </c>
      <c r="AG88" s="2">
        <f ca="1">I88*Sheet2!H$18/_xlfn.STDEV.S(I$62:I$91)</f>
        <v>2.189149479648405</v>
      </c>
      <c r="AH88" s="2">
        <f ca="1">J88*Sheet2!I$18/_xlfn.STDEV.S(J$62:J$91)</f>
        <v>2.2119536785891416</v>
      </c>
      <c r="AI88" s="2">
        <f ca="1">K88*Sheet2!J$18/_xlfn.STDEV.S(K$62:K$91)</f>
        <v>3.9757679614922861</v>
      </c>
      <c r="AJ88" s="2">
        <f ca="1">L88*Sheet2!K$18/_xlfn.STDEV.S(L$62:L$91)</f>
        <v>0.60548765636484358</v>
      </c>
      <c r="AK88" s="2">
        <f ca="1">M88*Sheet2!L$18/_xlfn.STDEV.S(M$62:M$91)</f>
        <v>3.8092550181178999</v>
      </c>
      <c r="AL88" s="2">
        <f ca="1">N88*Sheet2!M$18/_xlfn.STDEV.S(N$62:N$91)</f>
        <v>2.8925889840346897</v>
      </c>
      <c r="AM88" s="2">
        <f ca="1">O88*Sheet2!N$18/_xlfn.STDEV.S(O$62:O$91)</f>
        <v>5.7662670377834955</v>
      </c>
      <c r="AN88" s="2">
        <f ca="1">P88*Sheet2!O$18/_xlfn.STDEV.S(P$62:P$91)</f>
        <v>2.5336032651536953</v>
      </c>
      <c r="AO88" s="2">
        <f ca="1">Q88*Sheet2!P$18/_xlfn.STDEV.S(Q$62:Q$91)</f>
        <v>4.9402432524006237</v>
      </c>
      <c r="AP88" s="2">
        <f ca="1">R88*Sheet2!Q$18/_xlfn.STDEV.S(R$62:R$91)</f>
        <v>3.5364092780037146</v>
      </c>
      <c r="AQ88" s="2">
        <f ca="1">S88*Sheet2!R$18/_xlfn.STDEV.S(S$62:S$91)</f>
        <v>0.94971389807598028</v>
      </c>
      <c r="AR88" s="2">
        <f ca="1">T88*Sheet2!S$18/_xlfn.STDEV.S(T$62:T$91)</f>
        <v>0.94263458804994771</v>
      </c>
      <c r="AS88" s="2">
        <f ca="1">U88*Sheet2!T$18/_xlfn.STDEV.S(U$62:U$91)</f>
        <v>2.9135202531530942</v>
      </c>
      <c r="AT88" s="2">
        <f ca="1">V88*Sheet2!U$18/_xlfn.STDEV.S(V$62:V$91)</f>
        <v>1.6705186433979418</v>
      </c>
      <c r="AU88" s="2">
        <f ca="1">W88*Sheet2!V$18/_xlfn.STDEV.S(W$62:W$91)</f>
        <v>1.4898866599052192</v>
      </c>
      <c r="AV88" s="2">
        <f ca="1">X88*Sheet2!W$18/_xlfn.STDEV.S(X$62:X$91)</f>
        <v>1.6851769624050634</v>
      </c>
      <c r="AW88" s="2">
        <f ca="1">Y88*Sheet2!X$18/_xlfn.STDEV.S(Y$62:Y$91)</f>
        <v>6.6166632504112961</v>
      </c>
      <c r="AX88" s="2">
        <f ca="1">Z88*Sheet2!Y$18/_xlfn.STDEV.S(Z$62:Z$91)</f>
        <v>0.88719813611222964</v>
      </c>
      <c r="AY88" s="2">
        <f ca="1">AA88*Sheet2!Z$18/_xlfn.STDEV.S(AA$62:AA$91)</f>
        <v>3.05331140055182</v>
      </c>
      <c r="AZ88" s="2">
        <f ca="1">AB88-AVERAGE(AB$62:AB$91)+Sheet2!C$17</f>
        <v>7.1068965009831953</v>
      </c>
      <c r="BA88" s="2">
        <f ca="1">AC88-AVERAGE(AC$62:AC$91)+Sheet2!D$17</f>
        <v>4.955520068842894</v>
      </c>
      <c r="BB88" s="2">
        <f ca="1">AD88-AVERAGE(AD$62:AD$91)+Sheet2!E$17</f>
        <v>26.110207702349523</v>
      </c>
      <c r="BC88" s="2">
        <f ca="1">AE88-AVERAGE(AE$62:AE$91)+Sheet2!F$17</f>
        <v>2.532844211954032</v>
      </c>
      <c r="BD88" s="2">
        <f ca="1">AF88-AVERAGE(AF$62:AF$91)+Sheet2!G$17</f>
        <v>42.35750136880484</v>
      </c>
      <c r="BE88" s="2">
        <f ca="1">AG88-AVERAGE(AG$62:AG$91)+Sheet2!H$17</f>
        <v>15.40523975174473</v>
      </c>
      <c r="BF88" s="2">
        <f ca="1">AH88-AVERAGE(AH$62:AH$91)+Sheet2!I$17</f>
        <v>10.767039534812136</v>
      </c>
      <c r="BG88" s="2">
        <f ca="1">AI88-AVERAGE(AI$62:AI$91)+Sheet2!J$17</f>
        <v>26.617855445887994</v>
      </c>
      <c r="BH88" s="2">
        <f ca="1">AJ88-AVERAGE(AJ$62:AJ$91)+Sheet2!K$17</f>
        <v>17.87784975645733</v>
      </c>
      <c r="BI88" s="2">
        <f ca="1">AK88-AVERAGE(AK$62:AK$91)+Sheet2!L$17</f>
        <v>24.292583345263591</v>
      </c>
      <c r="BJ88" s="2">
        <f ca="1">AL88-AVERAGE(AL$62:AL$91)+Sheet2!M$17</f>
        <v>18.158725849782297</v>
      </c>
      <c r="BK88" s="2">
        <f ca="1">AM88-AVERAGE(AM$62:AM$91)+Sheet2!N$17</f>
        <v>17.914037358206379</v>
      </c>
      <c r="BL88" s="2">
        <f ca="1">AN88-AVERAGE(AN$62:AN$91)+Sheet2!O$17</f>
        <v>4.6804115643335198</v>
      </c>
      <c r="BM88" s="2">
        <f ca="1">AO88-AVERAGE(AO$62:AO$91)+Sheet2!P$17</f>
        <v>18.401924723593265</v>
      </c>
      <c r="BN88" s="2">
        <f ca="1">AP88-AVERAGE(AP$62:AP$91)+Sheet2!Q$17</f>
        <v>11.421845748902891</v>
      </c>
      <c r="BO88" s="2">
        <f ca="1">AQ88-AVERAGE(AQ$62:AQ$91)+Sheet2!R$17</f>
        <v>10.247343099262402</v>
      </c>
      <c r="BP88" s="2">
        <f ca="1">AR88-AVERAGE(AR$62:AR$91)+Sheet2!S$17</f>
        <v>4.2768495032895437</v>
      </c>
      <c r="BQ88" s="2">
        <f ca="1">AS88-AVERAGE(AS$62:AS$91)+Sheet2!T$17</f>
        <v>13.75621045877001</v>
      </c>
      <c r="BR88" s="2">
        <f ca="1">AT88-AVERAGE(AT$62:AT$91)+Sheet2!U$17</f>
        <v>21.141058032605446</v>
      </c>
      <c r="BS88" s="2">
        <f ca="1">AU88-AVERAGE(AU$62:AU$91)+Sheet2!V$17</f>
        <v>20.776519953309585</v>
      </c>
      <c r="BT88" s="2">
        <f ca="1">AV88-AVERAGE(AV$62:AV$91)+Sheet2!W$17</f>
        <v>27.291170392050468</v>
      </c>
      <c r="BU88" s="2">
        <f ca="1">AW88-AVERAGE(AW$62:AW$91)+Sheet2!X$17</f>
        <v>24.116717392450358</v>
      </c>
      <c r="BV88" s="2">
        <f ca="1">AX88-AVERAGE(AX$62:AX$91)+Sheet2!Y$17</f>
        <v>17.144483070511065</v>
      </c>
      <c r="BW88" s="2">
        <f ca="1">AY88-AVERAGE(AY$62:AY$91)+Sheet2!Z$17</f>
        <v>10.832528689554302</v>
      </c>
      <c r="BZ88" s="2">
        <f ca="1">BA88-AVERAGE(AH$62:AH$91)+Sheet2!AB$17</f>
        <v>3.3731623965671709</v>
      </c>
      <c r="CA88" s="2">
        <f ca="1">BB88-AVERAGE(AI$62:AI$91)+Sheet2!AC$17</f>
        <v>23.508266766509536</v>
      </c>
      <c r="CB88" s="2">
        <f ca="1">BC88-AVERAGE(AJ$62:AJ$91)+Sheet2!AD$17</f>
        <v>-1.0962785958771923</v>
      </c>
      <c r="CC88" s="2">
        <f ca="1">BD88-AVERAGE(AK$62:AK$91)+Sheet2!AE$17</f>
        <v>37.579241564416229</v>
      </c>
    </row>
    <row r="89" spans="2:81" x14ac:dyDescent="0.3">
      <c r="B89">
        <v>88</v>
      </c>
      <c r="C89" s="1">
        <v>3</v>
      </c>
      <c r="D89" s="2">
        <f t="shared" ca="1" si="10"/>
        <v>0.34249854953842218</v>
      </c>
      <c r="E89" s="2">
        <f t="shared" ca="1" si="10"/>
        <v>0.21191695943145261</v>
      </c>
      <c r="F89" s="2">
        <f t="shared" ca="1" si="10"/>
        <v>0.80332046962461734</v>
      </c>
      <c r="G89" s="2">
        <f t="shared" ca="1" si="10"/>
        <v>0.90991746340080193</v>
      </c>
      <c r="H89" s="2">
        <f t="shared" ca="1" si="10"/>
        <v>0.29795292482518909</v>
      </c>
      <c r="I89" s="2">
        <f t="shared" ca="1" si="10"/>
        <v>0.23485300347342497</v>
      </c>
      <c r="J89" s="2">
        <f t="shared" ca="1" si="10"/>
        <v>2.4449002514945084E-2</v>
      </c>
      <c r="K89" s="2">
        <f t="shared" ca="1" si="10"/>
        <v>0.9205892062318678</v>
      </c>
      <c r="L89" s="2">
        <f t="shared" ca="1" si="10"/>
        <v>0.86143664804511488</v>
      </c>
      <c r="M89" s="2">
        <f t="shared" ca="1" si="10"/>
        <v>2.0051075780848415E-2</v>
      </c>
      <c r="N89" s="2">
        <f t="shared" ca="1" si="10"/>
        <v>0.89689909348251684</v>
      </c>
      <c r="O89" s="2">
        <f t="shared" ca="1" si="10"/>
        <v>0.79458345251722462</v>
      </c>
      <c r="P89" s="2">
        <f t="shared" ca="1" si="10"/>
        <v>8.1325625078340735E-2</v>
      </c>
      <c r="Q89" s="2">
        <f t="shared" ca="1" si="9"/>
        <v>0.82474745291107454</v>
      </c>
      <c r="R89" s="2">
        <f t="shared" ca="1" si="9"/>
        <v>0.10304503348881588</v>
      </c>
      <c r="S89" s="2">
        <f t="shared" ca="1" si="9"/>
        <v>0.36659267567941045</v>
      </c>
      <c r="T89" s="2">
        <f t="shared" ca="1" si="9"/>
        <v>0.10793582393752876</v>
      </c>
      <c r="U89" s="2">
        <f t="shared" ca="1" si="9"/>
        <v>9.4081136289786205E-2</v>
      </c>
      <c r="V89" s="2">
        <f t="shared" ca="1" si="9"/>
        <v>0.27938812130496737</v>
      </c>
      <c r="W89" s="2">
        <f t="shared" ca="1" si="9"/>
        <v>0.18130045933279892</v>
      </c>
      <c r="X89" s="2">
        <f t="shared" ca="1" si="9"/>
        <v>0.12701163434768781</v>
      </c>
      <c r="Y89" s="2">
        <f t="shared" ca="1" si="9"/>
        <v>0.69620311588775785</v>
      </c>
      <c r="Z89" s="2">
        <f t="shared" ca="1" si="9"/>
        <v>0.62985607531963628</v>
      </c>
      <c r="AA89" s="2">
        <f t="shared" ca="1" si="9"/>
        <v>0.37241939573346661</v>
      </c>
      <c r="AB89" s="2">
        <f ca="1">D89*Sheet2!C$18/_xlfn.STDEV.S(D$62:D$91)</f>
        <v>1.0758912365200286</v>
      </c>
      <c r="AC89" s="2">
        <f ca="1">E89*Sheet2!D$18/_xlfn.STDEV.S(E$62:E$91)</f>
        <v>0.57309431157573776</v>
      </c>
      <c r="AD89" s="2">
        <f ca="1">F89*Sheet2!E$18/_xlfn.STDEV.S(F$62:F$91)</f>
        <v>3.286514581191454</v>
      </c>
      <c r="AE89" s="2">
        <f ca="1">G89*Sheet2!F$18/_xlfn.STDEV.S(G$62:G$91)</f>
        <v>11.152794161778658</v>
      </c>
      <c r="AF89" s="2">
        <f ca="1">H89*Sheet2!G$18/_xlfn.STDEV.S(H$62:H$91)</f>
        <v>6.2139616678420788</v>
      </c>
      <c r="AG89" s="2">
        <f ca="1">I89*Sheet2!H$18/_xlfn.STDEV.S(I$62:I$91)</f>
        <v>3.867521640306395</v>
      </c>
      <c r="AH89" s="2">
        <f ca="1">J89*Sheet2!I$18/_xlfn.STDEV.S(J$62:J$91)</f>
        <v>7.6961156805961245E-2</v>
      </c>
      <c r="AI89" s="2">
        <f ca="1">K89*Sheet2!J$18/_xlfn.STDEV.S(K$62:K$91)</f>
        <v>5.7033845441665987</v>
      </c>
      <c r="AJ89" s="2">
        <f ca="1">L89*Sheet2!K$18/_xlfn.STDEV.S(L$62:L$91)</f>
        <v>6.7249493934104292</v>
      </c>
      <c r="AK89" s="2">
        <f ca="1">M89*Sheet2!L$18/_xlfn.STDEV.S(M$62:M$91)</f>
        <v>0.17067098694551394</v>
      </c>
      <c r="AL89" s="2">
        <f ca="1">N89*Sheet2!M$18/_xlfn.STDEV.S(N$62:N$91)</f>
        <v>4.7643187446406552</v>
      </c>
      <c r="AM89" s="2">
        <f ca="1">O89*Sheet2!N$18/_xlfn.STDEV.S(O$62:O$91)</f>
        <v>8.1303709130226789</v>
      </c>
      <c r="AN89" s="2">
        <f ca="1">P89*Sheet2!O$18/_xlfn.STDEV.S(P$62:P$91)</f>
        <v>0.35833258750146751</v>
      </c>
      <c r="AO89" s="2">
        <f ca="1">Q89*Sheet2!P$18/_xlfn.STDEV.S(Q$62:Q$91)</f>
        <v>7.1088559930760402</v>
      </c>
      <c r="AP89" s="2">
        <f ca="1">R89*Sheet2!Q$18/_xlfn.STDEV.S(R$62:R$91)</f>
        <v>0.68984769812761992</v>
      </c>
      <c r="AQ89" s="2">
        <f ca="1">S89*Sheet2!R$18/_xlfn.STDEV.S(S$62:S$91)</f>
        <v>1.1456443305378265</v>
      </c>
      <c r="AR89" s="2">
        <f ca="1">T89*Sheet2!S$18/_xlfn.STDEV.S(T$62:T$91)</f>
        <v>0.23100107644371337</v>
      </c>
      <c r="AS89" s="2">
        <f ca="1">U89*Sheet2!T$18/_xlfn.STDEV.S(U$62:U$91)</f>
        <v>0.53308770319456333</v>
      </c>
      <c r="AT89" s="2">
        <f ca="1">V89*Sheet2!U$18/_xlfn.STDEV.S(V$62:V$91)</f>
        <v>1.165713699054695</v>
      </c>
      <c r="AU89" s="2">
        <f ca="1">W89*Sheet2!V$18/_xlfn.STDEV.S(W$62:W$91)</f>
        <v>0.65532277233067104</v>
      </c>
      <c r="AV89" s="2">
        <f ca="1">X89*Sheet2!W$18/_xlfn.STDEV.S(X$62:X$91)</f>
        <v>0.70790202008811487</v>
      </c>
      <c r="AW89" s="2">
        <f ca="1">Y89*Sheet2!X$18/_xlfn.STDEV.S(Y$62:Y$91)</f>
        <v>5.3148159760446276</v>
      </c>
      <c r="AX89" s="2">
        <f ca="1">Z89*Sheet2!Y$18/_xlfn.STDEV.S(Z$62:Z$91)</f>
        <v>3.6512133434473424</v>
      </c>
      <c r="AY89" s="2">
        <f ca="1">AA89*Sheet2!Z$18/_xlfn.STDEV.S(AA$62:AA$91)</f>
        <v>1.3838144949838416</v>
      </c>
      <c r="AZ89" s="2">
        <f ca="1">AB89-AVERAGE(AB$62:AB$91)+Sheet2!C$17</f>
        <v>5.1228887433896748</v>
      </c>
      <c r="BA89" s="2">
        <f ca="1">AC89-AVERAGE(AC$62:AC$91)+Sheet2!D$17</f>
        <v>4.4215734334128776</v>
      </c>
      <c r="BB89" s="2">
        <f ca="1">AD89-AVERAGE(AD$62:AD$91)+Sheet2!E$17</f>
        <v>28.508161804884335</v>
      </c>
      <c r="BC89" s="2">
        <f ca="1">AE89-AVERAGE(AE$62:AE$91)+Sheet2!F$17</f>
        <v>8.5120790313601145</v>
      </c>
      <c r="BD89" s="2">
        <f ca="1">AF89-AVERAGE(AF$62:AF$91)+Sheet2!G$17</f>
        <v>29.018523302670104</v>
      </c>
      <c r="BE89" s="2">
        <f ca="1">AG89-AVERAGE(AG$62:AG$91)+Sheet2!H$17</f>
        <v>17.08361191240272</v>
      </c>
      <c r="BF89" s="2">
        <f ca="1">AH89-AVERAGE(AH$62:AH$91)+Sheet2!I$17</f>
        <v>8.6320470130289557</v>
      </c>
      <c r="BG89" s="2">
        <f ca="1">AI89-AVERAGE(AI$62:AI$91)+Sheet2!J$17</f>
        <v>28.345472028562305</v>
      </c>
      <c r="BH89" s="2">
        <f ca="1">AJ89-AVERAGE(AJ$62:AJ$91)+Sheet2!K$17</f>
        <v>23.997311493502913</v>
      </c>
      <c r="BI89" s="2">
        <f ca="1">AK89-AVERAGE(AK$62:AK$91)+Sheet2!L$17</f>
        <v>20.653999314091205</v>
      </c>
      <c r="BJ89" s="2">
        <f ca="1">AL89-AVERAGE(AL$62:AL$91)+Sheet2!M$17</f>
        <v>20.030455610388259</v>
      </c>
      <c r="BK89" s="2">
        <f ca="1">AM89-AVERAGE(AM$62:AM$91)+Sheet2!N$17</f>
        <v>20.278141233445563</v>
      </c>
      <c r="BL89" s="2">
        <f ca="1">AN89-AVERAGE(AN$62:AN$91)+Sheet2!O$17</f>
        <v>2.5051408866812923</v>
      </c>
      <c r="BM89" s="2">
        <f ca="1">AO89-AVERAGE(AO$62:AO$91)+Sheet2!P$17</f>
        <v>20.570537464268682</v>
      </c>
      <c r="BN89" s="2">
        <f ca="1">AP89-AVERAGE(AP$62:AP$91)+Sheet2!Q$17</f>
        <v>8.575284169026796</v>
      </c>
      <c r="BO89" s="2">
        <f ca="1">AQ89-AVERAGE(AQ$62:AQ$91)+Sheet2!R$17</f>
        <v>10.443273531724246</v>
      </c>
      <c r="BP89" s="2">
        <f ca="1">AR89-AVERAGE(AR$62:AR$91)+Sheet2!S$17</f>
        <v>3.565215991683309</v>
      </c>
      <c r="BQ89" s="2">
        <f ca="1">AS89-AVERAGE(AS$62:AS$91)+Sheet2!T$17</f>
        <v>11.375777908811479</v>
      </c>
      <c r="BR89" s="2">
        <f ca="1">AT89-AVERAGE(AT$62:AT$91)+Sheet2!U$17</f>
        <v>20.636253088262201</v>
      </c>
      <c r="BS89" s="2">
        <f ca="1">AU89-AVERAGE(AU$62:AU$91)+Sheet2!V$17</f>
        <v>19.941956065735035</v>
      </c>
      <c r="BT89" s="2">
        <f ca="1">AV89-AVERAGE(AV$62:AV$91)+Sheet2!W$17</f>
        <v>26.313895449733518</v>
      </c>
      <c r="BU89" s="2">
        <f ca="1">AW89-AVERAGE(AW$62:AW$91)+Sheet2!X$17</f>
        <v>22.814870118083689</v>
      </c>
      <c r="BV89" s="2">
        <f ca="1">AX89-AVERAGE(AX$62:AX$91)+Sheet2!Y$17</f>
        <v>19.908498277846178</v>
      </c>
      <c r="BW89" s="2">
        <f ca="1">AY89-AVERAGE(AY$62:AY$91)+Sheet2!Z$17</f>
        <v>9.1630317839863231</v>
      </c>
      <c r="BZ89" s="2">
        <f ca="1">BA89-AVERAGE(AH$62:AH$91)+Sheet2!AB$17</f>
        <v>2.8392157611371545</v>
      </c>
      <c r="CA89" s="2">
        <f ca="1">BB89-AVERAGE(AI$62:AI$91)+Sheet2!AC$17</f>
        <v>25.906220869044347</v>
      </c>
      <c r="CB89" s="2">
        <f ca="1">BC89-AVERAGE(AJ$62:AJ$91)+Sheet2!AD$17</f>
        <v>4.8829562235288897</v>
      </c>
      <c r="CC89" s="2">
        <f ca="1">BD89-AVERAGE(AK$62:AK$91)+Sheet2!AE$17</f>
        <v>24.24026349828149</v>
      </c>
    </row>
    <row r="90" spans="2:81" x14ac:dyDescent="0.3">
      <c r="B90">
        <v>89</v>
      </c>
      <c r="C90" s="1">
        <v>3</v>
      </c>
      <c r="D90" s="2">
        <f t="shared" ca="1" si="10"/>
        <v>0.63549253944932893</v>
      </c>
      <c r="E90" s="2">
        <f t="shared" ca="1" si="10"/>
        <v>0.13441852689806288</v>
      </c>
      <c r="F90" s="2">
        <f t="shared" ca="1" si="10"/>
        <v>0.54540411370276087</v>
      </c>
      <c r="G90" s="2">
        <f t="shared" ca="1" si="10"/>
        <v>0.76723332108507603</v>
      </c>
      <c r="H90" s="2">
        <f t="shared" ca="1" si="10"/>
        <v>0.84052459829487614</v>
      </c>
      <c r="I90" s="2">
        <f t="shared" ca="1" si="10"/>
        <v>0.94064728154887078</v>
      </c>
      <c r="J90" s="2">
        <f t="shared" ca="1" si="10"/>
        <v>0.94344838706898615</v>
      </c>
      <c r="K90" s="2">
        <f t="shared" ca="1" si="10"/>
        <v>0.12649144452312977</v>
      </c>
      <c r="L90" s="2">
        <f t="shared" ca="1" si="10"/>
        <v>0.65064899913543384</v>
      </c>
      <c r="M90" s="2">
        <f t="shared" ca="1" si="10"/>
        <v>0.79617313520707755</v>
      </c>
      <c r="N90" s="2">
        <f t="shared" ca="1" si="10"/>
        <v>0.37496024877124146</v>
      </c>
      <c r="O90" s="2">
        <f t="shared" ca="1" si="10"/>
        <v>0.700424966347998</v>
      </c>
      <c r="P90" s="2">
        <f t="shared" ca="1" si="10"/>
        <v>0.52191176363898573</v>
      </c>
      <c r="Q90" s="2">
        <f t="shared" ca="1" si="9"/>
        <v>0.33664090382664524</v>
      </c>
      <c r="R90" s="2">
        <f t="shared" ca="1" si="9"/>
        <v>9.7098131774334906E-2</v>
      </c>
      <c r="S90" s="2">
        <f t="shared" ca="1" si="9"/>
        <v>0.59023711463376272</v>
      </c>
      <c r="T90" s="2">
        <f t="shared" ca="1" si="9"/>
        <v>0.50385927002861841</v>
      </c>
      <c r="U90" s="2">
        <f t="shared" ca="1" si="9"/>
        <v>6.820834951700816E-2</v>
      </c>
      <c r="V90" s="2">
        <f t="shared" ca="1" si="9"/>
        <v>0.77858999386317485</v>
      </c>
      <c r="W90" s="2">
        <f t="shared" ca="1" si="9"/>
        <v>0.88681482960327196</v>
      </c>
      <c r="X90" s="2">
        <f t="shared" ca="1" si="9"/>
        <v>0.82773897809206742</v>
      </c>
      <c r="Y90" s="2">
        <f t="shared" ca="1" si="9"/>
        <v>0.75401927726810747</v>
      </c>
      <c r="Z90" s="2">
        <f t="shared" ca="1" si="9"/>
        <v>0.75504226751740189</v>
      </c>
      <c r="AA90" s="2">
        <f t="shared" ca="1" si="9"/>
        <v>0.34316407482206279</v>
      </c>
      <c r="AB90" s="2">
        <f ca="1">D90*Sheet2!C$18/_xlfn.STDEV.S(D$62:D$91)</f>
        <v>1.9962737214181701</v>
      </c>
      <c r="AC90" s="2">
        <f ca="1">E90*Sheet2!D$18/_xlfn.STDEV.S(E$62:E$91)</f>
        <v>0.36351263882958829</v>
      </c>
      <c r="AD90" s="2">
        <f ca="1">F90*Sheet2!E$18/_xlfn.STDEV.S(F$62:F$91)</f>
        <v>2.2313368575850316</v>
      </c>
      <c r="AE90" s="2">
        <f ca="1">G90*Sheet2!F$18/_xlfn.STDEV.S(G$62:G$91)</f>
        <v>9.4039246945968067</v>
      </c>
      <c r="AF90" s="2">
        <f ca="1">H90*Sheet2!G$18/_xlfn.STDEV.S(H$62:H$91)</f>
        <v>17.529573296677931</v>
      </c>
      <c r="AG90" s="2">
        <f ca="1">I90*Sheet2!H$18/_xlfn.STDEV.S(I$62:I$91)</f>
        <v>15.490428751094507</v>
      </c>
      <c r="AH90" s="2">
        <f ca="1">J90*Sheet2!I$18/_xlfn.STDEV.S(J$62:J$91)</f>
        <v>2.9698094722336181</v>
      </c>
      <c r="AI90" s="2">
        <f ca="1">K90*Sheet2!J$18/_xlfn.STDEV.S(K$62:K$91)</f>
        <v>0.78366044787279365</v>
      </c>
      <c r="AJ90" s="2">
        <f ca="1">L90*Sheet2!K$18/_xlfn.STDEV.S(L$62:L$91)</f>
        <v>5.0794003273352519</v>
      </c>
      <c r="AK90" s="2">
        <f ca="1">M90*Sheet2!L$18/_xlfn.STDEV.S(M$62:M$91)</f>
        <v>6.7768760265264145</v>
      </c>
      <c r="AL90" s="2">
        <f ca="1">N90*Sheet2!M$18/_xlfn.STDEV.S(N$62:N$91)</f>
        <v>1.9917849785972292</v>
      </c>
      <c r="AM90" s="2">
        <f ca="1">O90*Sheet2!N$18/_xlfn.STDEV.S(O$62:O$91)</f>
        <v>7.1669184087711724</v>
      </c>
      <c r="AN90" s="2">
        <f ca="1">P90*Sheet2!O$18/_xlfn.STDEV.S(P$62:P$91)</f>
        <v>2.2996194930202898</v>
      </c>
      <c r="AO90" s="2">
        <f ca="1">Q90*Sheet2!P$18/_xlfn.STDEV.S(Q$62:Q$91)</f>
        <v>2.9016539526562357</v>
      </c>
      <c r="AP90" s="2">
        <f ca="1">R90*Sheet2!Q$18/_xlfn.STDEV.S(R$62:R$91)</f>
        <v>0.65003543042457557</v>
      </c>
      <c r="AQ90" s="2">
        <f ca="1">S90*Sheet2!R$18/_xlfn.STDEV.S(S$62:S$91)</f>
        <v>1.8445589585224607</v>
      </c>
      <c r="AR90" s="2">
        <f ca="1">T90*Sheet2!S$18/_xlfn.STDEV.S(T$62:T$91)</f>
        <v>1.0783447932923553</v>
      </c>
      <c r="AS90" s="2">
        <f ca="1">U90*Sheet2!T$18/_xlfn.STDEV.S(U$62:U$91)</f>
        <v>0.38648589735051248</v>
      </c>
      <c r="AT90" s="2">
        <f ca="1">V90*Sheet2!U$18/_xlfn.STDEV.S(V$62:V$91)</f>
        <v>3.2485741253204701</v>
      </c>
      <c r="AU90" s="2">
        <f ca="1">W90*Sheet2!V$18/_xlfn.STDEV.S(W$62:W$91)</f>
        <v>3.2054521804205516</v>
      </c>
      <c r="AV90" s="2">
        <f ca="1">X90*Sheet2!W$18/_xlfn.STDEV.S(X$62:X$91)</f>
        <v>4.6134206343098958</v>
      </c>
      <c r="AW90" s="2">
        <f ca="1">Y90*Sheet2!X$18/_xlfn.STDEV.S(Y$62:Y$91)</f>
        <v>5.7561846674013557</v>
      </c>
      <c r="AX90" s="2">
        <f ca="1">Z90*Sheet2!Y$18/_xlfn.STDEV.S(Z$62:Z$91)</f>
        <v>4.3769053122608339</v>
      </c>
      <c r="AY90" s="2">
        <f ca="1">AA90*Sheet2!Z$18/_xlfn.STDEV.S(AA$62:AA$91)</f>
        <v>1.2751092621297018</v>
      </c>
      <c r="AZ90" s="2">
        <f ca="1">AB90-AVERAGE(AB$62:AB$91)+Sheet2!C$17</f>
        <v>6.043271228287816</v>
      </c>
      <c r="BA90" s="2">
        <f ca="1">AC90-AVERAGE(AC$62:AC$91)+Sheet2!D$17</f>
        <v>4.2119917606667281</v>
      </c>
      <c r="BB90" s="2">
        <f ca="1">AD90-AVERAGE(AD$62:AD$91)+Sheet2!E$17</f>
        <v>27.452984081277911</v>
      </c>
      <c r="BC90" s="2">
        <f ca="1">AE90-AVERAGE(AE$62:AE$91)+Sheet2!F$17</f>
        <v>6.763209564178263</v>
      </c>
      <c r="BD90" s="2">
        <f ca="1">AF90-AVERAGE(AF$62:AF$91)+Sheet2!G$17</f>
        <v>40.334134931505957</v>
      </c>
      <c r="BE90" s="2">
        <f ca="1">AG90-AVERAGE(AG$62:AG$91)+Sheet2!H$17</f>
        <v>28.706519023190832</v>
      </c>
      <c r="BF90" s="2">
        <f ca="1">AH90-AVERAGE(AH$62:AH$91)+Sheet2!I$17</f>
        <v>11.524895328456612</v>
      </c>
      <c r="BG90" s="2">
        <f ca="1">AI90-AVERAGE(AI$62:AI$91)+Sheet2!J$17</f>
        <v>23.425747932268504</v>
      </c>
      <c r="BH90" s="2">
        <f ca="1">AJ90-AVERAGE(AJ$62:AJ$91)+Sheet2!K$17</f>
        <v>22.351762427427737</v>
      </c>
      <c r="BI90" s="2">
        <f ca="1">AK90-AVERAGE(AK$62:AK$91)+Sheet2!L$17</f>
        <v>27.260204353672105</v>
      </c>
      <c r="BJ90" s="2">
        <f ca="1">AL90-AVERAGE(AL$62:AL$91)+Sheet2!M$17</f>
        <v>17.257921844344835</v>
      </c>
      <c r="BK90" s="2">
        <f ca="1">AM90-AVERAGE(AM$62:AM$91)+Sheet2!N$17</f>
        <v>19.314688729194057</v>
      </c>
      <c r="BL90" s="2">
        <f ca="1">AN90-AVERAGE(AN$62:AN$91)+Sheet2!O$17</f>
        <v>4.4464277922001143</v>
      </c>
      <c r="BM90" s="2">
        <f ca="1">AO90-AVERAGE(AO$62:AO$91)+Sheet2!P$17</f>
        <v>16.363335423848877</v>
      </c>
      <c r="BN90" s="2">
        <f ca="1">AP90-AVERAGE(AP$62:AP$91)+Sheet2!Q$17</f>
        <v>8.535471901323751</v>
      </c>
      <c r="BO90" s="2">
        <f ca="1">AQ90-AVERAGE(AQ$62:AQ$91)+Sheet2!R$17</f>
        <v>11.142188159708882</v>
      </c>
      <c r="BP90" s="2">
        <f ca="1">AR90-AVERAGE(AR$62:AR$91)+Sheet2!S$17</f>
        <v>4.4125597085319512</v>
      </c>
      <c r="BQ90" s="2">
        <f ca="1">AS90-AVERAGE(AS$62:AS$91)+Sheet2!T$17</f>
        <v>11.229176102967429</v>
      </c>
      <c r="BR90" s="2">
        <f ca="1">AT90-AVERAGE(AT$62:AT$91)+Sheet2!U$17</f>
        <v>22.719113514527976</v>
      </c>
      <c r="BS90" s="2">
        <f ca="1">AU90-AVERAGE(AU$62:AU$91)+Sheet2!V$17</f>
        <v>22.492085473824915</v>
      </c>
      <c r="BT90" s="2">
        <f ca="1">AV90-AVERAGE(AV$62:AV$91)+Sheet2!W$17</f>
        <v>30.219414063955298</v>
      </c>
      <c r="BU90" s="2">
        <f ca="1">AW90-AVERAGE(AW$62:AW$91)+Sheet2!X$17</f>
        <v>23.256238809440418</v>
      </c>
      <c r="BV90" s="2">
        <f ca="1">AX90-AVERAGE(AX$62:AX$91)+Sheet2!Y$17</f>
        <v>20.634190246659671</v>
      </c>
      <c r="BW90" s="2">
        <f ca="1">AY90-AVERAGE(AY$62:AY$91)+Sheet2!Z$17</f>
        <v>9.0543265511321831</v>
      </c>
      <c r="BZ90" s="2">
        <f ca="1">BA90-AVERAGE(AH$62:AH$91)+Sheet2!AB$17</f>
        <v>2.629634088391005</v>
      </c>
      <c r="CA90" s="2">
        <f ca="1">BB90-AVERAGE(AI$62:AI$91)+Sheet2!AC$17</f>
        <v>24.851043145437924</v>
      </c>
      <c r="CB90" s="2">
        <f ca="1">BC90-AVERAGE(AJ$62:AJ$91)+Sheet2!AD$17</f>
        <v>3.1340867563470387</v>
      </c>
      <c r="CC90" s="2">
        <f ca="1">BD90-AVERAGE(AK$62:AK$91)+Sheet2!AE$17</f>
        <v>35.555875127117346</v>
      </c>
    </row>
    <row r="91" spans="2:81" x14ac:dyDescent="0.3">
      <c r="B91">
        <v>90</v>
      </c>
      <c r="C91" s="1">
        <v>3</v>
      </c>
      <c r="D91" s="2">
        <f t="shared" ca="1" si="10"/>
        <v>0.93919640604371346</v>
      </c>
      <c r="E91" s="2">
        <f t="shared" ca="1" si="10"/>
        <v>0.54257701473101394</v>
      </c>
      <c r="F91" s="2">
        <f t="shared" ca="1" si="10"/>
        <v>0.22181299703998525</v>
      </c>
      <c r="G91" s="2">
        <f t="shared" ca="1" si="10"/>
        <v>0.90916966242675534</v>
      </c>
      <c r="H91" s="2">
        <f t="shared" ca="1" si="10"/>
        <v>0.79449847133359919</v>
      </c>
      <c r="I91" s="2">
        <f t="shared" ca="1" si="10"/>
        <v>0.58903171771027585</v>
      </c>
      <c r="J91" s="2">
        <f t="shared" ca="1" si="10"/>
        <v>0.32861554230892198</v>
      </c>
      <c r="K91" s="2">
        <f t="shared" ca="1" si="10"/>
        <v>0.60772744394195732</v>
      </c>
      <c r="L91" s="2">
        <f t="shared" ca="1" si="10"/>
        <v>0.23912750926789816</v>
      </c>
      <c r="M91" s="2">
        <f t="shared" ca="1" si="10"/>
        <v>0.97393538496407128</v>
      </c>
      <c r="N91" s="2">
        <f t="shared" ca="1" si="10"/>
        <v>0.89116594989511222</v>
      </c>
      <c r="O91" s="2">
        <f t="shared" ca="1" si="10"/>
        <v>0.42174608201690211</v>
      </c>
      <c r="P91" s="2">
        <f t="shared" ca="1" si="10"/>
        <v>0.40201262263002624</v>
      </c>
      <c r="Q91" s="2">
        <f t="shared" ca="1" si="9"/>
        <v>0.81303880036694154</v>
      </c>
      <c r="R91" s="2">
        <f t="shared" ca="1" si="9"/>
        <v>0.52030880908037136</v>
      </c>
      <c r="S91" s="2">
        <f t="shared" ca="1" si="9"/>
        <v>0.90323150458261492</v>
      </c>
      <c r="T91" s="2">
        <f t="shared" ca="1" si="9"/>
        <v>0.54142322002957832</v>
      </c>
      <c r="U91" s="2">
        <f t="shared" ca="1" si="9"/>
        <v>0.83751837163863507</v>
      </c>
      <c r="V91" s="2">
        <f t="shared" ca="1" si="9"/>
        <v>0.14944698640488352</v>
      </c>
      <c r="W91" s="2">
        <f t="shared" ca="1" si="9"/>
        <v>0.27697592692910933</v>
      </c>
      <c r="X91" s="2">
        <f t="shared" ca="1" si="9"/>
        <v>0.40777556136806425</v>
      </c>
      <c r="Y91" s="2">
        <f t="shared" ca="1" si="9"/>
        <v>0.77863741898160244</v>
      </c>
      <c r="Z91" s="2">
        <f t="shared" ca="1" si="9"/>
        <v>0.601939577507558</v>
      </c>
      <c r="AA91" s="2">
        <f t="shared" ca="1" si="9"/>
        <v>0.37279308011576362</v>
      </c>
      <c r="AB91" s="2">
        <f ca="1">D91*Sheet2!C$18/_xlfn.STDEV.S(D$62:D$91)</f>
        <v>2.9502991589171117</v>
      </c>
      <c r="AC91" s="2">
        <f ca="1">E91*Sheet2!D$18/_xlfn.STDEV.S(E$62:E$91)</f>
        <v>1.4673096554816776</v>
      </c>
      <c r="AD91" s="2">
        <f ca="1">F91*Sheet2!E$18/_xlfn.STDEV.S(F$62:F$91)</f>
        <v>0.90747301560775362</v>
      </c>
      <c r="AE91" s="2">
        <f ca="1">G91*Sheet2!F$18/_xlfn.STDEV.S(G$62:G$91)</f>
        <v>11.143628417990922</v>
      </c>
      <c r="AF91" s="2">
        <f ca="1">H91*Sheet2!G$18/_xlfn.STDEV.S(H$62:H$91)</f>
        <v>16.56967471932915</v>
      </c>
      <c r="AG91" s="2">
        <f ca="1">I91*Sheet2!H$18/_xlfn.STDEV.S(I$62:I$91)</f>
        <v>9.7000799707852963</v>
      </c>
      <c r="AH91" s="2">
        <f ca="1">J91*Sheet2!I$18/_xlfn.STDEV.S(J$62:J$91)</f>
        <v>1.0344238896884805</v>
      </c>
      <c r="AI91" s="2">
        <f ca="1">K91*Sheet2!J$18/_xlfn.STDEV.S(K$62:K$91)</f>
        <v>3.7650922771860409</v>
      </c>
      <c r="AJ91" s="2">
        <f ca="1">L91*Sheet2!K$18/_xlfn.STDEV.S(L$62:L$91)</f>
        <v>1.8667889299210296</v>
      </c>
      <c r="AK91" s="2">
        <f ca="1">M91*Sheet2!L$18/_xlfn.STDEV.S(M$62:M$91)</f>
        <v>8.2899548727327073</v>
      </c>
      <c r="AL91" s="2">
        <f ca="1">N91*Sheet2!M$18/_xlfn.STDEV.S(N$62:N$91)</f>
        <v>4.7338643449677447</v>
      </c>
      <c r="AM91" s="2">
        <f ca="1">O91*Sheet2!N$18/_xlfn.STDEV.S(O$62:O$91)</f>
        <v>4.3154083652870527</v>
      </c>
      <c r="AN91" s="2">
        <f ca="1">P91*Sheet2!O$18/_xlfn.STDEV.S(P$62:P$91)</f>
        <v>1.7713263579161094</v>
      </c>
      <c r="AO91" s="2">
        <f ca="1">Q91*Sheet2!P$18/_xlfn.STDEV.S(Q$62:Q$91)</f>
        <v>7.007934038706356</v>
      </c>
      <c r="AP91" s="2">
        <f ca="1">R91*Sheet2!Q$18/_xlfn.STDEV.S(R$62:R$91)</f>
        <v>3.4832715571738331</v>
      </c>
      <c r="AQ91" s="2">
        <f ca="1">S91*Sheet2!R$18/_xlfn.STDEV.S(S$62:S$91)</f>
        <v>2.8227024734480861</v>
      </c>
      <c r="AR91" s="2">
        <f ca="1">T91*Sheet2!S$18/_xlfn.STDEV.S(T$62:T$91)</f>
        <v>1.1587380544835779</v>
      </c>
      <c r="AS91" s="2">
        <f ca="1">U91*Sheet2!T$18/_xlfn.STDEV.S(U$62:U$91)</f>
        <v>4.7455926100305952</v>
      </c>
      <c r="AT91" s="2">
        <f ca="1">V91*Sheet2!U$18/_xlfn.STDEV.S(V$62:V$91)</f>
        <v>0.62354977198350947</v>
      </c>
      <c r="AU91" s="2">
        <f ca="1">W91*Sheet2!V$18/_xlfn.STDEV.S(W$62:W$91)</f>
        <v>1.0011482208705287</v>
      </c>
      <c r="AV91" s="2">
        <f ca="1">X91*Sheet2!W$18/_xlfn.STDEV.S(X$62:X$91)</f>
        <v>2.2727456828467525</v>
      </c>
      <c r="AW91" s="2">
        <f ca="1">Y91*Sheet2!X$18/_xlfn.STDEV.S(Y$62:Y$91)</f>
        <v>5.9441196103706542</v>
      </c>
      <c r="AX91" s="2">
        <f ca="1">Z91*Sheet2!Y$18/_xlfn.STDEV.S(Z$62:Z$91)</f>
        <v>3.4893841680090456</v>
      </c>
      <c r="AY91" s="2">
        <f ca="1">AA91*Sheet2!Z$18/_xlfn.STDEV.S(AA$62:AA$91)</f>
        <v>1.3852030098428842</v>
      </c>
      <c r="AZ91" s="2">
        <f ca="1">AB91-AVERAGE(AB$62:AB$91)+Sheet2!C$17</f>
        <v>6.9972966657867577</v>
      </c>
      <c r="BA91" s="2">
        <f ca="1">AC91-AVERAGE(AC$62:AC$91)+Sheet2!D$17</f>
        <v>5.3157887773188168</v>
      </c>
      <c r="BB91" s="2">
        <f ca="1">AD91-AVERAGE(AD$62:AD$91)+Sheet2!E$17</f>
        <v>26.129120239300633</v>
      </c>
      <c r="BC91" s="2">
        <f ca="1">AE91-AVERAGE(AE$62:AE$91)+Sheet2!F$17</f>
        <v>8.5029132875723779</v>
      </c>
      <c r="BD91" s="2">
        <f ca="1">AF91-AVERAGE(AF$62:AF$91)+Sheet2!G$17</f>
        <v>39.374236354157176</v>
      </c>
      <c r="BE91" s="2">
        <f ca="1">AG91-AVERAGE(AG$62:AG$91)+Sheet2!H$17</f>
        <v>22.91617024288162</v>
      </c>
      <c r="BF91" s="2">
        <f ca="1">AH91-AVERAGE(AH$62:AH$91)+Sheet2!I$17</f>
        <v>9.5895097459114744</v>
      </c>
      <c r="BG91" s="2">
        <f ca="1">AI91-AVERAGE(AI$62:AI$91)+Sheet2!J$17</f>
        <v>26.407179761581748</v>
      </c>
      <c r="BH91" s="2">
        <f ca="1">AJ91-AVERAGE(AJ$62:AJ$91)+Sheet2!K$17</f>
        <v>19.139151030013515</v>
      </c>
      <c r="BI91" s="2">
        <f ca="1">AK91-AVERAGE(AK$62:AK$91)+Sheet2!L$17</f>
        <v>28.773283199878399</v>
      </c>
      <c r="BJ91" s="2">
        <f ca="1">AL91-AVERAGE(AL$62:AL$91)+Sheet2!M$17</f>
        <v>20.00000121071535</v>
      </c>
      <c r="BK91" s="2">
        <f ca="1">AM91-AVERAGE(AM$62:AM$91)+Sheet2!N$17</f>
        <v>16.463178685709938</v>
      </c>
      <c r="BL91" s="2">
        <f ca="1">AN91-AVERAGE(AN$62:AN$91)+Sheet2!O$17</f>
        <v>3.9181346570959343</v>
      </c>
      <c r="BM91" s="2">
        <f ca="1">AO91-AVERAGE(AO$62:AO$91)+Sheet2!P$17</f>
        <v>20.469615509898997</v>
      </c>
      <c r="BN91" s="2">
        <f ca="1">AP91-AVERAGE(AP$62:AP$91)+Sheet2!Q$17</f>
        <v>11.368708028073009</v>
      </c>
      <c r="BO91" s="2">
        <f ca="1">AQ91-AVERAGE(AQ$62:AQ$91)+Sheet2!R$17</f>
        <v>12.120331674634507</v>
      </c>
      <c r="BP91" s="2">
        <f ca="1">AR91-AVERAGE(AR$62:AR$91)+Sheet2!S$17</f>
        <v>4.4929529697231736</v>
      </c>
      <c r="BQ91" s="2">
        <f ca="1">AS91-AVERAGE(AS$62:AS$91)+Sheet2!T$17</f>
        <v>15.588282815647512</v>
      </c>
      <c r="BR91" s="2">
        <f ca="1">AT91-AVERAGE(AT$62:AT$91)+Sheet2!U$17</f>
        <v>20.094089161191015</v>
      </c>
      <c r="BS91" s="2">
        <f ca="1">AU91-AVERAGE(AU$62:AU$91)+Sheet2!V$17</f>
        <v>20.287781514274894</v>
      </c>
      <c r="BT91" s="2">
        <f ca="1">AV91-AVERAGE(AV$62:AV$91)+Sheet2!W$17</f>
        <v>27.878739112492156</v>
      </c>
      <c r="BU91" s="2">
        <f ca="1">AW91-AVERAGE(AW$62:AW$91)+Sheet2!X$17</f>
        <v>23.444173752409714</v>
      </c>
      <c r="BV91" s="2">
        <f ca="1">AX91-AVERAGE(AX$62:AX$91)+Sheet2!Y$17</f>
        <v>19.746669102407882</v>
      </c>
      <c r="BW91" s="2">
        <f ca="1">AY91-AVERAGE(AY$62:AY$91)+Sheet2!Z$17</f>
        <v>9.164420298845366</v>
      </c>
      <c r="BZ91" s="2">
        <f ca="1">BA91-AVERAGE(AH$62:AH$91)+Sheet2!AB$17</f>
        <v>3.7334311050430937</v>
      </c>
      <c r="CA91" s="2">
        <f ca="1">BB91-AVERAGE(AI$62:AI$91)+Sheet2!AC$17</f>
        <v>23.527179303460645</v>
      </c>
      <c r="CB91" s="2">
        <f ca="1">BC91-AVERAGE(AJ$62:AJ$91)+Sheet2!AD$17</f>
        <v>4.8737904797411531</v>
      </c>
      <c r="CC91" s="2">
        <f ca="1">BD91-AVERAGE(AK$62:AK$91)+Sheet2!AE$17</f>
        <v>34.595976549768565</v>
      </c>
    </row>
    <row r="92" spans="2:81" x14ac:dyDescent="0.3">
      <c r="B92">
        <v>91</v>
      </c>
      <c r="C92" s="1">
        <v>4</v>
      </c>
      <c r="D92" s="2">
        <f t="shared" ca="1" si="10"/>
        <v>0.10363111572644523</v>
      </c>
      <c r="E92" s="2">
        <f t="shared" ca="1" si="10"/>
        <v>0.17093848291107583</v>
      </c>
      <c r="F92" s="2">
        <f t="shared" ca="1" si="10"/>
        <v>0.65271149059402167</v>
      </c>
      <c r="G92" s="2">
        <f t="shared" ca="1" si="10"/>
        <v>0.79106533842180005</v>
      </c>
      <c r="H92" s="2">
        <f t="shared" ca="1" si="10"/>
        <v>8.2610189443194648E-2</v>
      </c>
      <c r="I92" s="2">
        <f t="shared" ca="1" si="10"/>
        <v>0.33583750350964936</v>
      </c>
      <c r="J92" s="2">
        <f t="shared" ca="1" si="10"/>
        <v>0.220269508060707</v>
      </c>
      <c r="K92" s="2">
        <f t="shared" ca="1" si="10"/>
        <v>0.21068600371613733</v>
      </c>
      <c r="L92" s="2">
        <f t="shared" ca="1" si="10"/>
        <v>8.486426883650533E-2</v>
      </c>
      <c r="M92" s="2">
        <f t="shared" ca="1" si="10"/>
        <v>1.7910570542826521E-2</v>
      </c>
      <c r="N92" s="2">
        <f t="shared" ca="1" si="10"/>
        <v>0.34694959632297651</v>
      </c>
      <c r="O92" s="2">
        <f t="shared" ca="1" si="10"/>
        <v>0.44830749895150968</v>
      </c>
      <c r="P92" s="2">
        <f t="shared" ca="1" si="10"/>
        <v>0.175090815726335</v>
      </c>
      <c r="Q92" s="2">
        <f t="shared" ca="1" si="10"/>
        <v>0.73826383695786035</v>
      </c>
      <c r="R92" s="2">
        <f t="shared" ca="1" si="10"/>
        <v>0.60827494659854897</v>
      </c>
      <c r="S92" s="2">
        <f t="shared" ca="1" si="10"/>
        <v>0.37009702217963913</v>
      </c>
      <c r="T92" s="2">
        <f t="shared" ca="1" si="9"/>
        <v>0.87407460308910856</v>
      </c>
      <c r="U92" s="2">
        <f t="shared" ca="1" si="9"/>
        <v>0.52094250946929377</v>
      </c>
      <c r="V92" s="2">
        <f t="shared" ca="1" si="9"/>
        <v>0.2955409833889161</v>
      </c>
      <c r="W92" s="2">
        <f t="shared" ca="1" si="9"/>
        <v>0.9969775210420796</v>
      </c>
      <c r="X92" s="2">
        <f t="shared" ca="1" si="9"/>
        <v>0.88813789737190174</v>
      </c>
      <c r="Y92" s="2">
        <f t="shared" ca="1" si="9"/>
        <v>0.28111785329569794</v>
      </c>
      <c r="Z92" s="2">
        <f t="shared" ca="1" si="9"/>
        <v>0.49408107256171885</v>
      </c>
      <c r="AA92" s="2">
        <f t="shared" ca="1" si="9"/>
        <v>0.54406552761426785</v>
      </c>
      <c r="AB92" s="2">
        <f ca="1">D92*Sheet2!C$20/_xlfn.STDEV.S(D$92:D$121)</f>
        <v>0.37420891330063016</v>
      </c>
      <c r="AC92" s="2">
        <f ca="1">E92*Sheet2!D$20/_xlfn.STDEV.S(E$92:E$121)</f>
        <v>2.5987355771115408</v>
      </c>
      <c r="AD92" s="2">
        <f ca="1">F92*Sheet2!E$20/_xlfn.STDEV.S(F$92:F$121)</f>
        <v>3.4303904884276535</v>
      </c>
      <c r="AE92" s="2">
        <f ca="1">G92*Sheet2!F$20/_xlfn.STDEV.S(G$92:G$121)</f>
        <v>5.9862475210388162</v>
      </c>
      <c r="AF92" s="2">
        <f ca="1">H92*Sheet2!G$20/_xlfn.STDEV.S(H$92:H$121)</f>
        <v>0.85567545520219646</v>
      </c>
      <c r="AG92" s="2">
        <f ca="1">I92*Sheet2!H$20/_xlfn.STDEV.S(I$92:I$121)</f>
        <v>6.4581938313437233</v>
      </c>
      <c r="AH92" s="2">
        <f ca="1">J92*Sheet2!I$20/_xlfn.STDEV.S(J$92:J$121)</f>
        <v>0.52147982245855562</v>
      </c>
      <c r="AI92" s="2">
        <f ca="1">K92*Sheet2!J$20/_xlfn.STDEV.S(K$92:K$121)</f>
        <v>1.3552357891423255</v>
      </c>
      <c r="AJ92" s="2">
        <f ca="1">L92*Sheet2!K$20/_xlfn.STDEV.S(L$92:L$121)</f>
        <v>0.48539561821544219</v>
      </c>
      <c r="AK92" s="2">
        <f ca="1">M92*Sheet2!L$20/_xlfn.STDEV.S(M$92:M$121)</f>
        <v>8.9307862354879572E-2</v>
      </c>
      <c r="AL92" s="2">
        <f ca="1">N92*Sheet2!M$20/_xlfn.STDEV.S(N$92:N$121)</f>
        <v>0.98782467161066256</v>
      </c>
      <c r="AM92" s="2">
        <f ca="1">O92*Sheet2!N$20/_xlfn.STDEV.S(O$92:O$121)</f>
        <v>3.6614864142300543</v>
      </c>
      <c r="AN92" s="2">
        <f ca="1">P92*Sheet2!O$20/_xlfn.STDEV.S(P$92:P$121)</f>
        <v>0.85602194407816468</v>
      </c>
      <c r="AO92" s="2">
        <f ca="1">Q92*Sheet2!P$20/_xlfn.STDEV.S(Q$92:Q$121)</f>
        <v>4.3914226710162723</v>
      </c>
      <c r="AP92" s="2">
        <f ca="1">R92*Sheet2!Q$20/_xlfn.STDEV.S(R$92:R$121)</f>
        <v>2.8265464354895795</v>
      </c>
      <c r="AQ92" s="2">
        <f ca="1">S92*Sheet2!R$20/_xlfn.STDEV.S(S$92:S$121)</f>
        <v>1.5109406717782243</v>
      </c>
      <c r="AR92" s="2">
        <f ca="1">T92*Sheet2!S$20/_xlfn.STDEV.S(T$92:T$121)</f>
        <v>2.8976986596316054</v>
      </c>
      <c r="AS92" s="2">
        <f ca="1">U92*Sheet2!T$20/_xlfn.STDEV.S(U$92:U$121)</f>
        <v>6.8827288330053733</v>
      </c>
      <c r="AT92" s="2">
        <f ca="1">V92*Sheet2!U$20/_xlfn.STDEV.S(V$92:V$121)</f>
        <v>1.9951171958066762</v>
      </c>
      <c r="AU92" s="2">
        <f ca="1">W92*Sheet2!V$20/_xlfn.STDEV.S(W$92:W$121)</f>
        <v>6.7120233417164652</v>
      </c>
      <c r="AV92" s="2">
        <f ca="1">X92*Sheet2!W$20/_xlfn.STDEV.S(X$92:X$121)</f>
        <v>3.5021450310615529</v>
      </c>
      <c r="AW92" s="2">
        <f ca="1">Y92*Sheet2!X$20/_xlfn.STDEV.S(Y$92:Y$121)</f>
        <v>1.4172340023775818</v>
      </c>
      <c r="AX92" s="2">
        <f ca="1">Z92*Sheet2!Y$20/_xlfn.STDEV.S(Z$92:Z$121)</f>
        <v>2.0545177248019448</v>
      </c>
      <c r="AY92" s="2">
        <f ca="1">AA92*Sheet2!Z$20/_xlfn.STDEV.S(AA$92:AA$121)</f>
        <v>1.1897067664905265</v>
      </c>
      <c r="AZ92" s="2">
        <f ca="1">AB92-AVERAGE(AB$92:AB$121)+Sheet2!C$19</f>
        <v>2.5528850754705017</v>
      </c>
      <c r="BA92" s="2">
        <f ca="1">AC92-AVERAGE(AC$92:AC$121)+Sheet2!D$19</f>
        <v>4.650819534560819</v>
      </c>
      <c r="BB92" s="2">
        <f ca="1">AD92-AVERAGE(AD$92:AD$121)+Sheet2!E$19</f>
        <v>22.929898054320553</v>
      </c>
      <c r="BC92" s="2">
        <f ca="1">AE92-AVERAGE(AE$92:AE$121)+Sheet2!F$19</f>
        <v>18.766763178621545</v>
      </c>
      <c r="BD92" s="2">
        <f ca="1">AF92-AVERAGE(AF$92:AF$121)+Sheet2!G$19</f>
        <v>13.845947558782964</v>
      </c>
      <c r="BE92" s="2">
        <f ca="1">AG92-AVERAGE(AG$92:AG$121)+Sheet2!H$19</f>
        <v>25.728056252686525</v>
      </c>
      <c r="BF92" s="2">
        <f ca="1">AH92-AVERAGE(AH$92:AH$121)+Sheet2!I$19</f>
        <v>11.30504726817894</v>
      </c>
      <c r="BG92" s="2">
        <f ca="1">AI92-AVERAGE(AI$92:AI$121)+Sheet2!J$19</f>
        <v>22.720213247582468</v>
      </c>
      <c r="BH92" s="2">
        <f ca="1">AJ92-AVERAGE(AJ$92:AJ$121)+Sheet2!K$19</f>
        <v>20.125362009083393</v>
      </c>
      <c r="BI92" s="2">
        <f ca="1">AK92-AVERAGE(AK$92:AK$121)+Sheet2!L$19</f>
        <v>20.460877590360514</v>
      </c>
      <c r="BJ92" s="2">
        <f ca="1">AL92-AVERAGE(AL$92:AL$121)+Sheet2!M$19</f>
        <v>17.05157963985414</v>
      </c>
      <c r="BK92" s="2">
        <f ca="1">AM92-AVERAGE(AM$92:AM$121)+Sheet2!N$19</f>
        <v>6.4154101045501832</v>
      </c>
      <c r="BL92" s="2">
        <f ca="1">AN92-AVERAGE(AN$92:AN$121)+Sheet2!O$19</f>
        <v>2.9040657196485715</v>
      </c>
      <c r="BM92" s="2">
        <f ca="1">AO92-AVERAGE(AO$92:AO$121)+Sheet2!P$19</f>
        <v>27.116581260820585</v>
      </c>
      <c r="BN92" s="2">
        <f ca="1">AP92-AVERAGE(AP$92:AP$121)+Sheet2!Q$19</f>
        <v>10.722861189701641</v>
      </c>
      <c r="BO92" s="2">
        <f ca="1">AQ92-AVERAGE(AQ$92:AQ$121)+Sheet2!R$19</f>
        <v>6.5244927109554416</v>
      </c>
      <c r="BP92" s="2">
        <f ca="1">AR92-AVERAGE(AR$92:AR$121)+Sheet2!S$19</f>
        <v>4.2211282195795725</v>
      </c>
      <c r="BQ92" s="2">
        <f ca="1">AS92-AVERAGE(AS$92:AS$121)+Sheet2!T$19</f>
        <v>25.702915556890321</v>
      </c>
      <c r="BR92" s="2">
        <f ca="1">AT92-AVERAGE(AT$92:AT$121)+Sheet2!U$19</f>
        <v>16.364450682278605</v>
      </c>
      <c r="BS92" s="2">
        <f ca="1">AU92-AVERAGE(AU$92:AU$121)+Sheet2!V$19</f>
        <v>27.427688564929916</v>
      </c>
      <c r="BT92" s="2">
        <f ca="1">AV92-AVERAGE(AV$92:AV$121)+Sheet2!W$19</f>
        <v>25.46823150133817</v>
      </c>
      <c r="BU92" s="2">
        <f ca="1">AW92-AVERAGE(AW$92:AW$121)+Sheet2!X$19</f>
        <v>23.002584553553469</v>
      </c>
      <c r="BV92" s="2">
        <f ca="1">AX92-AVERAGE(AX$92:AX$121)+Sheet2!Y$19</f>
        <v>21.340792848179024</v>
      </c>
      <c r="BW92" s="2">
        <f ca="1">AY92-AVERAGE(AY$92:AY$121)+Sheet2!Z$19</f>
        <v>7.2291673699630774</v>
      </c>
      <c r="BZ92" s="2">
        <f ca="1">BA92-AVERAGE(AH$92:AH$121)+Sheet2!AB$19</f>
        <v>3.5752321026692075</v>
      </c>
      <c r="CA92" s="2">
        <f ca="1">BB92-AVERAGE(AI$92:AI$121)+Sheet2!AC$19</f>
        <v>19.305267735430977</v>
      </c>
      <c r="CB92" s="2">
        <f ca="1">BC92-AVERAGE(AJ$92:AJ$121)+Sheet2!AD$19</f>
        <v>16.05400814827092</v>
      </c>
      <c r="CC92" s="2">
        <f ca="1">BD92-AVERAGE(AK$92:AK$121)+Sheet2!AE$19</f>
        <v>11.404080143101373</v>
      </c>
    </row>
    <row r="93" spans="2:81" x14ac:dyDescent="0.3">
      <c r="B93">
        <v>92</v>
      </c>
      <c r="C93" s="1">
        <v>4</v>
      </c>
      <c r="D93" s="2">
        <f t="shared" ca="1" si="10"/>
        <v>3.2861514325706831E-2</v>
      </c>
      <c r="E93" s="2">
        <f t="shared" ca="1" si="10"/>
        <v>0.48704133127229421</v>
      </c>
      <c r="F93" s="2">
        <f t="shared" ca="1" si="10"/>
        <v>0.92691884522403067</v>
      </c>
      <c r="G93" s="2">
        <f t="shared" ca="1" si="10"/>
        <v>0.68615907866421988</v>
      </c>
      <c r="H93" s="2">
        <f t="shared" ca="1" si="10"/>
        <v>0.49791437305775199</v>
      </c>
      <c r="I93" s="2">
        <f t="shared" ca="1" si="10"/>
        <v>0.15309311401307513</v>
      </c>
      <c r="J93" s="2">
        <f t="shared" ca="1" si="10"/>
        <v>0.74545837404927706</v>
      </c>
      <c r="K93" s="2">
        <f t="shared" ca="1" si="10"/>
        <v>0.23643918309254985</v>
      </c>
      <c r="L93" s="2">
        <f t="shared" ca="1" si="10"/>
        <v>0.83718548257909808</v>
      </c>
      <c r="M93" s="2">
        <f t="shared" ca="1" si="10"/>
        <v>0.9197536557263799</v>
      </c>
      <c r="N93" s="2">
        <f t="shared" ca="1" si="10"/>
        <v>0.48492364026564805</v>
      </c>
      <c r="O93" s="2">
        <f t="shared" ca="1" si="10"/>
        <v>0.77525151974037332</v>
      </c>
      <c r="P93" s="2">
        <f t="shared" ca="1" si="10"/>
        <v>0.53533701087446295</v>
      </c>
      <c r="Q93" s="2">
        <f t="shared" ca="1" si="10"/>
        <v>0.77993128901270314</v>
      </c>
      <c r="R93" s="2">
        <f t="shared" ca="1" si="10"/>
        <v>0.64538769716332711</v>
      </c>
      <c r="S93" s="2">
        <f t="shared" ca="1" si="10"/>
        <v>0.63754658067675385</v>
      </c>
      <c r="T93" s="2">
        <f t="shared" ca="1" si="9"/>
        <v>9.832729765003756E-2</v>
      </c>
      <c r="U93" s="2">
        <f t="shared" ca="1" si="9"/>
        <v>0.85149301986167159</v>
      </c>
      <c r="V93" s="2">
        <f t="shared" ca="1" si="9"/>
        <v>0.42826126693455269</v>
      </c>
      <c r="W93" s="2">
        <f t="shared" ca="1" si="9"/>
        <v>0.33434355203966537</v>
      </c>
      <c r="X93" s="2">
        <f t="shared" ca="1" si="9"/>
        <v>0.76060853296996533</v>
      </c>
      <c r="Y93" s="2">
        <f t="shared" ca="1" si="9"/>
        <v>6.480661189495196E-2</v>
      </c>
      <c r="Z93" s="2">
        <f t="shared" ca="1" si="9"/>
        <v>0.90767639698971403</v>
      </c>
      <c r="AA93" s="2">
        <f t="shared" ca="1" si="9"/>
        <v>0.16238069069900518</v>
      </c>
      <c r="AB93" s="2">
        <f ca="1">D93*Sheet2!C$20/_xlfn.STDEV.S(D$92:D$121)</f>
        <v>0.11866196247173859</v>
      </c>
      <c r="AC93" s="2">
        <f ca="1">E93*Sheet2!D$20/_xlfn.STDEV.S(E$92:E$121)</f>
        <v>7.4043691832663914</v>
      </c>
      <c r="AD93" s="2">
        <f ca="1">F93*Sheet2!E$20/_xlfn.STDEV.S(F$92:F$121)</f>
        <v>4.8715146523727864</v>
      </c>
      <c r="AE93" s="2">
        <f ca="1">G93*Sheet2!F$20/_xlfn.STDEV.S(G$92:G$121)</f>
        <v>5.1923878903436611</v>
      </c>
      <c r="AF93" s="2">
        <f ca="1">H93*Sheet2!G$20/_xlfn.STDEV.S(H$92:H$121)</f>
        <v>5.1573917296349459</v>
      </c>
      <c r="AG93" s="2">
        <f ca="1">I93*Sheet2!H$20/_xlfn.STDEV.S(I$92:I$121)</f>
        <v>2.9439981961753579</v>
      </c>
      <c r="AH93" s="2">
        <f ca="1">J93*Sheet2!I$20/_xlfn.STDEV.S(J$92:J$121)</f>
        <v>1.7648448211103378</v>
      </c>
      <c r="AI93" s="2">
        <f ca="1">K93*Sheet2!J$20/_xlfn.STDEV.S(K$92:K$121)</f>
        <v>1.5208928795968968</v>
      </c>
      <c r="AJ93" s="2">
        <f ca="1">L93*Sheet2!K$20/_xlfn.STDEV.S(L$92:L$121)</f>
        <v>4.7884247451699204</v>
      </c>
      <c r="AK93" s="2">
        <f ca="1">M93*Sheet2!L$20/_xlfn.STDEV.S(M$92:M$121)</f>
        <v>4.5861873964091977</v>
      </c>
      <c r="AL93" s="2">
        <f ca="1">N93*Sheet2!M$20/_xlfn.STDEV.S(N$92:N$121)</f>
        <v>1.3806603056420335</v>
      </c>
      <c r="AM93" s="2">
        <f ca="1">O93*Sheet2!N$20/_xlfn.STDEV.S(O$92:O$121)</f>
        <v>6.3317542396220503</v>
      </c>
      <c r="AN93" s="2">
        <f ca="1">P93*Sheet2!O$20/_xlfn.STDEV.S(P$92:P$121)</f>
        <v>2.6172716534829958</v>
      </c>
      <c r="AO93" s="2">
        <f ca="1">Q93*Sheet2!P$20/_xlfn.STDEV.S(Q$92:Q$121)</f>
        <v>4.6392736213636674</v>
      </c>
      <c r="AP93" s="2">
        <f ca="1">R93*Sheet2!Q$20/_xlfn.STDEV.S(R$92:R$121)</f>
        <v>2.999002844234818</v>
      </c>
      <c r="AQ93" s="2">
        <f ca="1">S93*Sheet2!R$20/_xlfn.STDEV.S(S$92:S$121)</f>
        <v>2.6028176428560306</v>
      </c>
      <c r="AR93" s="2">
        <f ca="1">T93*Sheet2!S$20/_xlfn.STDEV.S(T$92:T$121)</f>
        <v>0.32597089264320495</v>
      </c>
      <c r="AS93" s="2">
        <f ca="1">U93*Sheet2!T$20/_xlfn.STDEV.S(U$92:U$121)</f>
        <v>11.249985271647692</v>
      </c>
      <c r="AT93" s="2">
        <f ca="1">V93*Sheet2!U$20/_xlfn.STDEV.S(V$92:V$121)</f>
        <v>2.8910759115756659</v>
      </c>
      <c r="AU93" s="2">
        <f ca="1">W93*Sheet2!V$20/_xlfn.STDEV.S(W$92:W$121)</f>
        <v>2.2509250991907868</v>
      </c>
      <c r="AV93" s="2">
        <f ca="1">X93*Sheet2!W$20/_xlfn.STDEV.S(X$92:X$121)</f>
        <v>2.9992655444679777</v>
      </c>
      <c r="AW93" s="2">
        <f ca="1">Y93*Sheet2!X$20/_xlfn.STDEV.S(Y$92:Y$121)</f>
        <v>0.32671754169879658</v>
      </c>
      <c r="AX93" s="2">
        <f ca="1">Z93*Sheet2!Y$20/_xlfn.STDEV.S(Z$92:Z$121)</f>
        <v>3.7743547558519053</v>
      </c>
      <c r="AY93" s="2">
        <f ca="1">AA93*Sheet2!Z$20/_xlfn.STDEV.S(AA$92:AA$121)</f>
        <v>0.35507746156815245</v>
      </c>
      <c r="AZ93" s="2">
        <f ca="1">AB93-AVERAGE(AB$92:AB$121)+Sheet2!C$19</f>
        <v>2.2973381246416102</v>
      </c>
      <c r="BA93" s="2">
        <f ca="1">AC93-AVERAGE(AC$92:AC$121)+Sheet2!D$19</f>
        <v>9.45645314071567</v>
      </c>
      <c r="BB93" s="2">
        <f ca="1">AD93-AVERAGE(AD$92:AD$121)+Sheet2!E$19</f>
        <v>24.371022218265683</v>
      </c>
      <c r="BC93" s="2">
        <f ca="1">AE93-AVERAGE(AE$92:AE$121)+Sheet2!F$19</f>
        <v>17.972903547926389</v>
      </c>
      <c r="BD93" s="2">
        <f ca="1">AF93-AVERAGE(AF$92:AF$121)+Sheet2!G$19</f>
        <v>18.147663833215713</v>
      </c>
      <c r="BE93" s="2">
        <f ca="1">AG93-AVERAGE(AG$92:AG$121)+Sheet2!H$19</f>
        <v>22.213860617518158</v>
      </c>
      <c r="BF93" s="2">
        <f ca="1">AH93-AVERAGE(AH$92:AH$121)+Sheet2!I$19</f>
        <v>12.548412266830724</v>
      </c>
      <c r="BG93" s="2">
        <f ca="1">AI93-AVERAGE(AI$92:AI$121)+Sheet2!J$19</f>
        <v>22.885870338037041</v>
      </c>
      <c r="BH93" s="2">
        <f ca="1">AJ93-AVERAGE(AJ$92:AJ$121)+Sheet2!K$19</f>
        <v>24.42839113603787</v>
      </c>
      <c r="BI93" s="2">
        <f ca="1">AK93-AVERAGE(AK$92:AK$121)+Sheet2!L$19</f>
        <v>24.957757124414833</v>
      </c>
      <c r="BJ93" s="2">
        <f ca="1">AL93-AVERAGE(AL$92:AL$121)+Sheet2!M$19</f>
        <v>17.444415273885511</v>
      </c>
      <c r="BK93" s="2">
        <f ca="1">AM93-AVERAGE(AM$92:AM$121)+Sheet2!N$19</f>
        <v>9.0856779299421788</v>
      </c>
      <c r="BL93" s="2">
        <f ca="1">AN93-AVERAGE(AN$92:AN$121)+Sheet2!O$19</f>
        <v>4.6653154290534022</v>
      </c>
      <c r="BM93" s="2">
        <f ca="1">AO93-AVERAGE(AO$92:AO$121)+Sheet2!P$19</f>
        <v>27.36443221116798</v>
      </c>
      <c r="BN93" s="2">
        <f ca="1">AP93-AVERAGE(AP$92:AP$121)+Sheet2!Q$19</f>
        <v>10.89531759844688</v>
      </c>
      <c r="BO93" s="2">
        <f ca="1">AQ93-AVERAGE(AQ$92:AQ$121)+Sheet2!R$19</f>
        <v>7.6163696820332483</v>
      </c>
      <c r="BP93" s="2">
        <f ca="1">AR93-AVERAGE(AR$92:AR$121)+Sheet2!S$19</f>
        <v>1.6494004525911716</v>
      </c>
      <c r="BQ93" s="2">
        <f ca="1">AS93-AVERAGE(AS$92:AS$121)+Sheet2!T$19</f>
        <v>30.07017199553264</v>
      </c>
      <c r="BR93" s="2">
        <f ca="1">AT93-AVERAGE(AT$92:AT$121)+Sheet2!U$19</f>
        <v>17.260409398047592</v>
      </c>
      <c r="BS93" s="2">
        <f ca="1">AU93-AVERAGE(AU$92:AU$121)+Sheet2!V$19</f>
        <v>22.966590322404237</v>
      </c>
      <c r="BT93" s="2">
        <f ca="1">AV93-AVERAGE(AV$92:AV$121)+Sheet2!W$19</f>
        <v>24.965352014744592</v>
      </c>
      <c r="BU93" s="2">
        <f ca="1">AW93-AVERAGE(AW$92:AW$121)+Sheet2!X$19</f>
        <v>21.912068092874684</v>
      </c>
      <c r="BV93" s="2">
        <f ca="1">AX93-AVERAGE(AX$92:AX$121)+Sheet2!Y$19</f>
        <v>23.060629879228983</v>
      </c>
      <c r="BW93" s="2">
        <f ca="1">AY93-AVERAGE(AY$92:AY$121)+Sheet2!Z$19</f>
        <v>6.3945380650407033</v>
      </c>
      <c r="BZ93" s="2">
        <f ca="1">BA93-AVERAGE(AH$92:AH$121)+Sheet2!AB$19</f>
        <v>8.380865708824059</v>
      </c>
      <c r="CA93" s="2">
        <f ca="1">BB93-AVERAGE(AI$92:AI$121)+Sheet2!AC$19</f>
        <v>20.746391899376107</v>
      </c>
      <c r="CB93" s="2">
        <f ca="1">BC93-AVERAGE(AJ$92:AJ$121)+Sheet2!AD$19</f>
        <v>15.260148517575766</v>
      </c>
      <c r="CC93" s="2">
        <f ca="1">BD93-AVERAGE(AK$92:AK$121)+Sheet2!AE$19</f>
        <v>15.705796417534122</v>
      </c>
    </row>
    <row r="94" spans="2:81" x14ac:dyDescent="0.3">
      <c r="B94">
        <v>93</v>
      </c>
      <c r="C94" s="1">
        <v>4</v>
      </c>
      <c r="D94" s="2">
        <f t="shared" ca="1" si="10"/>
        <v>0.26833372451405768</v>
      </c>
      <c r="E94" s="2">
        <f t="shared" ca="1" si="10"/>
        <v>0.96777553559021756</v>
      </c>
      <c r="F94" s="2">
        <f t="shared" ca="1" si="10"/>
        <v>0.97341380426897928</v>
      </c>
      <c r="G94" s="2">
        <f t="shared" ca="1" si="10"/>
        <v>0.95305733158362294</v>
      </c>
      <c r="H94" s="2">
        <f t="shared" ca="1" si="10"/>
        <v>0.61580175420403038</v>
      </c>
      <c r="I94" s="2">
        <f t="shared" ca="1" si="10"/>
        <v>0.48806728516120468</v>
      </c>
      <c r="J94" s="2">
        <f t="shared" ca="1" si="10"/>
        <v>0.96600020887498372</v>
      </c>
      <c r="K94" s="2">
        <f t="shared" ca="1" si="10"/>
        <v>0.97513698957533523</v>
      </c>
      <c r="L94" s="2">
        <f t="shared" ca="1" si="10"/>
        <v>0.94418071812550219</v>
      </c>
      <c r="M94" s="2">
        <f t="shared" ca="1" si="10"/>
        <v>0.99946213430115116</v>
      </c>
      <c r="N94" s="2">
        <f t="shared" ca="1" si="10"/>
        <v>0.19287129530179647</v>
      </c>
      <c r="O94" s="2">
        <f t="shared" ca="1" si="10"/>
        <v>0.67369973777426262</v>
      </c>
      <c r="P94" s="2">
        <f t="shared" ca="1" si="10"/>
        <v>0.43445726456018885</v>
      </c>
      <c r="Q94" s="2">
        <f t="shared" ca="1" si="9"/>
        <v>0.17518434574123798</v>
      </c>
      <c r="R94" s="2">
        <f t="shared" ca="1" si="9"/>
        <v>0.68633348383683346</v>
      </c>
      <c r="S94" s="2">
        <f t="shared" ca="1" si="9"/>
        <v>0.8840863127732651</v>
      </c>
      <c r="T94" s="2">
        <f t="shared" ca="1" si="9"/>
        <v>0.32731272444245296</v>
      </c>
      <c r="U94" s="2">
        <f t="shared" ca="1" si="9"/>
        <v>0.38180731805721035</v>
      </c>
      <c r="V94" s="2">
        <f t="shared" ca="1" si="9"/>
        <v>0.72574700276835458</v>
      </c>
      <c r="W94" s="2">
        <f t="shared" ca="1" si="9"/>
        <v>0.50357907421894732</v>
      </c>
      <c r="X94" s="2">
        <f t="shared" ca="1" si="9"/>
        <v>0.23595218241373506</v>
      </c>
      <c r="Y94" s="2">
        <f t="shared" ca="1" si="9"/>
        <v>0.72543225737283024</v>
      </c>
      <c r="Z94" s="2">
        <f t="shared" ca="1" si="9"/>
        <v>0.79504445942033197</v>
      </c>
      <c r="AA94" s="2">
        <f t="shared" ca="1" si="9"/>
        <v>0.61458139313948379</v>
      </c>
      <c r="AB94" s="2">
        <f ca="1">D94*Sheet2!C$20/_xlfn.STDEV.S(D$92:D$121)</f>
        <v>0.96894519323111183</v>
      </c>
      <c r="AC94" s="2">
        <f ca="1">E94*Sheet2!D$20/_xlfn.STDEV.S(E$92:E$121)</f>
        <v>14.712852671711159</v>
      </c>
      <c r="AD94" s="2">
        <f ca="1">F94*Sheet2!E$20/_xlfn.STDEV.S(F$92:F$121)</f>
        <v>5.1158735575951697</v>
      </c>
      <c r="AE94" s="2">
        <f ca="1">G94*Sheet2!F$20/_xlfn.STDEV.S(G$92:G$121)</f>
        <v>7.2120933777511445</v>
      </c>
      <c r="AF94" s="2">
        <f ca="1">H94*Sheet2!G$20/_xlfn.STDEV.S(H$92:H$121)</f>
        <v>6.3784679576988008</v>
      </c>
      <c r="AG94" s="2">
        <f ca="1">I94*Sheet2!H$20/_xlfn.STDEV.S(I$92:I$121)</f>
        <v>9.3855900468787432</v>
      </c>
      <c r="AH94" s="2">
        <f ca="1">J94*Sheet2!I$20/_xlfn.STDEV.S(J$92:J$121)</f>
        <v>2.2869693670002618</v>
      </c>
      <c r="AI94" s="2">
        <f ca="1">K94*Sheet2!J$20/_xlfn.STDEV.S(K$92:K$121)</f>
        <v>6.2725597537534901</v>
      </c>
      <c r="AJ94" s="2">
        <f ca="1">L94*Sheet2!K$20/_xlfn.STDEV.S(L$92:L$121)</f>
        <v>5.4004021912280331</v>
      </c>
      <c r="AK94" s="2">
        <f ca="1">M94*Sheet2!L$20/_xlfn.STDEV.S(M$92:M$121)</f>
        <v>4.9836394940992763</v>
      </c>
      <c r="AL94" s="2">
        <f ca="1">N94*Sheet2!M$20/_xlfn.STDEV.S(N$92:N$121)</f>
        <v>0.54913747115953337</v>
      </c>
      <c r="AM94" s="2">
        <f ca="1">O94*Sheet2!N$20/_xlfn.STDEV.S(O$92:O$121)</f>
        <v>5.5023448032878495</v>
      </c>
      <c r="AN94" s="2">
        <f ca="1">P94*Sheet2!O$20/_xlfn.STDEV.S(P$92:P$121)</f>
        <v>2.1240688763994204</v>
      </c>
      <c r="AO94" s="2">
        <f ca="1">Q94*Sheet2!P$20/_xlfn.STDEV.S(Q$92:Q$121)</f>
        <v>1.0420509159236213</v>
      </c>
      <c r="AP94" s="2">
        <f ca="1">R94*Sheet2!Q$20/_xlfn.STDEV.S(R$92:R$121)</f>
        <v>3.189270695997418</v>
      </c>
      <c r="AQ94" s="2">
        <f ca="1">S94*Sheet2!R$20/_xlfn.STDEV.S(S$92:S$121)</f>
        <v>3.6093291414898059</v>
      </c>
      <c r="AR94" s="2">
        <f ca="1">T94*Sheet2!S$20/_xlfn.STDEV.S(T$92:T$121)</f>
        <v>1.085094612685565</v>
      </c>
      <c r="AS94" s="2">
        <f ca="1">U94*Sheet2!T$20/_xlfn.STDEV.S(U$92:U$121)</f>
        <v>5.0444649627882034</v>
      </c>
      <c r="AT94" s="2">
        <f ca="1">V94*Sheet2!U$20/_xlfn.STDEV.S(V$92:V$121)</f>
        <v>4.899321604824177</v>
      </c>
      <c r="AU94" s="2">
        <f ca="1">W94*Sheet2!V$20/_xlfn.STDEV.S(W$92:W$121)</f>
        <v>3.390281555219619</v>
      </c>
      <c r="AV94" s="2">
        <f ca="1">X94*Sheet2!W$20/_xlfn.STDEV.S(X$92:X$121)</f>
        <v>0.93041718595008627</v>
      </c>
      <c r="AW94" s="2">
        <f ca="1">Y94*Sheet2!X$20/_xlfn.STDEV.S(Y$92:Y$121)</f>
        <v>3.6572108441966171</v>
      </c>
      <c r="AX94" s="2">
        <f ca="1">Z94*Sheet2!Y$20/_xlfn.STDEV.S(Z$92:Z$121)</f>
        <v>3.3060018377461926</v>
      </c>
      <c r="AY94" s="2">
        <f ca="1">AA94*Sheet2!Z$20/_xlfn.STDEV.S(AA$92:AA$121)</f>
        <v>1.3439036381948557</v>
      </c>
      <c r="AZ94" s="2">
        <f ca="1">AB94-AVERAGE(AB$92:AB$121)+Sheet2!C$19</f>
        <v>3.1476213554009833</v>
      </c>
      <c r="BA94" s="2">
        <f ca="1">AC94-AVERAGE(AC$92:AC$121)+Sheet2!D$19</f>
        <v>16.764936629160438</v>
      </c>
      <c r="BB94" s="2">
        <f ca="1">AD94-AVERAGE(AD$92:AD$121)+Sheet2!E$19</f>
        <v>24.615381123488067</v>
      </c>
      <c r="BC94" s="2">
        <f ca="1">AE94-AVERAGE(AE$92:AE$121)+Sheet2!F$19</f>
        <v>19.992609035333871</v>
      </c>
      <c r="BD94" s="2">
        <f ca="1">AF94-AVERAGE(AF$92:AF$121)+Sheet2!G$19</f>
        <v>19.368740061279567</v>
      </c>
      <c r="BE94" s="2">
        <f ca="1">AG94-AVERAGE(AG$92:AG$121)+Sheet2!H$19</f>
        <v>28.655452468221544</v>
      </c>
      <c r="BF94" s="2">
        <f ca="1">AH94-AVERAGE(AH$92:AH$121)+Sheet2!I$19</f>
        <v>13.070536812720647</v>
      </c>
      <c r="BG94" s="2">
        <f ca="1">AI94-AVERAGE(AI$92:AI$121)+Sheet2!J$19</f>
        <v>27.637537212193632</v>
      </c>
      <c r="BH94" s="2">
        <f ca="1">AJ94-AVERAGE(AJ$92:AJ$121)+Sheet2!K$19</f>
        <v>25.040368582095983</v>
      </c>
      <c r="BI94" s="2">
        <f ca="1">AK94-AVERAGE(AK$92:AK$121)+Sheet2!L$19</f>
        <v>25.355209222104911</v>
      </c>
      <c r="BJ94" s="2">
        <f ca="1">AL94-AVERAGE(AL$92:AL$121)+Sheet2!M$19</f>
        <v>16.612892439403012</v>
      </c>
      <c r="BK94" s="2">
        <f ca="1">AM94-AVERAGE(AM$92:AM$121)+Sheet2!N$19</f>
        <v>8.2562684936079798</v>
      </c>
      <c r="BL94" s="2">
        <f ca="1">AN94-AVERAGE(AN$92:AN$121)+Sheet2!O$19</f>
        <v>4.1721126519698277</v>
      </c>
      <c r="BM94" s="2">
        <f ca="1">AO94-AVERAGE(AO$92:AO$121)+Sheet2!P$19</f>
        <v>23.767209505727934</v>
      </c>
      <c r="BN94" s="2">
        <f ca="1">AP94-AVERAGE(AP$92:AP$121)+Sheet2!Q$19</f>
        <v>11.085585450209479</v>
      </c>
      <c r="BO94" s="2">
        <f ca="1">AQ94-AVERAGE(AQ$92:AQ$121)+Sheet2!R$19</f>
        <v>8.6228811806670222</v>
      </c>
      <c r="BP94" s="2">
        <f ca="1">AR94-AVERAGE(AR$92:AR$121)+Sheet2!S$19</f>
        <v>2.4085241726335314</v>
      </c>
      <c r="BQ94" s="2">
        <f ca="1">AS94-AVERAGE(AS$92:AS$121)+Sheet2!T$19</f>
        <v>23.864651686673149</v>
      </c>
      <c r="BR94" s="2">
        <f ca="1">AT94-AVERAGE(AT$92:AT$121)+Sheet2!U$19</f>
        <v>19.268655091296104</v>
      </c>
      <c r="BS94" s="2">
        <f ca="1">AU94-AVERAGE(AU$92:AU$121)+Sheet2!V$19</f>
        <v>24.105946778433069</v>
      </c>
      <c r="BT94" s="2">
        <f ca="1">AV94-AVERAGE(AV$92:AV$121)+Sheet2!W$19</f>
        <v>22.896503656226702</v>
      </c>
      <c r="BU94" s="2">
        <f ca="1">AW94-AVERAGE(AW$92:AW$121)+Sheet2!X$19</f>
        <v>25.242561395372505</v>
      </c>
      <c r="BV94" s="2">
        <f ca="1">AX94-AVERAGE(AX$92:AX$121)+Sheet2!Y$19</f>
        <v>22.592276961123272</v>
      </c>
      <c r="BW94" s="2">
        <f ca="1">AY94-AVERAGE(AY$92:AY$121)+Sheet2!Z$19</f>
        <v>7.3833642416674063</v>
      </c>
      <c r="BZ94" s="2">
        <f ca="1">BA94-AVERAGE(AH$92:AH$121)+Sheet2!AB$19</f>
        <v>15.689349197268827</v>
      </c>
      <c r="CA94" s="2">
        <f ca="1">BB94-AVERAGE(AI$92:AI$121)+Sheet2!AC$19</f>
        <v>20.990750804598491</v>
      </c>
      <c r="CB94" s="2">
        <f ca="1">BC94-AVERAGE(AJ$92:AJ$121)+Sheet2!AD$19</f>
        <v>17.27985400498325</v>
      </c>
      <c r="CC94" s="2">
        <f ca="1">BD94-AVERAGE(AK$92:AK$121)+Sheet2!AE$19</f>
        <v>16.926872645597978</v>
      </c>
    </row>
    <row r="95" spans="2:81" x14ac:dyDescent="0.3">
      <c r="B95">
        <v>94</v>
      </c>
      <c r="C95" s="1">
        <v>4</v>
      </c>
      <c r="D95" s="2">
        <f t="shared" ca="1" si="10"/>
        <v>0.33837433196638356</v>
      </c>
      <c r="E95" s="2">
        <f t="shared" ca="1" si="10"/>
        <v>0.41758587253427271</v>
      </c>
      <c r="F95" s="2">
        <f t="shared" ca="1" si="10"/>
        <v>0.56519891914602216</v>
      </c>
      <c r="G95" s="2">
        <f t="shared" ca="1" si="10"/>
        <v>0.21836627029658606</v>
      </c>
      <c r="H95" s="2">
        <f t="shared" ca="1" si="10"/>
        <v>0.90688198000527742</v>
      </c>
      <c r="I95" s="2">
        <f t="shared" ca="1" si="10"/>
        <v>0.47739082872415783</v>
      </c>
      <c r="J95" s="2">
        <f t="shared" ca="1" si="10"/>
        <v>0.13435796540861178</v>
      </c>
      <c r="K95" s="2">
        <f t="shared" ca="1" si="10"/>
        <v>0.85686172236581359</v>
      </c>
      <c r="L95" s="2">
        <f t="shared" ca="1" si="10"/>
        <v>0.41355356451221448</v>
      </c>
      <c r="M95" s="2">
        <f t="shared" ca="1" si="10"/>
        <v>0.7719724278505814</v>
      </c>
      <c r="N95" s="2">
        <f t="shared" ca="1" si="10"/>
        <v>7.7897905086919295E-2</v>
      </c>
      <c r="O95" s="2">
        <f t="shared" ca="1" si="10"/>
        <v>0.90324019726404903</v>
      </c>
      <c r="P95" s="2">
        <f t="shared" ca="1" si="10"/>
        <v>0.68275566293228851</v>
      </c>
      <c r="Q95" s="2">
        <f t="shared" ca="1" si="9"/>
        <v>0.50506809855596968</v>
      </c>
      <c r="R95" s="2">
        <f t="shared" ca="1" si="9"/>
        <v>0.13222501397409325</v>
      </c>
      <c r="S95" s="2">
        <f t="shared" ca="1" si="9"/>
        <v>5.1403335937182604E-2</v>
      </c>
      <c r="T95" s="2">
        <f t="shared" ca="1" si="9"/>
        <v>0.63631864430424157</v>
      </c>
      <c r="U95" s="2">
        <f t="shared" ca="1" si="9"/>
        <v>0.69718984368914161</v>
      </c>
      <c r="V95" s="2">
        <f t="shared" ca="1" si="9"/>
        <v>0.70380540307187878</v>
      </c>
      <c r="W95" s="2">
        <f t="shared" ca="1" si="9"/>
        <v>0.68582404410452058</v>
      </c>
      <c r="X95" s="2">
        <f t="shared" ca="1" si="9"/>
        <v>0.37678429562289906</v>
      </c>
      <c r="Y95" s="2">
        <f t="shared" ca="1" si="9"/>
        <v>7.1968228571439696E-2</v>
      </c>
      <c r="Z95" s="2">
        <f t="shared" ca="1" si="9"/>
        <v>9.9913450374893964E-2</v>
      </c>
      <c r="AA95" s="2">
        <f t="shared" ca="1" si="9"/>
        <v>0.18083677411497057</v>
      </c>
      <c r="AB95" s="2">
        <f ca="1">D95*Sheet2!C$20/_xlfn.STDEV.S(D$92:D$121)</f>
        <v>1.2218597683364969</v>
      </c>
      <c r="AC95" s="2">
        <f ca="1">E95*Sheet2!D$20/_xlfn.STDEV.S(E$92:E$121)</f>
        <v>6.3484549820095841</v>
      </c>
      <c r="AD95" s="2">
        <f ca="1">F95*Sheet2!E$20/_xlfn.STDEV.S(F$92:F$121)</f>
        <v>2.9704594208133019</v>
      </c>
      <c r="AE95" s="2">
        <f ca="1">G95*Sheet2!F$20/_xlfn.STDEV.S(G$92:G$121)</f>
        <v>1.6524482628063619</v>
      </c>
      <c r="AF95" s="2">
        <f ca="1">H95*Sheet2!G$20/_xlfn.STDEV.S(H$92:H$121)</f>
        <v>9.3934738109913738</v>
      </c>
      <c r="AG95" s="2">
        <f ca="1">I95*Sheet2!H$20/_xlfn.STDEV.S(I$92:I$121)</f>
        <v>9.1802805612442278</v>
      </c>
      <c r="AH95" s="2">
        <f ca="1">J95*Sheet2!I$20/_xlfn.STDEV.S(J$92:J$121)</f>
        <v>0.31808745824168044</v>
      </c>
      <c r="AI95" s="2">
        <f ca="1">K95*Sheet2!J$20/_xlfn.STDEV.S(K$92:K$121)</f>
        <v>5.5117551807611633</v>
      </c>
      <c r="AJ95" s="2">
        <f ca="1">L95*Sheet2!K$20/_xlfn.STDEV.S(L$92:L$121)</f>
        <v>2.3653899440097073</v>
      </c>
      <c r="AK95" s="2">
        <f ca="1">M95*Sheet2!L$20/_xlfn.STDEV.S(M$92:M$121)</f>
        <v>3.8493026876720471</v>
      </c>
      <c r="AL95" s="2">
        <f ca="1">N95*Sheet2!M$20/_xlfn.STDEV.S(N$92:N$121)</f>
        <v>0.22178862096156499</v>
      </c>
      <c r="AM95" s="2">
        <f ca="1">O95*Sheet2!N$20/_xlfn.STDEV.S(O$92:O$121)</f>
        <v>7.377083182421865</v>
      </c>
      <c r="AN95" s="2">
        <f ca="1">P95*Sheet2!O$20/_xlfn.STDEV.S(P$92:P$121)</f>
        <v>3.3380039237875763</v>
      </c>
      <c r="AO95" s="2">
        <f ca="1">Q95*Sheet2!P$20/_xlfn.STDEV.S(Q$92:Q$121)</f>
        <v>3.004301968176136</v>
      </c>
      <c r="AP95" s="2">
        <f ca="1">R95*Sheet2!Q$20/_xlfn.STDEV.S(R$92:R$121)</f>
        <v>0.61442632812838038</v>
      </c>
      <c r="AQ95" s="2">
        <f ca="1">S95*Sheet2!R$20/_xlfn.STDEV.S(S$92:S$121)</f>
        <v>0.20985683828298929</v>
      </c>
      <c r="AR95" s="2">
        <f ca="1">T95*Sheet2!S$20/_xlfn.STDEV.S(T$92:T$121)</f>
        <v>2.1094992077135397</v>
      </c>
      <c r="AS95" s="2">
        <f ca="1">U95*Sheet2!T$20/_xlfn.STDEV.S(U$92:U$121)</f>
        <v>9.2113209269987752</v>
      </c>
      <c r="AT95" s="2">
        <f ca="1">V95*Sheet2!U$20/_xlfn.STDEV.S(V$92:V$121)</f>
        <v>4.7511998033874594</v>
      </c>
      <c r="AU95" s="2">
        <f ca="1">W95*Sheet2!V$20/_xlfn.STDEV.S(W$92:W$121)</f>
        <v>4.617222450039205</v>
      </c>
      <c r="AV95" s="2">
        <f ca="1">X95*Sheet2!W$20/_xlfn.STDEV.S(X$92:X$121)</f>
        <v>1.4857526658894606</v>
      </c>
      <c r="AW95" s="2">
        <f ca="1">Y95*Sheet2!X$20/_xlfn.STDEV.S(Y$92:Y$121)</f>
        <v>0.36282228050112608</v>
      </c>
      <c r="AX95" s="2">
        <f ca="1">Z95*Sheet2!Y$20/_xlfn.STDEV.S(Z$92:Z$121)</f>
        <v>0.4154661373224271</v>
      </c>
      <c r="AY95" s="2">
        <f ca="1">AA95*Sheet2!Z$20/_xlfn.STDEV.S(AA$92:AA$121)</f>
        <v>0.39543533430302441</v>
      </c>
      <c r="AZ95" s="2">
        <f ca="1">AB95-AVERAGE(AB$92:AB$121)+Sheet2!C$19</f>
        <v>3.4005359305063685</v>
      </c>
      <c r="BA95" s="2">
        <f ca="1">AC95-AVERAGE(AC$92:AC$121)+Sheet2!D$19</f>
        <v>8.4005389394588619</v>
      </c>
      <c r="BB95" s="2">
        <f ca="1">AD95-AVERAGE(AD$92:AD$121)+Sheet2!E$19</f>
        <v>22.469966986706201</v>
      </c>
      <c r="BC95" s="2">
        <f ca="1">AE95-AVERAGE(AE$92:AE$121)+Sheet2!F$19</f>
        <v>14.43296392038909</v>
      </c>
      <c r="BD95" s="2">
        <f ca="1">AF95-AVERAGE(AF$92:AF$121)+Sheet2!G$19</f>
        <v>22.383745914572142</v>
      </c>
      <c r="BE95" s="2">
        <f ca="1">AG95-AVERAGE(AG$92:AG$121)+Sheet2!H$19</f>
        <v>28.450142982587028</v>
      </c>
      <c r="BF95" s="2">
        <f ca="1">AH95-AVERAGE(AH$92:AH$121)+Sheet2!I$19</f>
        <v>11.101654903962066</v>
      </c>
      <c r="BG95" s="2">
        <f ca="1">AI95-AVERAGE(AI$92:AI$121)+Sheet2!J$19</f>
        <v>26.876732639201308</v>
      </c>
      <c r="BH95" s="2">
        <f ca="1">AJ95-AVERAGE(AJ$92:AJ$121)+Sheet2!K$19</f>
        <v>22.005356334877657</v>
      </c>
      <c r="BI95" s="2">
        <f ca="1">AK95-AVERAGE(AK$92:AK$121)+Sheet2!L$19</f>
        <v>24.220872415677682</v>
      </c>
      <c r="BJ95" s="2">
        <f ca="1">AL95-AVERAGE(AL$92:AL$121)+Sheet2!M$19</f>
        <v>16.285543589205044</v>
      </c>
      <c r="BK95" s="2">
        <f ca="1">AM95-AVERAGE(AM$92:AM$121)+Sheet2!N$19</f>
        <v>10.131006872741995</v>
      </c>
      <c r="BL95" s="2">
        <f ca="1">AN95-AVERAGE(AN$92:AN$121)+Sheet2!O$19</f>
        <v>5.3860476993579827</v>
      </c>
      <c r="BM95" s="2">
        <f ca="1">AO95-AVERAGE(AO$92:AO$121)+Sheet2!P$19</f>
        <v>25.729460557980449</v>
      </c>
      <c r="BN95" s="2">
        <f ca="1">AP95-AVERAGE(AP$92:AP$121)+Sheet2!Q$19</f>
        <v>8.5107410823404415</v>
      </c>
      <c r="BO95" s="2">
        <f ca="1">AQ95-AVERAGE(AQ$92:AQ$121)+Sheet2!R$19</f>
        <v>5.2234088774602068</v>
      </c>
      <c r="BP95" s="2">
        <f ca="1">AR95-AVERAGE(AR$92:AR$121)+Sheet2!S$19</f>
        <v>3.4329287676615063</v>
      </c>
      <c r="BQ95" s="2">
        <f ca="1">AS95-AVERAGE(AS$92:AS$121)+Sheet2!T$19</f>
        <v>28.031507650883722</v>
      </c>
      <c r="BR95" s="2">
        <f ca="1">AT95-AVERAGE(AT$92:AT$121)+Sheet2!U$19</f>
        <v>19.120533289859388</v>
      </c>
      <c r="BS95" s="2">
        <f ca="1">AU95-AVERAGE(AU$92:AU$121)+Sheet2!V$19</f>
        <v>25.332887673252657</v>
      </c>
      <c r="BT95" s="2">
        <f ca="1">AV95-AVERAGE(AV$92:AV$121)+Sheet2!W$19</f>
        <v>23.451839136166075</v>
      </c>
      <c r="BU95" s="2">
        <f ca="1">AW95-AVERAGE(AW$92:AW$121)+Sheet2!X$19</f>
        <v>21.948172831677013</v>
      </c>
      <c r="BV95" s="2">
        <f ca="1">AX95-AVERAGE(AX$92:AX$121)+Sheet2!Y$19</f>
        <v>19.701741260699507</v>
      </c>
      <c r="BW95" s="2">
        <f ca="1">AY95-AVERAGE(AY$92:AY$121)+Sheet2!Z$19</f>
        <v>6.4348959377755754</v>
      </c>
      <c r="BZ95" s="2">
        <f ca="1">BA95-AVERAGE(AH$92:AH$121)+Sheet2!AB$19</f>
        <v>7.32495150756725</v>
      </c>
      <c r="CA95" s="2">
        <f ca="1">BB95-AVERAGE(AI$92:AI$121)+Sheet2!AC$19</f>
        <v>18.845336667816625</v>
      </c>
      <c r="CB95" s="2">
        <f ca="1">BC95-AVERAGE(AJ$92:AJ$121)+Sheet2!AD$19</f>
        <v>11.720208890038467</v>
      </c>
      <c r="CC95" s="2">
        <f ca="1">BD95-AVERAGE(AK$92:AK$121)+Sheet2!AE$19</f>
        <v>19.941878498890553</v>
      </c>
    </row>
    <row r="96" spans="2:81" x14ac:dyDescent="0.3">
      <c r="B96">
        <v>95</v>
      </c>
      <c r="C96" s="1">
        <v>4</v>
      </c>
      <c r="D96" s="2">
        <f t="shared" ca="1" si="10"/>
        <v>0.16084690118084632</v>
      </c>
      <c r="E96" s="2">
        <f t="shared" ca="1" si="10"/>
        <v>0.45882827822233208</v>
      </c>
      <c r="F96" s="2">
        <f t="shared" ca="1" si="10"/>
        <v>0.9066682747137933</v>
      </c>
      <c r="G96" s="2">
        <f t="shared" ca="1" si="10"/>
        <v>5.0800823726990463E-2</v>
      </c>
      <c r="H96" s="2">
        <f t="shared" ca="1" si="10"/>
        <v>0.16151100984227085</v>
      </c>
      <c r="I96" s="2">
        <f t="shared" ca="1" si="10"/>
        <v>0.37545976735314135</v>
      </c>
      <c r="J96" s="2">
        <f t="shared" ca="1" si="10"/>
        <v>0.9052435384894697</v>
      </c>
      <c r="K96" s="2">
        <f t="shared" ca="1" si="10"/>
        <v>0.76204089574810441</v>
      </c>
      <c r="L96" s="2">
        <f t="shared" ca="1" si="10"/>
        <v>0.97573830988379473</v>
      </c>
      <c r="M96" s="2">
        <f t="shared" ca="1" si="10"/>
        <v>0.5607648932216206</v>
      </c>
      <c r="N96" s="2">
        <f t="shared" ca="1" si="10"/>
        <v>0.3301522890712737</v>
      </c>
      <c r="O96" s="2">
        <f t="shared" ca="1" si="10"/>
        <v>0.53348089473453719</v>
      </c>
      <c r="P96" s="2">
        <f t="shared" ca="1" si="10"/>
        <v>0.90894647353906655</v>
      </c>
      <c r="Q96" s="2">
        <f t="shared" ca="1" si="9"/>
        <v>0.50710761201006949</v>
      </c>
      <c r="R96" s="2">
        <f t="shared" ca="1" si="9"/>
        <v>0.32589526144558167</v>
      </c>
      <c r="S96" s="2">
        <f t="shared" ca="1" si="9"/>
        <v>0.97617618403100281</v>
      </c>
      <c r="T96" s="2">
        <f t="shared" ca="1" si="9"/>
        <v>0.10759164415499956</v>
      </c>
      <c r="U96" s="2">
        <f t="shared" ca="1" si="9"/>
        <v>0.85762302524209655</v>
      </c>
      <c r="V96" s="2">
        <f t="shared" ca="1" si="9"/>
        <v>0.67115577731834042</v>
      </c>
      <c r="W96" s="2">
        <f t="shared" ca="1" si="9"/>
        <v>0.84807928896372187</v>
      </c>
      <c r="X96" s="2">
        <f t="shared" ca="1" si="9"/>
        <v>0.53759449578780016</v>
      </c>
      <c r="Y96" s="2">
        <f t="shared" ca="1" si="9"/>
        <v>0.73242764614387312</v>
      </c>
      <c r="Z96" s="2">
        <f t="shared" ca="1" si="9"/>
        <v>0.62562817366932233</v>
      </c>
      <c r="AA96" s="2">
        <f t="shared" ca="1" si="9"/>
        <v>0.82412814447337202</v>
      </c>
      <c r="AB96" s="2">
        <f ca="1">D96*Sheet2!C$20/_xlfn.STDEV.S(D$92:D$121)</f>
        <v>0.58081343307682443</v>
      </c>
      <c r="AC96" s="2">
        <f ca="1">E96*Sheet2!D$20/_xlfn.STDEV.S(E$92:E$121)</f>
        <v>6.9754530992385915</v>
      </c>
      <c r="AD96" s="2">
        <f ca="1">F96*Sheet2!E$20/_xlfn.STDEV.S(F$92:F$121)</f>
        <v>4.7650857546674148</v>
      </c>
      <c r="AE96" s="2">
        <f ca="1">G96*Sheet2!F$20/_xlfn.STDEV.S(G$92:G$121)</f>
        <v>0.38442627976739324</v>
      </c>
      <c r="AF96" s="2">
        <f ca="1">H96*Sheet2!G$20/_xlfn.STDEV.S(H$92:H$121)</f>
        <v>1.6729293056758197</v>
      </c>
      <c r="AG96" s="2">
        <f ca="1">I96*Sheet2!H$20/_xlfn.STDEV.S(I$92:I$121)</f>
        <v>7.220134523683825</v>
      </c>
      <c r="AH96" s="2">
        <f ca="1">J96*Sheet2!I$20/_xlfn.STDEV.S(J$92:J$121)</f>
        <v>2.1431302221056412</v>
      </c>
      <c r="AI96" s="2">
        <f ca="1">K96*Sheet2!J$20/_xlfn.STDEV.S(K$92:K$121)</f>
        <v>4.9018210820465846</v>
      </c>
      <c r="AJ96" s="2">
        <f ca="1">L96*Sheet2!K$20/_xlfn.STDEV.S(L$92:L$121)</f>
        <v>5.5809012041921067</v>
      </c>
      <c r="AK96" s="2">
        <f ca="1">M96*Sheet2!L$20/_xlfn.STDEV.S(M$92:M$121)</f>
        <v>2.7961540241018947</v>
      </c>
      <c r="AL96" s="2">
        <f ca="1">N96*Sheet2!M$20/_xlfn.STDEV.S(N$92:N$121)</f>
        <v>0.93999987315085864</v>
      </c>
      <c r="AM96" s="2">
        <f ca="1">O96*Sheet2!N$20/_xlfn.STDEV.S(O$92:O$121)</f>
        <v>4.3571277591613073</v>
      </c>
      <c r="AN96" s="2">
        <f ca="1">P96*Sheet2!O$20/_xlfn.STDEV.S(P$92:P$121)</f>
        <v>4.4438546026196555</v>
      </c>
      <c r="AO96" s="2">
        <f ca="1">Q96*Sheet2!P$20/_xlfn.STDEV.S(Q$92:Q$121)</f>
        <v>3.0164336278509252</v>
      </c>
      <c r="AP96" s="2">
        <f ca="1">R96*Sheet2!Q$20/_xlfn.STDEV.S(R$92:R$121)</f>
        <v>1.514377823273892</v>
      </c>
      <c r="AQ96" s="2">
        <f ca="1">S96*Sheet2!R$20/_xlfn.STDEV.S(S$92:S$121)</f>
        <v>3.9852909126023519</v>
      </c>
      <c r="AR96" s="2">
        <f ca="1">T96*Sheet2!S$20/_xlfn.STDEV.S(T$92:T$121)</f>
        <v>0.35668369948476736</v>
      </c>
      <c r="AS96" s="2">
        <f ca="1">U96*Sheet2!T$20/_xlfn.STDEV.S(U$92:U$121)</f>
        <v>11.330975331033152</v>
      </c>
      <c r="AT96" s="2">
        <f ca="1">V96*Sheet2!U$20/_xlfn.STDEV.S(V$92:V$121)</f>
        <v>4.5307910159814275</v>
      </c>
      <c r="AU96" s="2">
        <f ca="1">W96*Sheet2!V$20/_xlfn.STDEV.S(W$92:W$121)</f>
        <v>5.7095850839254245</v>
      </c>
      <c r="AV96" s="2">
        <f ca="1">X96*Sheet2!W$20/_xlfn.STDEV.S(X$92:X$121)</f>
        <v>2.1198666307568939</v>
      </c>
      <c r="AW96" s="2">
        <f ca="1">Y96*Sheet2!X$20/_xlfn.STDEV.S(Y$92:Y$121)</f>
        <v>3.6924775578184801</v>
      </c>
      <c r="AX96" s="2">
        <f ca="1">Z96*Sheet2!Y$20/_xlfn.STDEV.S(Z$92:Z$121)</f>
        <v>2.6015248171210379</v>
      </c>
      <c r="AY96" s="2">
        <f ca="1">AA96*Sheet2!Z$20/_xlfn.STDEV.S(AA$92:AA$121)</f>
        <v>1.8021190098821851</v>
      </c>
      <c r="AZ96" s="2">
        <f ca="1">AB96-AVERAGE(AB$92:AB$121)+Sheet2!C$19</f>
        <v>2.7594895952466958</v>
      </c>
      <c r="BA96" s="2">
        <f ca="1">AC96-AVERAGE(AC$92:AC$121)+Sheet2!D$19</f>
        <v>9.0275370566878692</v>
      </c>
      <c r="BB96" s="2">
        <f ca="1">AD96-AVERAGE(AD$92:AD$121)+Sheet2!E$19</f>
        <v>24.264593320560312</v>
      </c>
      <c r="BC96" s="2">
        <f ca="1">AE96-AVERAGE(AE$92:AE$121)+Sheet2!F$19</f>
        <v>13.164941937350122</v>
      </c>
      <c r="BD96" s="2">
        <f ca="1">AF96-AVERAGE(AF$92:AF$121)+Sheet2!G$19</f>
        <v>14.663201409256587</v>
      </c>
      <c r="BE96" s="2">
        <f ca="1">AG96-AVERAGE(AG$92:AG$121)+Sheet2!H$19</f>
        <v>26.489996945026625</v>
      </c>
      <c r="BF96" s="2">
        <f ca="1">AH96-AVERAGE(AH$92:AH$121)+Sheet2!I$19</f>
        <v>12.926697667826026</v>
      </c>
      <c r="BG96" s="2">
        <f ca="1">AI96-AVERAGE(AI$92:AI$121)+Sheet2!J$19</f>
        <v>26.266798540486729</v>
      </c>
      <c r="BH96" s="2">
        <f ca="1">AJ96-AVERAGE(AJ$92:AJ$121)+Sheet2!K$19</f>
        <v>25.220867595060056</v>
      </c>
      <c r="BI96" s="2">
        <f ca="1">AK96-AVERAGE(AK$92:AK$121)+Sheet2!L$19</f>
        <v>23.167723752107531</v>
      </c>
      <c r="BJ96" s="2">
        <f ca="1">AL96-AVERAGE(AL$92:AL$121)+Sheet2!M$19</f>
        <v>17.003754841394336</v>
      </c>
      <c r="BK96" s="2">
        <f ca="1">AM96-AVERAGE(AM$92:AM$121)+Sheet2!N$19</f>
        <v>7.1110514494814367</v>
      </c>
      <c r="BL96" s="2">
        <f ca="1">AN96-AVERAGE(AN$92:AN$121)+Sheet2!O$19</f>
        <v>6.4918983781900623</v>
      </c>
      <c r="BM96" s="2">
        <f ca="1">AO96-AVERAGE(AO$92:AO$121)+Sheet2!P$19</f>
        <v>25.741592217655239</v>
      </c>
      <c r="BN96" s="2">
        <f ca="1">AP96-AVERAGE(AP$92:AP$121)+Sheet2!Q$19</f>
        <v>9.4106925774859533</v>
      </c>
      <c r="BO96" s="2">
        <f ca="1">AQ96-AVERAGE(AQ$92:AQ$121)+Sheet2!R$19</f>
        <v>8.9988429517795687</v>
      </c>
      <c r="BP96" s="2">
        <f ca="1">AR96-AVERAGE(AR$92:AR$121)+Sheet2!S$19</f>
        <v>1.6801132594327339</v>
      </c>
      <c r="BQ96" s="2">
        <f ca="1">AS96-AVERAGE(AS$92:AS$121)+Sheet2!T$19</f>
        <v>30.1511620549181</v>
      </c>
      <c r="BR96" s="2">
        <f ca="1">AT96-AVERAGE(AT$92:AT$121)+Sheet2!U$19</f>
        <v>18.900124502453355</v>
      </c>
      <c r="BS96" s="2">
        <f ca="1">AU96-AVERAGE(AU$92:AU$121)+Sheet2!V$19</f>
        <v>26.425250307138874</v>
      </c>
      <c r="BT96" s="2">
        <f ca="1">AV96-AVERAGE(AV$92:AV$121)+Sheet2!W$19</f>
        <v>24.08595310103351</v>
      </c>
      <c r="BU96" s="2">
        <f ca="1">AW96-AVERAGE(AW$92:AW$121)+Sheet2!X$19</f>
        <v>25.277828108994367</v>
      </c>
      <c r="BV96" s="2">
        <f ca="1">AX96-AVERAGE(AX$92:AX$121)+Sheet2!Y$19</f>
        <v>21.887799940498116</v>
      </c>
      <c r="BW96" s="2">
        <f ca="1">AY96-AVERAGE(AY$92:AY$121)+Sheet2!Z$19</f>
        <v>7.8415796133547362</v>
      </c>
      <c r="BZ96" s="2">
        <f ca="1">BA96-AVERAGE(AH$92:AH$121)+Sheet2!AB$19</f>
        <v>7.9519496247962573</v>
      </c>
      <c r="CA96" s="2">
        <f ca="1">BB96-AVERAGE(AI$92:AI$121)+Sheet2!AC$19</f>
        <v>20.639963001670736</v>
      </c>
      <c r="CB96" s="2">
        <f ca="1">BC96-AVERAGE(AJ$92:AJ$121)+Sheet2!AD$19</f>
        <v>10.452186906999499</v>
      </c>
      <c r="CC96" s="2">
        <f ca="1">BD96-AVERAGE(AK$92:AK$121)+Sheet2!AE$19</f>
        <v>12.221333993574996</v>
      </c>
    </row>
    <row r="97" spans="2:81" x14ac:dyDescent="0.3">
      <c r="B97">
        <v>96</v>
      </c>
      <c r="C97" s="1">
        <v>4</v>
      </c>
      <c r="D97" s="2">
        <f t="shared" ca="1" si="10"/>
        <v>0.45887054483673928</v>
      </c>
      <c r="E97" s="2">
        <f t="shared" ca="1" si="10"/>
        <v>5.1539874796774021E-2</v>
      </c>
      <c r="F97" s="2">
        <f t="shared" ca="1" si="10"/>
        <v>0.88659575341623365</v>
      </c>
      <c r="G97" s="2">
        <f t="shared" ca="1" si="10"/>
        <v>0.5963756805628081</v>
      </c>
      <c r="H97" s="2">
        <f t="shared" ca="1" si="10"/>
        <v>0.20145870739268923</v>
      </c>
      <c r="I97" s="2">
        <f t="shared" ca="1" si="10"/>
        <v>0.47893073455004986</v>
      </c>
      <c r="J97" s="2">
        <f t="shared" ca="1" si="10"/>
        <v>0.79607525066649998</v>
      </c>
      <c r="K97" s="2">
        <f t="shared" ca="1" si="10"/>
        <v>0.42570551522663591</v>
      </c>
      <c r="L97" s="2">
        <f t="shared" ca="1" si="10"/>
        <v>0.17435978907381033</v>
      </c>
      <c r="M97" s="2">
        <f t="shared" ca="1" si="10"/>
        <v>0.51567995609373729</v>
      </c>
      <c r="N97" s="2">
        <f t="shared" ca="1" si="10"/>
        <v>0.30829689801520122</v>
      </c>
      <c r="O97" s="2">
        <f t="shared" ca="1" si="10"/>
        <v>0.83188038191308356</v>
      </c>
      <c r="P97" s="2">
        <f t="shared" ca="1" si="10"/>
        <v>9.8518122925877138E-2</v>
      </c>
      <c r="Q97" s="2">
        <f t="shared" ca="1" si="10"/>
        <v>0.49111453038990072</v>
      </c>
      <c r="R97" s="2">
        <f t="shared" ca="1" si="10"/>
        <v>0.94526782038779211</v>
      </c>
      <c r="S97" s="2">
        <f t="shared" ca="1" si="10"/>
        <v>0.13150604406769539</v>
      </c>
      <c r="T97" s="2">
        <f t="shared" ca="1" si="9"/>
        <v>0.4281190880775676</v>
      </c>
      <c r="U97" s="2">
        <f t="shared" ca="1" si="9"/>
        <v>0.97546445741992183</v>
      </c>
      <c r="V97" s="2">
        <f t="shared" ca="1" si="9"/>
        <v>0.26092752867146518</v>
      </c>
      <c r="W97" s="2">
        <f t="shared" ca="1" si="9"/>
        <v>0.50725808517828019</v>
      </c>
      <c r="X97" s="2">
        <f t="shared" ca="1" si="9"/>
        <v>0.81713813201941143</v>
      </c>
      <c r="Y97" s="2">
        <f t="shared" ca="1" si="9"/>
        <v>0.9614110353266021</v>
      </c>
      <c r="Z97" s="2">
        <f t="shared" ca="1" si="9"/>
        <v>0.76193253734052679</v>
      </c>
      <c r="AA97" s="2">
        <f t="shared" ca="1" si="9"/>
        <v>0.48220928909215477</v>
      </c>
      <c r="AB97" s="2">
        <f ca="1">D97*Sheet2!C$20/_xlfn.STDEV.S(D$92:D$121)</f>
        <v>1.6569680517798901</v>
      </c>
      <c r="AC97" s="2">
        <f ca="1">E97*Sheet2!D$20/_xlfn.STDEV.S(E$92:E$121)</f>
        <v>0.78354799921751639</v>
      </c>
      <c r="AD97" s="2">
        <f ca="1">F97*Sheet2!E$20/_xlfn.STDEV.S(F$92:F$121)</f>
        <v>4.6595926123983178</v>
      </c>
      <c r="AE97" s="2">
        <f ca="1">G97*Sheet2!F$20/_xlfn.STDEV.S(G$92:G$121)</f>
        <v>4.5129678497850918</v>
      </c>
      <c r="AF97" s="2">
        <f ca="1">H97*Sheet2!G$20/_xlfn.STDEV.S(H$92:H$121)</f>
        <v>2.0867071279532845</v>
      </c>
      <c r="AG97" s="2">
        <f ca="1">I97*Sheet2!H$20/_xlfn.STDEV.S(I$92:I$121)</f>
        <v>9.2098931274457279</v>
      </c>
      <c r="AH97" s="2">
        <f ca="1">J97*Sheet2!I$20/_xlfn.STDEV.S(J$92:J$121)</f>
        <v>1.8846783834774055</v>
      </c>
      <c r="AI97" s="2">
        <f ca="1">K97*Sheet2!J$20/_xlfn.STDEV.S(K$92:K$121)</f>
        <v>2.7383468274794591</v>
      </c>
      <c r="AJ97" s="2">
        <f ca="1">L97*Sheet2!K$20/_xlfn.STDEV.S(L$92:L$121)</f>
        <v>0.99728046644043222</v>
      </c>
      <c r="AK97" s="2">
        <f ca="1">M97*Sheet2!L$20/_xlfn.STDEV.S(M$92:M$121)</f>
        <v>2.5713460343358703</v>
      </c>
      <c r="AL97" s="2">
        <f ca="1">N97*Sheet2!M$20/_xlfn.STDEV.S(N$92:N$121)</f>
        <v>0.87777384746385967</v>
      </c>
      <c r="AM97" s="2">
        <f ca="1">O97*Sheet2!N$20/_xlfn.STDEV.S(O$92:O$121)</f>
        <v>6.794262250270144</v>
      </c>
      <c r="AN97" s="2">
        <f ca="1">P97*Sheet2!O$20/_xlfn.STDEV.S(P$92:P$121)</f>
        <v>0.48165676060218682</v>
      </c>
      <c r="AO97" s="2">
        <f ca="1">Q97*Sheet2!P$20/_xlfn.STDEV.S(Q$92:Q$121)</f>
        <v>2.9213018095356369</v>
      </c>
      <c r="AP97" s="2">
        <f ca="1">R97*Sheet2!Q$20/_xlfn.STDEV.S(R$92:R$121)</f>
        <v>4.3924929067701495</v>
      </c>
      <c r="AQ97" s="2">
        <f ca="1">S97*Sheet2!R$20/_xlfn.STDEV.S(S$92:S$121)</f>
        <v>0.53688038178836184</v>
      </c>
      <c r="AR97" s="2">
        <f ca="1">T97*Sheet2!S$20/_xlfn.STDEV.S(T$92:T$121)</f>
        <v>1.4192840099698019</v>
      </c>
      <c r="AS97" s="2">
        <f ca="1">U97*Sheet2!T$20/_xlfn.STDEV.S(U$92:U$121)</f>
        <v>12.887904566466899</v>
      </c>
      <c r="AT97" s="2">
        <f ca="1">V97*Sheet2!U$20/_xlfn.STDEV.S(V$92:V$121)</f>
        <v>1.7614511305415907</v>
      </c>
      <c r="AU97" s="2">
        <f ca="1">W97*Sheet2!V$20/_xlfn.STDEV.S(W$92:W$121)</f>
        <v>3.4150500248313134</v>
      </c>
      <c r="AV97" s="2">
        <f ca="1">X97*Sheet2!W$20/_xlfn.STDEV.S(X$92:X$121)</f>
        <v>3.2221755846821707</v>
      </c>
      <c r="AW97" s="2">
        <f ca="1">Y97*Sheet2!X$20/_xlfn.STDEV.S(Y$92:Y$121)</f>
        <v>4.8468796753818504</v>
      </c>
      <c r="AX97" s="2">
        <f ca="1">Z97*Sheet2!Y$20/_xlfn.STDEV.S(Z$92:Z$121)</f>
        <v>3.1683138456470363</v>
      </c>
      <c r="AY97" s="2">
        <f ca="1">AA97*Sheet2!Z$20/_xlfn.STDEV.S(AA$92:AA$121)</f>
        <v>1.0544458801004144</v>
      </c>
      <c r="AZ97" s="2">
        <f ca="1">AB97-AVERAGE(AB$92:AB$121)+Sheet2!C$19</f>
        <v>3.8356442139497617</v>
      </c>
      <c r="BA97" s="2">
        <f ca="1">AC97-AVERAGE(AC$92:AC$121)+Sheet2!D$19</f>
        <v>2.8356319566667949</v>
      </c>
      <c r="BB97" s="2">
        <f ca="1">AD97-AVERAGE(AD$92:AD$121)+Sheet2!E$19</f>
        <v>24.159100178291215</v>
      </c>
      <c r="BC97" s="2">
        <f ca="1">AE97-AVERAGE(AE$92:AE$121)+Sheet2!F$19</f>
        <v>17.293483507367821</v>
      </c>
      <c r="BD97" s="2">
        <f ca="1">AF97-AVERAGE(AF$92:AF$121)+Sheet2!G$19</f>
        <v>15.076979231534052</v>
      </c>
      <c r="BE97" s="2">
        <f ca="1">AG97-AVERAGE(AG$92:AG$121)+Sheet2!H$19</f>
        <v>28.479755548788528</v>
      </c>
      <c r="BF97" s="2">
        <f ca="1">AH97-AVERAGE(AH$92:AH$121)+Sheet2!I$19</f>
        <v>12.66824582919779</v>
      </c>
      <c r="BG97" s="2">
        <f ca="1">AI97-AVERAGE(AI$92:AI$121)+Sheet2!J$19</f>
        <v>24.103324285919602</v>
      </c>
      <c r="BH97" s="2">
        <f ca="1">AJ97-AVERAGE(AJ$92:AJ$121)+Sheet2!K$19</f>
        <v>20.63724685730838</v>
      </c>
      <c r="BI97" s="2">
        <f ca="1">AK97-AVERAGE(AK$92:AK$121)+Sheet2!L$19</f>
        <v>22.942915762341507</v>
      </c>
      <c r="BJ97" s="2">
        <f ca="1">AL97-AVERAGE(AL$92:AL$121)+Sheet2!M$19</f>
        <v>16.941528815707336</v>
      </c>
      <c r="BK97" s="2">
        <f ca="1">AM97-AVERAGE(AM$92:AM$121)+Sheet2!N$19</f>
        <v>9.5481859405902725</v>
      </c>
      <c r="BL97" s="2">
        <f ca="1">AN97-AVERAGE(AN$92:AN$121)+Sheet2!O$19</f>
        <v>2.5297005361725935</v>
      </c>
      <c r="BM97" s="2">
        <f ca="1">AO97-AVERAGE(AO$92:AO$121)+Sheet2!P$19</f>
        <v>25.646460399339947</v>
      </c>
      <c r="BN97" s="2">
        <f ca="1">AP97-AVERAGE(AP$92:AP$121)+Sheet2!Q$19</f>
        <v>12.288807660982211</v>
      </c>
      <c r="BO97" s="2">
        <f ca="1">AQ97-AVERAGE(AQ$92:AQ$121)+Sheet2!R$19</f>
        <v>5.5504324209655795</v>
      </c>
      <c r="BP97" s="2">
        <f ca="1">AR97-AVERAGE(AR$92:AR$121)+Sheet2!S$19</f>
        <v>2.7427135699177683</v>
      </c>
      <c r="BQ97" s="2">
        <f ca="1">AS97-AVERAGE(AS$92:AS$121)+Sheet2!T$19</f>
        <v>31.708091290351845</v>
      </c>
      <c r="BR97" s="2">
        <f ca="1">AT97-AVERAGE(AT$92:AT$121)+Sheet2!U$19</f>
        <v>16.130784617013518</v>
      </c>
      <c r="BS97" s="2">
        <f ca="1">AU97-AVERAGE(AU$92:AU$121)+Sheet2!V$19</f>
        <v>24.130715248044762</v>
      </c>
      <c r="BT97" s="2">
        <f ca="1">AV97-AVERAGE(AV$92:AV$121)+Sheet2!W$19</f>
        <v>25.188262054958788</v>
      </c>
      <c r="BU97" s="2">
        <f ca="1">AW97-AVERAGE(AW$92:AW$121)+Sheet2!X$19</f>
        <v>26.432230226557735</v>
      </c>
      <c r="BV97" s="2">
        <f ca="1">AX97-AVERAGE(AX$92:AX$121)+Sheet2!Y$19</f>
        <v>22.454588969024115</v>
      </c>
      <c r="BW97" s="2">
        <f ca="1">AY97-AVERAGE(AY$92:AY$121)+Sheet2!Z$19</f>
        <v>7.0939064835729653</v>
      </c>
      <c r="BZ97" s="2">
        <f ca="1">BA97-AVERAGE(AH$92:AH$121)+Sheet2!AB$19</f>
        <v>1.7600445247751835</v>
      </c>
      <c r="CA97" s="2">
        <f ca="1">BB97-AVERAGE(AI$92:AI$121)+Sheet2!AC$19</f>
        <v>20.534469859401639</v>
      </c>
      <c r="CB97" s="2">
        <f ca="1">BC97-AVERAGE(AJ$92:AJ$121)+Sheet2!AD$19</f>
        <v>14.580728477017198</v>
      </c>
      <c r="CC97" s="2">
        <f ca="1">BD97-AVERAGE(AK$92:AK$121)+Sheet2!AE$19</f>
        <v>12.635111815852461</v>
      </c>
    </row>
    <row r="98" spans="2:81" x14ac:dyDescent="0.3">
      <c r="B98">
        <v>97</v>
      </c>
      <c r="C98" s="1">
        <v>4</v>
      </c>
      <c r="D98" s="2">
        <f t="shared" ca="1" si="10"/>
        <v>0.78022879298611014</v>
      </c>
      <c r="E98" s="2">
        <f t="shared" ca="1" si="10"/>
        <v>0.71335094001644628</v>
      </c>
      <c r="F98" s="2">
        <f t="shared" ca="1" si="10"/>
        <v>0.88472363629273887</v>
      </c>
      <c r="G98" s="2">
        <f t="shared" ca="1" si="10"/>
        <v>0.89209935260039275</v>
      </c>
      <c r="H98" s="2">
        <f t="shared" ca="1" si="10"/>
        <v>0.54582380441707801</v>
      </c>
      <c r="I98" s="2">
        <f t="shared" ca="1" si="10"/>
        <v>0.35111498855664136</v>
      </c>
      <c r="J98" s="2">
        <f t="shared" ca="1" si="10"/>
        <v>0.64166195559359163</v>
      </c>
      <c r="K98" s="2">
        <f t="shared" ca="1" si="10"/>
        <v>0.19757232206941799</v>
      </c>
      <c r="L98" s="2">
        <f t="shared" ca="1" si="10"/>
        <v>0.57624303631513718</v>
      </c>
      <c r="M98" s="2">
        <f t="shared" ca="1" si="10"/>
        <v>0.89055275612516649</v>
      </c>
      <c r="N98" s="2">
        <f t="shared" ca="1" si="10"/>
        <v>1.6406219339041073E-2</v>
      </c>
      <c r="O98" s="2">
        <f t="shared" ca="1" si="10"/>
        <v>0.71063550161075972</v>
      </c>
      <c r="P98" s="2">
        <f t="shared" ca="1" si="10"/>
        <v>0.58108536289152979</v>
      </c>
      <c r="Q98" s="2">
        <f t="shared" ca="1" si="10"/>
        <v>8.9309662529462597E-2</v>
      </c>
      <c r="R98" s="2">
        <f t="shared" ca="1" si="10"/>
        <v>0.42333424132836983</v>
      </c>
      <c r="S98" s="2">
        <f t="shared" ca="1" si="10"/>
        <v>0.48133875159182515</v>
      </c>
      <c r="T98" s="2">
        <f t="shared" ca="1" si="9"/>
        <v>0.52878901014712132</v>
      </c>
      <c r="U98" s="2">
        <f t="shared" ca="1" si="9"/>
        <v>0.12658803839670763</v>
      </c>
      <c r="V98" s="2">
        <f t="shared" ca="1" si="9"/>
        <v>0.9562664213321681</v>
      </c>
      <c r="W98" s="2">
        <f t="shared" ca="1" si="9"/>
        <v>0.34593817066435173</v>
      </c>
      <c r="X98" s="2">
        <f t="shared" ca="1" si="9"/>
        <v>0.77642492576832411</v>
      </c>
      <c r="Y98" s="2">
        <f t="shared" ca="1" si="9"/>
        <v>0.7712815122197999</v>
      </c>
      <c r="Z98" s="2">
        <f t="shared" ca="1" si="9"/>
        <v>0.39022517797710743</v>
      </c>
      <c r="AA98" s="2">
        <f t="shared" ca="1" si="9"/>
        <v>0.28287452299107319</v>
      </c>
      <c r="AB98" s="2">
        <f ca="1">D98*Sheet2!C$20/_xlfn.STDEV.S(D$92:D$121)</f>
        <v>2.8173832415343596</v>
      </c>
      <c r="AC98" s="2">
        <f ca="1">E98*Sheet2!D$20/_xlfn.STDEV.S(E$92:E$121)</f>
        <v>10.844898323750032</v>
      </c>
      <c r="AD98" s="2">
        <f ca="1">F98*Sheet2!E$20/_xlfn.STDEV.S(F$92:F$121)</f>
        <v>4.6497535137058543</v>
      </c>
      <c r="AE98" s="2">
        <f ca="1">G98*Sheet2!F$20/_xlfn.STDEV.S(G$92:G$121)</f>
        <v>6.7508046158090469</v>
      </c>
      <c r="AF98" s="2">
        <f ca="1">H98*Sheet2!G$20/_xlfn.STDEV.S(H$92:H$121)</f>
        <v>5.6536371052136944</v>
      </c>
      <c r="AG98" s="2">
        <f ca="1">I98*Sheet2!H$20/_xlfn.STDEV.S(I$92:I$121)</f>
        <v>6.7519816265060788</v>
      </c>
      <c r="AH98" s="2">
        <f ca="1">J98*Sheet2!I$20/_xlfn.STDEV.S(J$92:J$121)</f>
        <v>1.5191106823062188</v>
      </c>
      <c r="AI98" s="2">
        <f ca="1">K98*Sheet2!J$20/_xlfn.STDEV.S(K$92:K$121)</f>
        <v>1.2708821520635296</v>
      </c>
      <c r="AJ98" s="2">
        <f ca="1">L98*Sheet2!K$20/_xlfn.STDEV.S(L$92:L$121)</f>
        <v>3.2959200460843525</v>
      </c>
      <c r="AK98" s="2">
        <f ca="1">M98*Sheet2!L$20/_xlfn.STDEV.S(M$92:M$121)</f>
        <v>4.4405823239192914</v>
      </c>
      <c r="AL98" s="2">
        <f ca="1">N98*Sheet2!M$20/_xlfn.STDEV.S(N$92:N$121)</f>
        <v>4.6711304473961962E-2</v>
      </c>
      <c r="AM98" s="2">
        <f ca="1">O98*Sheet2!N$20/_xlfn.STDEV.S(O$92:O$121)</f>
        <v>5.8040122922387134</v>
      </c>
      <c r="AN98" s="2">
        <f ca="1">P98*Sheet2!O$20/_xlfn.STDEV.S(P$92:P$121)</f>
        <v>2.8409361162337485</v>
      </c>
      <c r="AO98" s="2">
        <f ca="1">Q98*Sheet2!P$20/_xlfn.STDEV.S(Q$92:Q$121)</f>
        <v>0.53124162005388975</v>
      </c>
      <c r="AP98" s="2">
        <f ca="1">R98*Sheet2!Q$20/_xlfn.STDEV.S(R$92:R$121)</f>
        <v>1.9671595838996596</v>
      </c>
      <c r="AQ98" s="2">
        <f ca="1">S98*Sheet2!R$20/_xlfn.STDEV.S(S$92:S$121)</f>
        <v>1.9650909169705151</v>
      </c>
      <c r="AR98" s="2">
        <f ca="1">T98*Sheet2!S$20/_xlfn.STDEV.S(T$92:T$121)</f>
        <v>1.7530210813996479</v>
      </c>
      <c r="AS98" s="2">
        <f ca="1">U98*Sheet2!T$20/_xlfn.STDEV.S(U$92:U$121)</f>
        <v>1.6724900079170186</v>
      </c>
      <c r="AT98" s="2">
        <f ca="1">V98*Sheet2!U$20/_xlfn.STDEV.S(V$92:V$121)</f>
        <v>6.4554958134577047</v>
      </c>
      <c r="AU98" s="2">
        <f ca="1">W98*Sheet2!V$20/_xlfn.STDEV.S(W$92:W$121)</f>
        <v>2.3289843825794949</v>
      </c>
      <c r="AV98" s="2">
        <f ca="1">X98*Sheet2!W$20/_xlfn.STDEV.S(X$92:X$121)</f>
        <v>3.0616334510869825</v>
      </c>
      <c r="AW98" s="2">
        <f ca="1">Y98*Sheet2!X$20/_xlfn.STDEV.S(Y$92:Y$121)</f>
        <v>3.888356330657242</v>
      </c>
      <c r="AX98" s="2">
        <f ca="1">Z98*Sheet2!Y$20/_xlfn.STDEV.S(Z$92:Z$121)</f>
        <v>1.6226578781113137</v>
      </c>
      <c r="AY98" s="2">
        <f ca="1">AA98*Sheet2!Z$20/_xlfn.STDEV.S(AA$92:AA$121)</f>
        <v>0.61856103169406951</v>
      </c>
      <c r="AZ98" s="2">
        <f ca="1">AB98-AVERAGE(AB$92:AB$121)+Sheet2!C$19</f>
        <v>4.9960594037042316</v>
      </c>
      <c r="BA98" s="2">
        <f ca="1">AC98-AVERAGE(AC$92:AC$121)+Sheet2!D$19</f>
        <v>12.89698228119931</v>
      </c>
      <c r="BB98" s="2">
        <f ca="1">AD98-AVERAGE(AD$92:AD$121)+Sheet2!E$19</f>
        <v>24.149261079598752</v>
      </c>
      <c r="BC98" s="2">
        <f ca="1">AE98-AVERAGE(AE$92:AE$121)+Sheet2!F$19</f>
        <v>19.531320273391774</v>
      </c>
      <c r="BD98" s="2">
        <f ca="1">AF98-AVERAGE(AF$92:AF$121)+Sheet2!G$19</f>
        <v>18.643909208794462</v>
      </c>
      <c r="BE98" s="2">
        <f ca="1">AG98-AVERAGE(AG$92:AG$121)+Sheet2!H$19</f>
        <v>26.02184404784888</v>
      </c>
      <c r="BF98" s="2">
        <f ca="1">AH98-AVERAGE(AH$92:AH$121)+Sheet2!I$19</f>
        <v>12.302678128026605</v>
      </c>
      <c r="BG98" s="2">
        <f ca="1">AI98-AVERAGE(AI$92:AI$121)+Sheet2!J$19</f>
        <v>22.635859610503672</v>
      </c>
      <c r="BH98" s="2">
        <f ca="1">AJ98-AVERAGE(AJ$92:AJ$121)+Sheet2!K$19</f>
        <v>22.935886436952302</v>
      </c>
      <c r="BI98" s="2">
        <f ca="1">AK98-AVERAGE(AK$92:AK$121)+Sheet2!L$19</f>
        <v>24.812152051924926</v>
      </c>
      <c r="BJ98" s="2">
        <f ca="1">AL98-AVERAGE(AL$92:AL$121)+Sheet2!M$19</f>
        <v>16.110466272717439</v>
      </c>
      <c r="BK98" s="2">
        <f ca="1">AM98-AVERAGE(AM$92:AM$121)+Sheet2!N$19</f>
        <v>8.5579359825588419</v>
      </c>
      <c r="BL98" s="2">
        <f ca="1">AN98-AVERAGE(AN$92:AN$121)+Sheet2!O$19</f>
        <v>4.8889798918041549</v>
      </c>
      <c r="BM98" s="2">
        <f ca="1">AO98-AVERAGE(AO$92:AO$121)+Sheet2!P$19</f>
        <v>23.256400209858199</v>
      </c>
      <c r="BN98" s="2">
        <f ca="1">AP98-AVERAGE(AP$92:AP$121)+Sheet2!Q$19</f>
        <v>9.86347433811172</v>
      </c>
      <c r="BO98" s="2">
        <f ca="1">AQ98-AVERAGE(AQ$92:AQ$121)+Sheet2!R$19</f>
        <v>6.9786429561477323</v>
      </c>
      <c r="BP98" s="2">
        <f ca="1">AR98-AVERAGE(AR$92:AR$121)+Sheet2!S$19</f>
        <v>3.0764506413476145</v>
      </c>
      <c r="BQ98" s="2">
        <f ca="1">AS98-AVERAGE(AS$92:AS$121)+Sheet2!T$19</f>
        <v>20.492676731801964</v>
      </c>
      <c r="BR98" s="2">
        <f ca="1">AT98-AVERAGE(AT$92:AT$121)+Sheet2!U$19</f>
        <v>20.824829299929632</v>
      </c>
      <c r="BS98" s="2">
        <f ca="1">AU98-AVERAGE(AU$92:AU$121)+Sheet2!V$19</f>
        <v>23.044649605792944</v>
      </c>
      <c r="BT98" s="2">
        <f ca="1">AV98-AVERAGE(AV$92:AV$121)+Sheet2!W$19</f>
        <v>25.027719921363598</v>
      </c>
      <c r="BU98" s="2">
        <f ca="1">AW98-AVERAGE(AW$92:AW$121)+Sheet2!X$19</f>
        <v>25.473706881833127</v>
      </c>
      <c r="BV98" s="2">
        <f ca="1">AX98-AVERAGE(AX$92:AX$121)+Sheet2!Y$19</f>
        <v>20.908933001488393</v>
      </c>
      <c r="BW98" s="2">
        <f ca="1">AY98-AVERAGE(AY$92:AY$121)+Sheet2!Z$19</f>
        <v>6.6580216351666204</v>
      </c>
      <c r="BZ98" s="2">
        <f ca="1">BA98-AVERAGE(AH$92:AH$121)+Sheet2!AB$19</f>
        <v>11.821394849307699</v>
      </c>
      <c r="CA98" s="2">
        <f ca="1">BB98-AVERAGE(AI$92:AI$121)+Sheet2!AC$19</f>
        <v>20.524630760709176</v>
      </c>
      <c r="CB98" s="2">
        <f ca="1">BC98-AVERAGE(AJ$92:AJ$121)+Sheet2!AD$19</f>
        <v>16.818565243041153</v>
      </c>
      <c r="CC98" s="2">
        <f ca="1">BD98-AVERAGE(AK$92:AK$121)+Sheet2!AE$19</f>
        <v>16.202041793112873</v>
      </c>
    </row>
    <row r="99" spans="2:81" x14ac:dyDescent="0.3">
      <c r="B99">
        <v>98</v>
      </c>
      <c r="C99" s="1">
        <v>4</v>
      </c>
      <c r="D99" s="2">
        <f t="shared" ca="1" si="10"/>
        <v>0.43560597230789011</v>
      </c>
      <c r="E99" s="2">
        <f t="shared" ca="1" si="10"/>
        <v>0.97915163550090012</v>
      </c>
      <c r="F99" s="2">
        <f t="shared" ca="1" si="10"/>
        <v>6.5413927499561209E-2</v>
      </c>
      <c r="G99" s="2">
        <f t="shared" ca="1" si="10"/>
        <v>0.28676528688016767</v>
      </c>
      <c r="H99" s="2">
        <f t="shared" ca="1" si="10"/>
        <v>0.31120491625208702</v>
      </c>
      <c r="I99" s="2">
        <f t="shared" ca="1" si="10"/>
        <v>0.79988448430171233</v>
      </c>
      <c r="J99" s="2">
        <f t="shared" ca="1" si="10"/>
        <v>0.79014279273919186</v>
      </c>
      <c r="K99" s="2">
        <f t="shared" ca="1" si="10"/>
        <v>0.85222934755547664</v>
      </c>
      <c r="L99" s="2">
        <f t="shared" ca="1" si="10"/>
        <v>0.23699842420900241</v>
      </c>
      <c r="M99" s="2">
        <f t="shared" ca="1" si="10"/>
        <v>0.19428616173730329</v>
      </c>
      <c r="N99" s="2">
        <f t="shared" ca="1" si="10"/>
        <v>0.37847423279359882</v>
      </c>
      <c r="O99" s="2">
        <f t="shared" ca="1" si="10"/>
        <v>6.0591775859238584E-2</v>
      </c>
      <c r="P99" s="2">
        <f t="shared" ca="1" si="10"/>
        <v>0.67103897796939427</v>
      </c>
      <c r="Q99" s="2">
        <f t="shared" ca="1" si="9"/>
        <v>0.62679895196266855</v>
      </c>
      <c r="R99" s="2">
        <f t="shared" ca="1" si="9"/>
        <v>0.86620404596165901</v>
      </c>
      <c r="S99" s="2">
        <f t="shared" ca="1" si="9"/>
        <v>0.1908631966073141</v>
      </c>
      <c r="T99" s="2">
        <f t="shared" ca="1" si="9"/>
        <v>0.58525417644166688</v>
      </c>
      <c r="U99" s="2">
        <f t="shared" ca="1" si="9"/>
        <v>0.4083396467950644</v>
      </c>
      <c r="V99" s="2">
        <f t="shared" ca="1" si="9"/>
        <v>0.16063193259991515</v>
      </c>
      <c r="W99" s="2">
        <f t="shared" ca="1" si="9"/>
        <v>0.48164652775492611</v>
      </c>
      <c r="X99" s="2">
        <f t="shared" ca="1" si="9"/>
        <v>8.3577639369693535E-2</v>
      </c>
      <c r="Y99" s="2">
        <f t="shared" ca="1" si="9"/>
        <v>0.2437690486034515</v>
      </c>
      <c r="Z99" s="2">
        <f t="shared" ca="1" si="9"/>
        <v>0.91002639506396688</v>
      </c>
      <c r="AA99" s="2">
        <f t="shared" ca="1" si="9"/>
        <v>0.672124959685233</v>
      </c>
      <c r="AB99" s="2">
        <f ca="1">D99*Sheet2!C$20/_xlfn.STDEV.S(D$92:D$121)</f>
        <v>1.5729603640946097</v>
      </c>
      <c r="AC99" s="2">
        <f ca="1">E99*Sheet2!D$20/_xlfn.STDEV.S(E$92:E$121)</f>
        <v>14.885800711632896</v>
      </c>
      <c r="AD99" s="2">
        <f ca="1">F99*Sheet2!E$20/_xlfn.STDEV.S(F$92:F$121)</f>
        <v>0.34378943520815375</v>
      </c>
      <c r="AE99" s="2">
        <f ca="1">G99*Sheet2!F$20/_xlfn.STDEV.S(G$92:G$121)</f>
        <v>2.1700457652855261</v>
      </c>
      <c r="AF99" s="2">
        <f ca="1">H99*Sheet2!G$20/_xlfn.STDEV.S(H$92:H$121)</f>
        <v>3.2234571808877837</v>
      </c>
      <c r="AG99" s="2">
        <f ca="1">I99*Sheet2!H$20/_xlfn.STDEV.S(I$92:I$121)</f>
        <v>15.381870661614327</v>
      </c>
      <c r="AH99" s="2">
        <f ca="1">J99*Sheet2!I$20/_xlfn.STDEV.S(J$92:J$121)</f>
        <v>1.8706335112029238</v>
      </c>
      <c r="AI99" s="2">
        <f ca="1">K99*Sheet2!J$20/_xlfn.STDEV.S(K$92:K$121)</f>
        <v>5.4819574722235407</v>
      </c>
      <c r="AJ99" s="2">
        <f ca="1">L99*Sheet2!K$20/_xlfn.STDEV.S(L$92:L$121)</f>
        <v>1.3555527928560842</v>
      </c>
      <c r="AK99" s="2">
        <f ca="1">M99*Sheet2!L$20/_xlfn.STDEV.S(M$92:M$121)</f>
        <v>0.96877325869679953</v>
      </c>
      <c r="AL99" s="2">
        <f ca="1">N99*Sheet2!M$20/_xlfn.STDEV.S(N$92:N$121)</f>
        <v>1.0775806880443839</v>
      </c>
      <c r="AM99" s="2">
        <f ca="1">O99*Sheet2!N$20/_xlfn.STDEV.S(O$92:O$121)</f>
        <v>0.49487453286314814</v>
      </c>
      <c r="AN99" s="2">
        <f ca="1">P99*Sheet2!O$20/_xlfn.STDEV.S(P$92:P$121)</f>
        <v>3.2807208538647972</v>
      </c>
      <c r="AO99" s="2">
        <f ca="1">Q99*Sheet2!P$20/_xlfn.STDEV.S(Q$92:Q$121)</f>
        <v>3.7283949044021978</v>
      </c>
      <c r="AP99" s="2">
        <f ca="1">R99*Sheet2!Q$20/_xlfn.STDEV.S(R$92:R$121)</f>
        <v>4.0250974862777946</v>
      </c>
      <c r="AQ99" s="2">
        <f ca="1">S99*Sheet2!R$20/_xlfn.STDEV.S(S$92:S$121)</f>
        <v>0.77920909712053299</v>
      </c>
      <c r="AR99" s="2">
        <f ca="1">T99*Sheet2!S$20/_xlfn.STDEV.S(T$92:T$121)</f>
        <v>1.9402122388927574</v>
      </c>
      <c r="AS99" s="2">
        <f ca="1">U99*Sheet2!T$20/_xlfn.STDEV.S(U$92:U$121)</f>
        <v>5.3950119438684059</v>
      </c>
      <c r="AT99" s="2">
        <f ca="1">V99*Sheet2!U$20/_xlfn.STDEV.S(V$92:V$121)</f>
        <v>1.0843827047297054</v>
      </c>
      <c r="AU99" s="2">
        <f ca="1">W99*Sheet2!V$20/_xlfn.STDEV.S(W$92:W$121)</f>
        <v>3.2426234980390327</v>
      </c>
      <c r="AV99" s="2">
        <f ca="1">X99*Sheet2!W$20/_xlfn.STDEV.S(X$92:X$121)</f>
        <v>0.32956708107216387</v>
      </c>
      <c r="AW99" s="2">
        <f ca="1">Y99*Sheet2!X$20/_xlfn.STDEV.S(Y$92:Y$121)</f>
        <v>1.2289428805670659</v>
      </c>
      <c r="AX99" s="2">
        <f ca="1">Z99*Sheet2!Y$20/_xlfn.STDEV.S(Z$92:Z$121)</f>
        <v>3.7841266596242358</v>
      </c>
      <c r="AY99" s="2">
        <f ca="1">AA99*Sheet2!Z$20/_xlfn.STDEV.S(AA$92:AA$121)</f>
        <v>1.4697340152593121</v>
      </c>
      <c r="AZ99" s="2">
        <f ca="1">AB99-AVERAGE(AB$92:AB$121)+Sheet2!C$19</f>
        <v>3.7516365262644813</v>
      </c>
      <c r="BA99" s="2">
        <f ca="1">AC99-AVERAGE(AC$92:AC$121)+Sheet2!D$19</f>
        <v>16.937884669082173</v>
      </c>
      <c r="BB99" s="2">
        <f ca="1">AD99-AVERAGE(AD$92:AD$121)+Sheet2!E$19</f>
        <v>19.84329700110105</v>
      </c>
      <c r="BC99" s="2">
        <f ca="1">AE99-AVERAGE(AE$92:AE$121)+Sheet2!F$19</f>
        <v>14.950561422868255</v>
      </c>
      <c r="BD99" s="2">
        <f ca="1">AF99-AVERAGE(AF$92:AF$121)+Sheet2!G$19</f>
        <v>16.213729284468549</v>
      </c>
      <c r="BE99" s="2">
        <f ca="1">AG99-AVERAGE(AG$92:AG$121)+Sheet2!H$19</f>
        <v>34.651733082957129</v>
      </c>
      <c r="BF99" s="2">
        <f ca="1">AH99-AVERAGE(AH$92:AH$121)+Sheet2!I$19</f>
        <v>12.654200956923308</v>
      </c>
      <c r="BG99" s="2">
        <f ca="1">AI99-AVERAGE(AI$92:AI$121)+Sheet2!J$19</f>
        <v>26.846934930663682</v>
      </c>
      <c r="BH99" s="2">
        <f ca="1">AJ99-AVERAGE(AJ$92:AJ$121)+Sheet2!K$19</f>
        <v>20.995519183724035</v>
      </c>
      <c r="BI99" s="2">
        <f ca="1">AK99-AVERAGE(AK$92:AK$121)+Sheet2!L$19</f>
        <v>21.340342986702435</v>
      </c>
      <c r="BJ99" s="2">
        <f ca="1">AL99-AVERAGE(AL$92:AL$121)+Sheet2!M$19</f>
        <v>17.141335656287861</v>
      </c>
      <c r="BK99" s="2">
        <f ca="1">AM99-AVERAGE(AM$92:AM$121)+Sheet2!N$19</f>
        <v>3.2487982231832779</v>
      </c>
      <c r="BL99" s="2">
        <f ca="1">AN99-AVERAGE(AN$92:AN$121)+Sheet2!O$19</f>
        <v>5.328764629435204</v>
      </c>
      <c r="BM99" s="2">
        <f ca="1">AO99-AVERAGE(AO$92:AO$121)+Sheet2!P$19</f>
        <v>26.45355349420651</v>
      </c>
      <c r="BN99" s="2">
        <f ca="1">AP99-AVERAGE(AP$92:AP$121)+Sheet2!Q$19</f>
        <v>11.921412240489856</v>
      </c>
      <c r="BO99" s="2">
        <f ca="1">AQ99-AVERAGE(AQ$92:AQ$121)+Sheet2!R$19</f>
        <v>5.7927611362977505</v>
      </c>
      <c r="BP99" s="2">
        <f ca="1">AR99-AVERAGE(AR$92:AR$121)+Sheet2!S$19</f>
        <v>3.263641798840724</v>
      </c>
      <c r="BQ99" s="2">
        <f ca="1">AS99-AVERAGE(AS$92:AS$121)+Sheet2!T$19</f>
        <v>24.215198667753352</v>
      </c>
      <c r="BR99" s="2">
        <f ca="1">AT99-AVERAGE(AT$92:AT$121)+Sheet2!U$19</f>
        <v>15.453716191201634</v>
      </c>
      <c r="BS99" s="2">
        <f ca="1">AU99-AVERAGE(AU$92:AU$121)+Sheet2!V$19</f>
        <v>23.958288721252483</v>
      </c>
      <c r="BT99" s="2">
        <f ca="1">AV99-AVERAGE(AV$92:AV$121)+Sheet2!W$19</f>
        <v>22.295653551348781</v>
      </c>
      <c r="BU99" s="2">
        <f ca="1">AW99-AVERAGE(AW$92:AW$121)+Sheet2!X$19</f>
        <v>22.814293431742954</v>
      </c>
      <c r="BV99" s="2">
        <f ca="1">AX99-AVERAGE(AX$92:AX$121)+Sheet2!Y$19</f>
        <v>23.070401783001316</v>
      </c>
      <c r="BW99" s="2">
        <f ca="1">AY99-AVERAGE(AY$92:AY$121)+Sheet2!Z$19</f>
        <v>7.509194618731863</v>
      </c>
      <c r="BZ99" s="2">
        <f ca="1">BA99-AVERAGE(AH$92:AH$121)+Sheet2!AB$19</f>
        <v>15.862297237190562</v>
      </c>
      <c r="CA99" s="2">
        <f ca="1">BB99-AVERAGE(AI$92:AI$121)+Sheet2!AC$19</f>
        <v>16.218666682211474</v>
      </c>
      <c r="CB99" s="2">
        <f ca="1">BC99-AVERAGE(AJ$92:AJ$121)+Sheet2!AD$19</f>
        <v>12.237806392517632</v>
      </c>
      <c r="CC99" s="2">
        <f ca="1">BD99-AVERAGE(AK$92:AK$121)+Sheet2!AE$19</f>
        <v>13.771861868786958</v>
      </c>
    </row>
    <row r="100" spans="2:81" x14ac:dyDescent="0.3">
      <c r="B100">
        <v>99</v>
      </c>
      <c r="C100" s="1">
        <v>4</v>
      </c>
      <c r="D100" s="2">
        <f t="shared" ca="1" si="10"/>
        <v>0.99563529375721549</v>
      </c>
      <c r="E100" s="2">
        <f t="shared" ca="1" si="10"/>
        <v>0.4109841963025227</v>
      </c>
      <c r="F100" s="2">
        <f t="shared" ca="1" si="10"/>
        <v>0.61979694442052691</v>
      </c>
      <c r="G100" s="2">
        <f t="shared" ca="1" si="10"/>
        <v>0.81416319441019758</v>
      </c>
      <c r="H100" s="2">
        <f t="shared" ca="1" si="10"/>
        <v>0.39851145262144383</v>
      </c>
      <c r="I100" s="2">
        <f t="shared" ca="1" si="10"/>
        <v>0.77355628516712427</v>
      </c>
      <c r="J100" s="2">
        <f t="shared" ca="1" si="10"/>
        <v>0.24932385530209344</v>
      </c>
      <c r="K100" s="2">
        <f t="shared" ca="1" si="10"/>
        <v>0.79926802739175729</v>
      </c>
      <c r="L100" s="2">
        <f t="shared" ca="1" si="10"/>
        <v>0.85545923794537437</v>
      </c>
      <c r="M100" s="2">
        <f t="shared" ca="1" si="10"/>
        <v>0.59092131430005868</v>
      </c>
      <c r="N100" s="2">
        <f t="shared" ca="1" si="10"/>
        <v>0.32821981567178249</v>
      </c>
      <c r="O100" s="2">
        <f t="shared" ca="1" si="10"/>
        <v>8.9677559747394997E-2</v>
      </c>
      <c r="P100" s="2">
        <f t="shared" ca="1" si="10"/>
        <v>0.98156544077889019</v>
      </c>
      <c r="Q100" s="2">
        <f t="shared" ca="1" si="9"/>
        <v>0.42381617047924247</v>
      </c>
      <c r="R100" s="2">
        <f t="shared" ca="1" si="9"/>
        <v>0.24718996504252488</v>
      </c>
      <c r="S100" s="2">
        <f t="shared" ca="1" si="9"/>
        <v>3.3160301244944179E-2</v>
      </c>
      <c r="T100" s="2">
        <f t="shared" ca="1" si="9"/>
        <v>0.69721077550554678</v>
      </c>
      <c r="U100" s="2">
        <f t="shared" ca="1" si="9"/>
        <v>0.20965007518684775</v>
      </c>
      <c r="V100" s="2">
        <f t="shared" ca="1" si="9"/>
        <v>0.53491499528304387</v>
      </c>
      <c r="W100" s="2">
        <f t="shared" ca="1" si="9"/>
        <v>0.51859123912790162</v>
      </c>
      <c r="X100" s="2">
        <f t="shared" ca="1" si="9"/>
        <v>0.69599737840524944</v>
      </c>
      <c r="Y100" s="2">
        <f t="shared" ca="1" si="9"/>
        <v>0.37453401771150707</v>
      </c>
      <c r="Z100" s="2">
        <f t="shared" ca="1" si="9"/>
        <v>0.49269053766835513</v>
      </c>
      <c r="AA100" s="2">
        <f t="shared" ca="1" si="9"/>
        <v>0.15076639579884576</v>
      </c>
      <c r="AB100" s="2">
        <f ca="1">D100*Sheet2!C$20/_xlfn.STDEV.S(D$92:D$121)</f>
        <v>3.5952097852939078</v>
      </c>
      <c r="AC100" s="2">
        <f ca="1">E100*Sheet2!D$20/_xlfn.STDEV.S(E$92:E$121)</f>
        <v>6.2480913272031637</v>
      </c>
      <c r="AD100" s="2">
        <f ca="1">F100*Sheet2!E$20/_xlfn.STDEV.S(F$92:F$121)</f>
        <v>3.2574048006443541</v>
      </c>
      <c r="AE100" s="2">
        <f ca="1">G100*Sheet2!F$20/_xlfn.STDEV.S(G$92:G$121)</f>
        <v>6.1610364751695936</v>
      </c>
      <c r="AF100" s="2">
        <f ca="1">H100*Sheet2!G$20/_xlfn.STDEV.S(H$92:H$121)</f>
        <v>4.127777347122807</v>
      </c>
      <c r="AG100" s="2">
        <f ca="1">I100*Sheet2!H$20/_xlfn.STDEV.S(I$92:I$121)</f>
        <v>14.875576363138217</v>
      </c>
      <c r="AH100" s="2">
        <f ca="1">J100*Sheet2!I$20/_xlfn.STDEV.S(J$92:J$121)</f>
        <v>0.59026490294691669</v>
      </c>
      <c r="AI100" s="2">
        <f ca="1">K100*Sheet2!J$20/_xlfn.STDEV.S(K$92:K$121)</f>
        <v>5.1412842653654236</v>
      </c>
      <c r="AJ100" s="2">
        <f ca="1">L100*Sheet2!K$20/_xlfn.STDEV.S(L$92:L$121)</f>
        <v>4.8929445967486789</v>
      </c>
      <c r="AK100" s="2">
        <f ca="1">M100*Sheet2!L$20/_xlfn.STDEV.S(M$92:M$121)</f>
        <v>2.9465236338443161</v>
      </c>
      <c r="AL100" s="2">
        <f ca="1">N100*Sheet2!M$20/_xlfn.STDEV.S(N$92:N$121)</f>
        <v>0.93449779180682457</v>
      </c>
      <c r="AM100" s="2">
        <f ca="1">O100*Sheet2!N$20/_xlfn.STDEV.S(O$92:O$121)</f>
        <v>0.73242845021404923</v>
      </c>
      <c r="AN100" s="2">
        <f ca="1">P100*Sheet2!O$20/_xlfn.STDEV.S(P$92:P$121)</f>
        <v>4.7988899553062474</v>
      </c>
      <c r="AO100" s="2">
        <f ca="1">Q100*Sheet2!P$20/_xlfn.STDEV.S(Q$92:Q$121)</f>
        <v>2.5209902560784325</v>
      </c>
      <c r="AP100" s="2">
        <f ca="1">R100*Sheet2!Q$20/_xlfn.STDEV.S(R$92:R$121)</f>
        <v>1.1486481869536351</v>
      </c>
      <c r="AQ100" s="2">
        <f ca="1">S100*Sheet2!R$20/_xlfn.STDEV.S(S$92:S$121)</f>
        <v>0.13537868406594458</v>
      </c>
      <c r="AR100" s="2">
        <f ca="1">T100*Sheet2!S$20/_xlfn.STDEV.S(T$92:T$121)</f>
        <v>2.3113664697762335</v>
      </c>
      <c r="AS100" s="2">
        <f ca="1">U100*Sheet2!T$20/_xlfn.STDEV.S(U$92:U$121)</f>
        <v>2.7699114414760864</v>
      </c>
      <c r="AT100" s="2">
        <f ca="1">V100*Sheet2!U$20/_xlfn.STDEV.S(V$92:V$121)</f>
        <v>3.6110663676707273</v>
      </c>
      <c r="AU100" s="2">
        <f ca="1">W100*Sheet2!V$20/_xlfn.STDEV.S(W$92:W$121)</f>
        <v>3.4913490308165391</v>
      </c>
      <c r="AV100" s="2">
        <f ca="1">X100*Sheet2!W$20/_xlfn.STDEV.S(X$92:X$121)</f>
        <v>2.7444879535335627</v>
      </c>
      <c r="AW100" s="2">
        <f ca="1">Y100*Sheet2!X$20/_xlfn.STDEV.S(Y$92:Y$121)</f>
        <v>1.8881843992651119</v>
      </c>
      <c r="AX100" s="2">
        <f ca="1">Z100*Sheet2!Y$20/_xlfn.STDEV.S(Z$92:Z$121)</f>
        <v>2.0487355187146745</v>
      </c>
      <c r="AY100" s="2">
        <f ca="1">AA100*Sheet2!Z$20/_xlfn.STDEV.S(AA$92:AA$121)</f>
        <v>0.32968051114689273</v>
      </c>
      <c r="AZ100" s="2">
        <f ca="1">AB100-AVERAGE(AB$92:AB$121)+Sheet2!C$19</f>
        <v>5.7738859474637794</v>
      </c>
      <c r="BA100" s="2">
        <f ca="1">AC100-AVERAGE(AC$92:AC$121)+Sheet2!D$19</f>
        <v>8.3001752846524433</v>
      </c>
      <c r="BB100" s="2">
        <f ca="1">AD100-AVERAGE(AD$92:AD$121)+Sheet2!E$19</f>
        <v>22.75691236653725</v>
      </c>
      <c r="BC100" s="2">
        <f ca="1">AE100-AVERAGE(AE$92:AE$121)+Sheet2!F$19</f>
        <v>18.941552132752321</v>
      </c>
      <c r="BD100" s="2">
        <f ca="1">AF100-AVERAGE(AF$92:AF$121)+Sheet2!G$19</f>
        <v>17.118049450703573</v>
      </c>
      <c r="BE100" s="2">
        <f ca="1">AG100-AVERAGE(AG$92:AG$121)+Sheet2!H$19</f>
        <v>34.145438784481016</v>
      </c>
      <c r="BF100" s="2">
        <f ca="1">AH100-AVERAGE(AH$92:AH$121)+Sheet2!I$19</f>
        <v>11.373832348667301</v>
      </c>
      <c r="BG100" s="2">
        <f ca="1">AI100-AVERAGE(AI$92:AI$121)+Sheet2!J$19</f>
        <v>26.506261723805565</v>
      </c>
      <c r="BH100" s="2">
        <f ca="1">AJ100-AVERAGE(AJ$92:AJ$121)+Sheet2!K$19</f>
        <v>24.532910987616628</v>
      </c>
      <c r="BI100" s="2">
        <f ca="1">AK100-AVERAGE(AK$92:AK$121)+Sheet2!L$19</f>
        <v>23.318093361849954</v>
      </c>
      <c r="BJ100" s="2">
        <f ca="1">AL100-AVERAGE(AL$92:AL$121)+Sheet2!M$19</f>
        <v>16.998252760050303</v>
      </c>
      <c r="BK100" s="2">
        <f ca="1">AM100-AVERAGE(AM$92:AM$121)+Sheet2!N$19</f>
        <v>3.4863521405341786</v>
      </c>
      <c r="BL100" s="2">
        <f ca="1">AN100-AVERAGE(AN$92:AN$121)+Sheet2!O$19</f>
        <v>6.8469337308766542</v>
      </c>
      <c r="BM100" s="2">
        <f ca="1">AO100-AVERAGE(AO$92:AO$121)+Sheet2!P$19</f>
        <v>25.246148845882743</v>
      </c>
      <c r="BN100" s="2">
        <f ca="1">AP100-AVERAGE(AP$92:AP$121)+Sheet2!Q$19</f>
        <v>9.0449629411656964</v>
      </c>
      <c r="BO100" s="2">
        <f ca="1">AQ100-AVERAGE(AQ$92:AQ$121)+Sheet2!R$19</f>
        <v>5.1489307232431614</v>
      </c>
      <c r="BP100" s="2">
        <f ca="1">AR100-AVERAGE(AR$92:AR$121)+Sheet2!S$19</f>
        <v>3.6347960297242001</v>
      </c>
      <c r="BQ100" s="2">
        <f ca="1">AS100-AVERAGE(AS$92:AS$121)+Sheet2!T$19</f>
        <v>21.590098165361034</v>
      </c>
      <c r="BR100" s="2">
        <f ca="1">AT100-AVERAGE(AT$92:AT$121)+Sheet2!U$19</f>
        <v>17.980399854142654</v>
      </c>
      <c r="BS100" s="2">
        <f ca="1">AU100-AVERAGE(AU$92:AU$121)+Sheet2!V$19</f>
        <v>24.207014254029989</v>
      </c>
      <c r="BT100" s="2">
        <f ca="1">AV100-AVERAGE(AV$92:AV$121)+Sheet2!W$19</f>
        <v>24.710574423810179</v>
      </c>
      <c r="BU100" s="2">
        <f ca="1">AW100-AVERAGE(AW$92:AW$121)+Sheet2!X$19</f>
        <v>23.473534950441</v>
      </c>
      <c r="BV100" s="2">
        <f ca="1">AX100-AVERAGE(AX$92:AX$121)+Sheet2!Y$19</f>
        <v>21.335010642091753</v>
      </c>
      <c r="BW100" s="2">
        <f ca="1">AY100-AVERAGE(AY$92:AY$121)+Sheet2!Z$19</f>
        <v>6.3691411146194437</v>
      </c>
      <c r="BZ100" s="2">
        <f ca="1">BA100-AVERAGE(AH$92:AH$121)+Sheet2!AB$19</f>
        <v>7.2245878527608314</v>
      </c>
      <c r="CA100" s="2">
        <f ca="1">BB100-AVERAGE(AI$92:AI$121)+Sheet2!AC$19</f>
        <v>19.132282047647674</v>
      </c>
      <c r="CB100" s="2">
        <f ca="1">BC100-AVERAGE(AJ$92:AJ$121)+Sheet2!AD$19</f>
        <v>16.228797102401696</v>
      </c>
      <c r="CC100" s="2">
        <f ca="1">BD100-AVERAGE(AK$92:AK$121)+Sheet2!AE$19</f>
        <v>14.676182035021982</v>
      </c>
    </row>
    <row r="101" spans="2:81" x14ac:dyDescent="0.3">
      <c r="B101">
        <v>100</v>
      </c>
      <c r="C101" s="1">
        <v>4</v>
      </c>
      <c r="D101" s="2">
        <f t="shared" ca="1" si="10"/>
        <v>0.19017122739681724</v>
      </c>
      <c r="E101" s="2">
        <f t="shared" ca="1" si="10"/>
        <v>0.71713756127548145</v>
      </c>
      <c r="F101" s="2">
        <f t="shared" ca="1" si="10"/>
        <v>5.474145384351059E-2</v>
      </c>
      <c r="G101" s="2">
        <f t="shared" ca="1" si="10"/>
        <v>0.40486204311284957</v>
      </c>
      <c r="H101" s="2">
        <f t="shared" ca="1" si="10"/>
        <v>0.56841478409499335</v>
      </c>
      <c r="I101" s="2">
        <f t="shared" ca="1" si="10"/>
        <v>0.7691254504593863</v>
      </c>
      <c r="J101" s="2">
        <f t="shared" ca="1" si="10"/>
        <v>0.45569568992847354</v>
      </c>
      <c r="K101" s="2">
        <f t="shared" ca="1" si="10"/>
        <v>0.41482643260103402</v>
      </c>
      <c r="L101" s="2">
        <f t="shared" ca="1" si="10"/>
        <v>0.86987130672657409</v>
      </c>
      <c r="M101" s="2">
        <f t="shared" ca="1" si="10"/>
        <v>0.96198639037904476</v>
      </c>
      <c r="N101" s="2">
        <f t="shared" ca="1" si="10"/>
        <v>0.86683838876246522</v>
      </c>
      <c r="O101" s="2">
        <f t="shared" ca="1" si="10"/>
        <v>0.68143860352006747</v>
      </c>
      <c r="P101" s="2">
        <f t="shared" ca="1" si="10"/>
        <v>0.80689011400555832</v>
      </c>
      <c r="Q101" s="2">
        <f t="shared" ca="1" si="9"/>
        <v>0.8099947984923167</v>
      </c>
      <c r="R101" s="2">
        <f t="shared" ca="1" si="9"/>
        <v>0.37389805000047205</v>
      </c>
      <c r="S101" s="2">
        <f t="shared" ca="1" si="9"/>
        <v>0.44318828151820122</v>
      </c>
      <c r="T101" s="2">
        <f t="shared" ca="1" si="9"/>
        <v>0.12075319818545494</v>
      </c>
      <c r="U101" s="2">
        <f t="shared" ca="1" si="9"/>
        <v>0.46460645565873782</v>
      </c>
      <c r="V101" s="2">
        <f t="shared" ca="1" si="9"/>
        <v>0.96265134555730503</v>
      </c>
      <c r="W101" s="2">
        <f t="shared" ca="1" si="9"/>
        <v>4.6756427840606962E-2</v>
      </c>
      <c r="X101" s="2">
        <f t="shared" ca="1" si="9"/>
        <v>0.50367915585104317</v>
      </c>
      <c r="Y101" s="2">
        <f t="shared" ca="1" si="9"/>
        <v>0.5922979735929742</v>
      </c>
      <c r="Z101" s="2">
        <f t="shared" ca="1" si="9"/>
        <v>0.87670684281878264</v>
      </c>
      <c r="AA101" s="2">
        <f t="shared" ca="1" si="9"/>
        <v>5.6639254160089747E-2</v>
      </c>
      <c r="AB101" s="2">
        <f ca="1">D101*Sheet2!C$20/_xlfn.STDEV.S(D$92:D$121)</f>
        <v>0.6867027132377963</v>
      </c>
      <c r="AC101" s="2">
        <f ca="1">E101*Sheet2!D$20/_xlfn.STDEV.S(E$92:E$121)</f>
        <v>10.902465392413093</v>
      </c>
      <c r="AD101" s="2">
        <f ca="1">F101*Sheet2!E$20/_xlfn.STDEV.S(F$92:F$121)</f>
        <v>0.28769918301358627</v>
      </c>
      <c r="AE101" s="2">
        <f ca="1">G101*Sheet2!F$20/_xlfn.STDEV.S(G$92:G$121)</f>
        <v>3.0637221531942891</v>
      </c>
      <c r="AF101" s="2">
        <f ca="1">H101*Sheet2!G$20/_xlfn.STDEV.S(H$92:H$121)</f>
        <v>5.8876342301404696</v>
      </c>
      <c r="AG101" s="2">
        <f ca="1">I101*Sheet2!H$20/_xlfn.STDEV.S(I$92:I$121)</f>
        <v>14.790370901931009</v>
      </c>
      <c r="AH101" s="2">
        <f ca="1">J101*Sheet2!I$20/_xlfn.STDEV.S(J$92:J$121)</f>
        <v>1.0788425033097913</v>
      </c>
      <c r="AI101" s="2">
        <f ca="1">K101*Sheet2!J$20/_xlfn.STDEV.S(K$92:K$121)</f>
        <v>2.6683672281363688</v>
      </c>
      <c r="AJ101" s="2">
        <f ca="1">L101*Sheet2!K$20/_xlfn.STDEV.S(L$92:L$121)</f>
        <v>4.9753768751589389</v>
      </c>
      <c r="AK101" s="2">
        <f ca="1">M101*Sheet2!L$20/_xlfn.STDEV.S(M$92:M$121)</f>
        <v>4.7967733877494334</v>
      </c>
      <c r="AL101" s="2">
        <f ca="1">N101*Sheet2!M$20/_xlfn.STDEV.S(N$92:N$121)</f>
        <v>2.4680367286598033</v>
      </c>
      <c r="AM101" s="2">
        <f ca="1">O101*Sheet2!N$20/_xlfn.STDEV.S(O$92:O$121)</f>
        <v>5.5655508657697093</v>
      </c>
      <c r="AN101" s="2">
        <f ca="1">P101*Sheet2!O$20/_xlfn.STDEV.S(P$92:P$121)</f>
        <v>3.9448993437101278</v>
      </c>
      <c r="AO101" s="2">
        <f ca="1">Q101*Sheet2!P$20/_xlfn.STDEV.S(Q$92:Q$121)</f>
        <v>4.8181007160824123</v>
      </c>
      <c r="AP101" s="2">
        <f ca="1">R101*Sheet2!Q$20/_xlfn.STDEV.S(R$92:R$121)</f>
        <v>1.7374383186010705</v>
      </c>
      <c r="AQ101" s="2">
        <f ca="1">S101*Sheet2!R$20/_xlfn.STDEV.S(S$92:S$121)</f>
        <v>1.8093396046735</v>
      </c>
      <c r="AR101" s="2">
        <f ca="1">T101*Sheet2!S$20/_xlfn.STDEV.S(T$92:T$121)</f>
        <v>0.40031637950765492</v>
      </c>
      <c r="AS101" s="2">
        <f ca="1">U101*Sheet2!T$20/_xlfn.STDEV.S(U$92:U$121)</f>
        <v>6.138412953898734</v>
      </c>
      <c r="AT101" s="2">
        <f ca="1">V101*Sheet2!U$20/_xlfn.STDEV.S(V$92:V$121)</f>
        <v>6.4985987089323736</v>
      </c>
      <c r="AU101" s="2">
        <f ca="1">W101*Sheet2!V$20/_xlfn.STDEV.S(W$92:W$121)</f>
        <v>0.31478165597295305</v>
      </c>
      <c r="AV101" s="2">
        <f ca="1">X101*Sheet2!W$20/_xlfn.STDEV.S(X$92:X$121)</f>
        <v>1.986130147280905</v>
      </c>
      <c r="AW101" s="2">
        <f ca="1">Y101*Sheet2!X$20/_xlfn.STDEV.S(Y$92:Y$121)</f>
        <v>2.9860246080932495</v>
      </c>
      <c r="AX101" s="2">
        <f ca="1">Z101*Sheet2!Y$20/_xlfn.STDEV.S(Z$92:Z$121)</f>
        <v>3.6455752872446672</v>
      </c>
      <c r="AY101" s="2">
        <f ca="1">AA101*Sheet2!Z$20/_xlfn.STDEV.S(AA$92:AA$121)</f>
        <v>0.12385291936931819</v>
      </c>
      <c r="AZ101" s="2">
        <f ca="1">AB101-AVERAGE(AB$92:AB$121)+Sheet2!C$19</f>
        <v>2.8653788754076679</v>
      </c>
      <c r="BA101" s="2">
        <f ca="1">AC101-AVERAGE(AC$92:AC$121)+Sheet2!D$19</f>
        <v>12.954549349862372</v>
      </c>
      <c r="BB101" s="2">
        <f ca="1">AD101-AVERAGE(AD$92:AD$121)+Sheet2!E$19</f>
        <v>19.787206748906485</v>
      </c>
      <c r="BC101" s="2">
        <f ca="1">AE101-AVERAGE(AE$92:AE$121)+Sheet2!F$19</f>
        <v>15.844237810777017</v>
      </c>
      <c r="BD101" s="2">
        <f ca="1">AF101-AVERAGE(AF$92:AF$121)+Sheet2!G$19</f>
        <v>18.877906333721235</v>
      </c>
      <c r="BE101" s="2">
        <f ca="1">AG101-AVERAGE(AG$92:AG$121)+Sheet2!H$19</f>
        <v>34.060233323273806</v>
      </c>
      <c r="BF101" s="2">
        <f ca="1">AH101-AVERAGE(AH$92:AH$121)+Sheet2!I$19</f>
        <v>11.862409949030177</v>
      </c>
      <c r="BG101" s="2">
        <f ca="1">AI101-AVERAGE(AI$92:AI$121)+Sheet2!J$19</f>
        <v>24.033344686576513</v>
      </c>
      <c r="BH101" s="2">
        <f ca="1">AJ101-AVERAGE(AJ$92:AJ$121)+Sheet2!K$19</f>
        <v>24.615343266026887</v>
      </c>
      <c r="BI101" s="2">
        <f ca="1">AK101-AVERAGE(AK$92:AK$121)+Sheet2!L$19</f>
        <v>25.168343115755068</v>
      </c>
      <c r="BJ101" s="2">
        <f ca="1">AL101-AVERAGE(AL$92:AL$121)+Sheet2!M$19</f>
        <v>18.53179169690328</v>
      </c>
      <c r="BK101" s="2">
        <f ca="1">AM101-AVERAGE(AM$92:AM$121)+Sheet2!N$19</f>
        <v>8.3194745560898387</v>
      </c>
      <c r="BL101" s="2">
        <f ca="1">AN101-AVERAGE(AN$92:AN$121)+Sheet2!O$19</f>
        <v>5.9929431192805342</v>
      </c>
      <c r="BM101" s="2">
        <f ca="1">AO101-AVERAGE(AO$92:AO$121)+Sheet2!P$19</f>
        <v>27.543259305886725</v>
      </c>
      <c r="BN101" s="2">
        <f ca="1">AP101-AVERAGE(AP$92:AP$121)+Sheet2!Q$19</f>
        <v>9.633753072813132</v>
      </c>
      <c r="BO101" s="2">
        <f ca="1">AQ101-AVERAGE(AQ$92:AQ$121)+Sheet2!R$19</f>
        <v>6.822891643850717</v>
      </c>
      <c r="BP101" s="2">
        <f ca="1">AR101-AVERAGE(AR$92:AR$121)+Sheet2!S$19</f>
        <v>1.7237459394556216</v>
      </c>
      <c r="BQ101" s="2">
        <f ca="1">AS101-AVERAGE(AS$92:AS$121)+Sheet2!T$19</f>
        <v>24.958599677783681</v>
      </c>
      <c r="BR101" s="2">
        <f ca="1">AT101-AVERAGE(AT$92:AT$121)+Sheet2!U$19</f>
        <v>20.8679321954043</v>
      </c>
      <c r="BS101" s="2">
        <f ca="1">AU101-AVERAGE(AU$92:AU$121)+Sheet2!V$19</f>
        <v>21.030446879186403</v>
      </c>
      <c r="BT101" s="2">
        <f ca="1">AV101-AVERAGE(AV$92:AV$121)+Sheet2!W$19</f>
        <v>23.952216617557522</v>
      </c>
      <c r="BU101" s="2">
        <f ca="1">AW101-AVERAGE(AW$92:AW$121)+Sheet2!X$19</f>
        <v>24.571375159269135</v>
      </c>
      <c r="BV101" s="2">
        <f ca="1">AX101-AVERAGE(AX$92:AX$121)+Sheet2!Y$19</f>
        <v>22.931850410621745</v>
      </c>
      <c r="BW101" s="2">
        <f ca="1">AY101-AVERAGE(AY$92:AY$121)+Sheet2!Z$19</f>
        <v>6.163313522841869</v>
      </c>
      <c r="BZ101" s="2">
        <f ca="1">BA101-AVERAGE(AH$92:AH$121)+Sheet2!AB$19</f>
        <v>11.878961917970761</v>
      </c>
      <c r="CA101" s="2">
        <f ca="1">BB101-AVERAGE(AI$92:AI$121)+Sheet2!AC$19</f>
        <v>16.162576430016909</v>
      </c>
      <c r="CB101" s="2">
        <f ca="1">BC101-AVERAGE(AJ$92:AJ$121)+Sheet2!AD$19</f>
        <v>13.131482780426394</v>
      </c>
      <c r="CC101" s="2">
        <f ca="1">BD101-AVERAGE(AK$92:AK$121)+Sheet2!AE$19</f>
        <v>16.436038918039646</v>
      </c>
    </row>
    <row r="102" spans="2:81" x14ac:dyDescent="0.3">
      <c r="B102">
        <v>101</v>
      </c>
      <c r="C102" s="1">
        <v>4</v>
      </c>
      <c r="D102" s="2">
        <f t="shared" ca="1" si="10"/>
        <v>2.7806425375386468E-2</v>
      </c>
      <c r="E102" s="2">
        <f t="shared" ca="1" si="10"/>
        <v>0.3869774129506689</v>
      </c>
      <c r="F102" s="2">
        <f t="shared" ca="1" si="10"/>
        <v>0.23081724924463043</v>
      </c>
      <c r="G102" s="2">
        <f t="shared" ca="1" si="10"/>
        <v>0.72482314280098892</v>
      </c>
      <c r="H102" s="2">
        <f t="shared" ca="1" si="10"/>
        <v>0.45142249034295101</v>
      </c>
      <c r="I102" s="2">
        <f t="shared" ca="1" si="10"/>
        <v>0.99855196650269229</v>
      </c>
      <c r="J102" s="2">
        <f t="shared" ca="1" si="10"/>
        <v>0.27053636586047458</v>
      </c>
      <c r="K102" s="2">
        <f t="shared" ca="1" si="10"/>
        <v>0.6035383099400996</v>
      </c>
      <c r="L102" s="2">
        <f t="shared" ca="1" si="10"/>
        <v>0.71528764290007396</v>
      </c>
      <c r="M102" s="2">
        <f t="shared" ca="1" si="10"/>
        <v>0.54708935131927749</v>
      </c>
      <c r="N102" s="2">
        <f t="shared" ca="1" si="10"/>
        <v>0.25725894295370733</v>
      </c>
      <c r="O102" s="2">
        <f t="shared" ca="1" si="10"/>
        <v>0.95405239023107102</v>
      </c>
      <c r="P102" s="2">
        <f t="shared" ca="1" si="10"/>
        <v>0.46919642795969185</v>
      </c>
      <c r="Q102" s="2">
        <f t="shared" ca="1" si="10"/>
        <v>0.58453560219697542</v>
      </c>
      <c r="R102" s="2">
        <f t="shared" ca="1" si="10"/>
        <v>0.74263014362914059</v>
      </c>
      <c r="S102" s="2">
        <f t="shared" ca="1" si="10"/>
        <v>0.24806972299244812</v>
      </c>
      <c r="T102" s="2">
        <f t="shared" ca="1" si="9"/>
        <v>0.52370108645134961</v>
      </c>
      <c r="U102" s="2">
        <f t="shared" ca="1" si="9"/>
        <v>0.41883914577183301</v>
      </c>
      <c r="V102" s="2">
        <f t="shared" ca="1" si="9"/>
        <v>2.7580082748084322E-3</v>
      </c>
      <c r="W102" s="2">
        <f t="shared" ca="1" si="9"/>
        <v>0.44434993874942708</v>
      </c>
      <c r="X102" s="2">
        <f t="shared" ca="1" si="9"/>
        <v>0.74251142076860954</v>
      </c>
      <c r="Y102" s="2">
        <f t="shared" ca="1" si="9"/>
        <v>6.6705884857292452E-2</v>
      </c>
      <c r="Z102" s="2">
        <f t="shared" ca="1" si="9"/>
        <v>0.47632178540025971</v>
      </c>
      <c r="AA102" s="2">
        <f t="shared" ca="1" si="9"/>
        <v>0.98782983286019133</v>
      </c>
      <c r="AB102" s="2">
        <f ca="1">D102*Sheet2!C$20/_xlfn.STDEV.S(D$92:D$121)</f>
        <v>0.1004081848348094</v>
      </c>
      <c r="AC102" s="2">
        <f ca="1">E102*Sheet2!D$20/_xlfn.STDEV.S(E$92:E$121)</f>
        <v>5.8831221235105922</v>
      </c>
      <c r="AD102" s="2">
        <f ca="1">F102*Sheet2!E$20/_xlfn.STDEV.S(F$92:F$121)</f>
        <v>1.2130831275135321</v>
      </c>
      <c r="AE102" s="2">
        <f ca="1">G102*Sheet2!F$20/_xlfn.STDEV.S(G$92:G$121)</f>
        <v>5.4849713810497187</v>
      </c>
      <c r="AF102" s="2">
        <f ca="1">H102*Sheet2!G$20/_xlfn.STDEV.S(H$92:H$121)</f>
        <v>4.6758293076948565</v>
      </c>
      <c r="AG102" s="2">
        <f ca="1">I102*Sheet2!H$20/_xlfn.STDEV.S(I$92:I$121)</f>
        <v>19.202269201475712</v>
      </c>
      <c r="AH102" s="2">
        <f ca="1">J102*Sheet2!I$20/_xlfn.STDEV.S(J$92:J$121)</f>
        <v>0.6404847283656766</v>
      </c>
      <c r="AI102" s="2">
        <f ca="1">K102*Sheet2!J$20/_xlfn.STDEV.S(K$92:K$121)</f>
        <v>3.8822546506284468</v>
      </c>
      <c r="AJ102" s="2">
        <f ca="1">L102*Sheet2!K$20/_xlfn.STDEV.S(L$92:L$121)</f>
        <v>4.0912093203352606</v>
      </c>
      <c r="AK102" s="2">
        <f ca="1">M102*Sheet2!L$20/_xlfn.STDEV.S(M$92:M$121)</f>
        <v>2.7279633759635522</v>
      </c>
      <c r="AL102" s="2">
        <f ca="1">N102*Sheet2!M$20/_xlfn.STDEV.S(N$92:N$121)</f>
        <v>0.73246008508274707</v>
      </c>
      <c r="AM102" s="2">
        <f ca="1">O102*Sheet2!N$20/_xlfn.STDEV.S(O$92:O$121)</f>
        <v>7.7920843917728373</v>
      </c>
      <c r="AN102" s="2">
        <f ca="1">P102*Sheet2!O$20/_xlfn.STDEV.S(P$92:P$121)</f>
        <v>2.2939092307637003</v>
      </c>
      <c r="AO102" s="2">
        <f ca="1">Q102*Sheet2!P$20/_xlfn.STDEV.S(Q$92:Q$121)</f>
        <v>3.4769993693331429</v>
      </c>
      <c r="AP102" s="2">
        <f ca="1">R102*Sheet2!Q$20/_xlfn.STDEV.S(R$92:R$121)</f>
        <v>3.4508713487215474</v>
      </c>
      <c r="AQ102" s="2">
        <f ca="1">S102*Sheet2!R$20/_xlfn.STDEV.S(S$92:S$121)</f>
        <v>1.0127577674054256</v>
      </c>
      <c r="AR102" s="2">
        <f ca="1">T102*Sheet2!S$20/_xlfn.STDEV.S(T$92:T$121)</f>
        <v>1.736153791557979</v>
      </c>
      <c r="AS102" s="2">
        <f ca="1">U102*Sheet2!T$20/_xlfn.STDEV.S(U$92:U$121)</f>
        <v>5.5337320579422888</v>
      </c>
      <c r="AT102" s="2">
        <f ca="1">V102*Sheet2!U$20/_xlfn.STDEV.S(V$92:V$121)</f>
        <v>1.8618567456028079E-2</v>
      </c>
      <c r="AU102" s="2">
        <f ca="1">W102*Sheet2!V$20/_xlfn.STDEV.S(W$92:W$121)</f>
        <v>2.9915289942134549</v>
      </c>
      <c r="AV102" s="2">
        <f ca="1">X102*Sheet2!W$20/_xlfn.STDEV.S(X$92:X$121)</f>
        <v>2.9279042032167077</v>
      </c>
      <c r="AW102" s="2">
        <f ca="1">Y102*Sheet2!X$20/_xlfn.STDEV.S(Y$92:Y$121)</f>
        <v>0.33629258003403179</v>
      </c>
      <c r="AX102" s="2">
        <f ca="1">Z102*Sheet2!Y$20/_xlfn.STDEV.S(Z$92:Z$121)</f>
        <v>1.9806699854746956</v>
      </c>
      <c r="AY102" s="2">
        <f ca="1">AA102*Sheet2!Z$20/_xlfn.STDEV.S(AA$92:AA$121)</f>
        <v>2.160085093882643</v>
      </c>
      <c r="AZ102" s="2">
        <f ca="1">AB102-AVERAGE(AB$92:AB$121)+Sheet2!C$19</f>
        <v>2.2790843470046811</v>
      </c>
      <c r="BA102" s="2">
        <f ca="1">AC102-AVERAGE(AC$92:AC$121)+Sheet2!D$19</f>
        <v>7.9352060809598708</v>
      </c>
      <c r="BB102" s="2">
        <f ca="1">AD102-AVERAGE(AD$92:AD$121)+Sheet2!E$19</f>
        <v>20.71259069340643</v>
      </c>
      <c r="BC102" s="2">
        <f ca="1">AE102-AVERAGE(AE$92:AE$121)+Sheet2!F$19</f>
        <v>18.265487038632447</v>
      </c>
      <c r="BD102" s="2">
        <f ca="1">AF102-AVERAGE(AF$92:AF$121)+Sheet2!G$19</f>
        <v>17.666101411275623</v>
      </c>
      <c r="BE102" s="2">
        <f ca="1">AG102-AVERAGE(AG$92:AG$121)+Sheet2!H$19</f>
        <v>38.472131622818509</v>
      </c>
      <c r="BF102" s="2">
        <f ca="1">AH102-AVERAGE(AH$92:AH$121)+Sheet2!I$19</f>
        <v>11.424052174086063</v>
      </c>
      <c r="BG102" s="2">
        <f ca="1">AI102-AVERAGE(AI$92:AI$121)+Sheet2!J$19</f>
        <v>25.247232109068591</v>
      </c>
      <c r="BH102" s="2">
        <f ca="1">AJ102-AVERAGE(AJ$92:AJ$121)+Sheet2!K$19</f>
        <v>23.73117571120321</v>
      </c>
      <c r="BI102" s="2">
        <f ca="1">AK102-AVERAGE(AK$92:AK$121)+Sheet2!L$19</f>
        <v>23.099533103969186</v>
      </c>
      <c r="BJ102" s="2">
        <f ca="1">AL102-AVERAGE(AL$92:AL$121)+Sheet2!M$19</f>
        <v>16.796215053326225</v>
      </c>
      <c r="BK102" s="2">
        <f ca="1">AM102-AVERAGE(AM$92:AM$121)+Sheet2!N$19</f>
        <v>10.546008082092968</v>
      </c>
      <c r="BL102" s="2">
        <f ca="1">AN102-AVERAGE(AN$92:AN$121)+Sheet2!O$19</f>
        <v>4.3419530063341067</v>
      </c>
      <c r="BM102" s="2">
        <f ca="1">AO102-AVERAGE(AO$92:AO$121)+Sheet2!P$19</f>
        <v>26.202157959137455</v>
      </c>
      <c r="BN102" s="2">
        <f ca="1">AP102-AVERAGE(AP$92:AP$121)+Sheet2!Q$19</f>
        <v>11.347186102933609</v>
      </c>
      <c r="BO102" s="2">
        <f ca="1">AQ102-AVERAGE(AQ$92:AQ$121)+Sheet2!R$19</f>
        <v>6.0263098065826428</v>
      </c>
      <c r="BP102" s="2">
        <f ca="1">AR102-AVERAGE(AR$92:AR$121)+Sheet2!S$19</f>
        <v>3.0595833515059456</v>
      </c>
      <c r="BQ102" s="2">
        <f ca="1">AS102-AVERAGE(AS$92:AS$121)+Sheet2!T$19</f>
        <v>24.353918781827236</v>
      </c>
      <c r="BR102" s="2">
        <f ca="1">AT102-AVERAGE(AT$92:AT$121)+Sheet2!U$19</f>
        <v>14.387952053927956</v>
      </c>
      <c r="BS102" s="2">
        <f ca="1">AU102-AVERAGE(AU$92:AU$121)+Sheet2!V$19</f>
        <v>23.707194217426906</v>
      </c>
      <c r="BT102" s="2">
        <f ca="1">AV102-AVERAGE(AV$92:AV$121)+Sheet2!W$19</f>
        <v>24.893990673493324</v>
      </c>
      <c r="BU102" s="2">
        <f ca="1">AW102-AVERAGE(AW$92:AW$121)+Sheet2!X$19</f>
        <v>21.921643131209919</v>
      </c>
      <c r="BV102" s="2">
        <f ca="1">AX102-AVERAGE(AX$92:AX$121)+Sheet2!Y$19</f>
        <v>21.266945108851775</v>
      </c>
      <c r="BW102" s="2">
        <f ca="1">AY102-AVERAGE(AY$92:AY$121)+Sheet2!Z$19</f>
        <v>8.1995456973551946</v>
      </c>
      <c r="BZ102" s="2">
        <f ca="1">BA102-AVERAGE(AH$92:AH$121)+Sheet2!AB$19</f>
        <v>6.8596186490682589</v>
      </c>
      <c r="CA102" s="2">
        <f ca="1">BB102-AVERAGE(AI$92:AI$121)+Sheet2!AC$19</f>
        <v>17.087960374516854</v>
      </c>
      <c r="CB102" s="2">
        <f ca="1">BC102-AVERAGE(AJ$92:AJ$121)+Sheet2!AD$19</f>
        <v>15.552732008281824</v>
      </c>
      <c r="CC102" s="2">
        <f ca="1">BD102-AVERAGE(AK$92:AK$121)+Sheet2!AE$19</f>
        <v>15.224233995594032</v>
      </c>
    </row>
    <row r="103" spans="2:81" x14ac:dyDescent="0.3">
      <c r="B103">
        <v>102</v>
      </c>
      <c r="C103" s="1">
        <v>4</v>
      </c>
      <c r="D103" s="2">
        <f t="shared" ca="1" si="10"/>
        <v>1.2314612179753714E-2</v>
      </c>
      <c r="E103" s="2">
        <f t="shared" ca="1" si="10"/>
        <v>0.20423394064783629</v>
      </c>
      <c r="F103" s="2">
        <f t="shared" ca="1" si="10"/>
        <v>0.75983420124730605</v>
      </c>
      <c r="G103" s="2">
        <f t="shared" ca="1" si="10"/>
        <v>0.73286557342840231</v>
      </c>
      <c r="H103" s="2">
        <f t="shared" ca="1" si="10"/>
        <v>9.0792655566473646E-2</v>
      </c>
      <c r="I103" s="2">
        <f t="shared" ca="1" si="10"/>
        <v>0.27460817958261641</v>
      </c>
      <c r="J103" s="2">
        <f t="shared" ca="1" si="10"/>
        <v>0.17596793262460186</v>
      </c>
      <c r="K103" s="2">
        <f t="shared" ca="1" si="10"/>
        <v>0.47675916363862703</v>
      </c>
      <c r="L103" s="2">
        <f t="shared" ca="1" si="10"/>
        <v>0.28649092078364324</v>
      </c>
      <c r="M103" s="2">
        <f t="shared" ca="1" si="10"/>
        <v>0.98117233837375684</v>
      </c>
      <c r="N103" s="2">
        <f t="shared" ca="1" si="10"/>
        <v>0.82909478430584393</v>
      </c>
      <c r="O103" s="2">
        <f t="shared" ca="1" si="10"/>
        <v>0.80115785736069256</v>
      </c>
      <c r="P103" s="2">
        <f t="shared" ca="1" si="10"/>
        <v>0.80969571318037081</v>
      </c>
      <c r="Q103" s="2">
        <f t="shared" ca="1" si="10"/>
        <v>3.4380721051027296E-2</v>
      </c>
      <c r="R103" s="2">
        <f t="shared" ca="1" si="10"/>
        <v>0.59161681994916682</v>
      </c>
      <c r="S103" s="2">
        <f t="shared" ca="1" si="10"/>
        <v>0.94979115422910299</v>
      </c>
      <c r="T103" s="2">
        <f t="shared" ca="1" si="9"/>
        <v>0.76072634217149626</v>
      </c>
      <c r="U103" s="2">
        <f t="shared" ca="1" si="9"/>
        <v>6.9135828585501602E-2</v>
      </c>
      <c r="V103" s="2">
        <f t="shared" ca="1" si="9"/>
        <v>0.37760869074973813</v>
      </c>
      <c r="W103" s="2">
        <f t="shared" ca="1" si="9"/>
        <v>0.33817384036289433</v>
      </c>
      <c r="X103" s="2">
        <f t="shared" ca="1" si="9"/>
        <v>8.0531591165953653E-2</v>
      </c>
      <c r="Y103" s="2">
        <f t="shared" ca="1" si="9"/>
        <v>0.23558453374167077</v>
      </c>
      <c r="Z103" s="2">
        <f t="shared" ca="1" si="9"/>
        <v>0.79320310379628933</v>
      </c>
      <c r="AA103" s="2">
        <f t="shared" ca="1" si="9"/>
        <v>0.96120245361096412</v>
      </c>
      <c r="AB103" s="2">
        <f ca="1">D103*Sheet2!C$20/_xlfn.STDEV.S(D$92:D$121)</f>
        <v>4.4467702670196986E-2</v>
      </c>
      <c r="AC103" s="2">
        <f ca="1">E103*Sheet2!D$20/_xlfn.STDEV.S(E$92:E$121)</f>
        <v>3.1049182055238038</v>
      </c>
      <c r="AD103" s="2">
        <f ca="1">F103*Sheet2!E$20/_xlfn.STDEV.S(F$92:F$121)</f>
        <v>3.9933846030022009</v>
      </c>
      <c r="AE103" s="2">
        <f ca="1">G103*Sheet2!F$20/_xlfn.STDEV.S(G$92:G$121)</f>
        <v>5.5458310573218821</v>
      </c>
      <c r="AF103" s="2">
        <f ca="1">H103*Sheet2!G$20/_xlfn.STDEV.S(H$92:H$121)</f>
        <v>0.94042935144556228</v>
      </c>
      <c r="AG103" s="2">
        <f ca="1">I103*Sheet2!H$20/_xlfn.STDEV.S(I$92:I$121)</f>
        <v>5.2807468876567167</v>
      </c>
      <c r="AH103" s="2">
        <f ca="1">J103*Sheet2!I$20/_xlfn.STDEV.S(J$92:J$121)</f>
        <v>0.41659749945138153</v>
      </c>
      <c r="AI103" s="2">
        <f ca="1">K103*Sheet2!J$20/_xlfn.STDEV.S(K$92:K$121)</f>
        <v>3.0667489532677519</v>
      </c>
      <c r="AJ103" s="2">
        <f ca="1">L103*Sheet2!K$20/_xlfn.STDEV.S(L$92:L$121)</f>
        <v>1.6386335440513327</v>
      </c>
      <c r="AK103" s="2">
        <f ca="1">M103*Sheet2!L$20/_xlfn.STDEV.S(M$92:M$121)</f>
        <v>4.8924406920691101</v>
      </c>
      <c r="AL103" s="2">
        <f ca="1">N103*Sheet2!M$20/_xlfn.STDEV.S(N$92:N$121)</f>
        <v>2.3605742497495901</v>
      </c>
      <c r="AM103" s="2">
        <f ca="1">O103*Sheet2!N$20/_xlfn.STDEV.S(O$92:O$121)</f>
        <v>6.5433404911594488</v>
      </c>
      <c r="AN103" s="2">
        <f ca="1">P103*Sheet2!O$20/_xlfn.STDEV.S(P$92:P$121)</f>
        <v>3.958615965281421</v>
      </c>
      <c r="AO103" s="2">
        <f ca="1">Q103*Sheet2!P$20/_xlfn.STDEV.S(Q$92:Q$121)</f>
        <v>0.20450721044593914</v>
      </c>
      <c r="AP103" s="2">
        <f ca="1">R103*Sheet2!Q$20/_xlfn.STDEV.S(R$92:R$121)</f>
        <v>2.7491390578455679</v>
      </c>
      <c r="AQ103" s="2">
        <f ca="1">S103*Sheet2!R$20/_xlfn.STDEV.S(S$92:S$121)</f>
        <v>3.8775726326254314</v>
      </c>
      <c r="AR103" s="2">
        <f ca="1">T103*Sheet2!S$20/_xlfn.STDEV.S(T$92:T$121)</f>
        <v>2.5219308446513384</v>
      </c>
      <c r="AS103" s="2">
        <f ca="1">U103*Sheet2!T$20/_xlfn.STDEV.S(U$92:U$121)</f>
        <v>0.91342739774473491</v>
      </c>
      <c r="AT103" s="2">
        <f ca="1">V103*Sheet2!U$20/_xlfn.STDEV.S(V$92:V$121)</f>
        <v>2.549134077995026</v>
      </c>
      <c r="AU103" s="2">
        <f ca="1">W103*Sheet2!V$20/_xlfn.STDEV.S(W$92:W$121)</f>
        <v>2.2767120242602155</v>
      </c>
      <c r="AV103" s="2">
        <f ca="1">X103*Sheet2!W$20/_xlfn.STDEV.S(X$92:X$121)</f>
        <v>0.31755576772468874</v>
      </c>
      <c r="AW103" s="2">
        <f ca="1">Y103*Sheet2!X$20/_xlfn.STDEV.S(Y$92:Y$121)</f>
        <v>1.1876812793592644</v>
      </c>
      <c r="AX103" s="2">
        <f ca="1">Z103*Sheet2!Y$20/_xlfn.STDEV.S(Z$92:Z$121)</f>
        <v>3.2983450016977183</v>
      </c>
      <c r="AY103" s="2">
        <f ca="1">AA103*Sheet2!Z$20/_xlfn.STDEV.S(AA$92:AA$121)</f>
        <v>2.1018590684154042</v>
      </c>
      <c r="AZ103" s="2">
        <f ca="1">AB103-AVERAGE(AB$92:AB$121)+Sheet2!C$19</f>
        <v>2.2231438648400683</v>
      </c>
      <c r="BA103" s="2">
        <f ca="1">AC103-AVERAGE(AC$92:AC$121)+Sheet2!D$19</f>
        <v>5.1570021629730824</v>
      </c>
      <c r="BB103" s="2">
        <f ca="1">AD103-AVERAGE(AD$92:AD$121)+Sheet2!E$19</f>
        <v>23.4928921688951</v>
      </c>
      <c r="BC103" s="2">
        <f ca="1">AE103-AVERAGE(AE$92:AE$121)+Sheet2!F$19</f>
        <v>18.326346714904609</v>
      </c>
      <c r="BD103" s="2">
        <f ca="1">AF103-AVERAGE(AF$92:AF$121)+Sheet2!G$19</f>
        <v>13.93070145502633</v>
      </c>
      <c r="BE103" s="2">
        <f ca="1">AG103-AVERAGE(AG$92:AG$121)+Sheet2!H$19</f>
        <v>24.550609308999519</v>
      </c>
      <c r="BF103" s="2">
        <f ca="1">AH103-AVERAGE(AH$92:AH$121)+Sheet2!I$19</f>
        <v>11.200164945171768</v>
      </c>
      <c r="BG103" s="2">
        <f ca="1">AI103-AVERAGE(AI$92:AI$121)+Sheet2!J$19</f>
        <v>24.431726411707896</v>
      </c>
      <c r="BH103" s="2">
        <f ca="1">AJ103-AVERAGE(AJ$92:AJ$121)+Sheet2!K$19</f>
        <v>21.278599934919281</v>
      </c>
      <c r="BI103" s="2">
        <f ca="1">AK103-AVERAGE(AK$92:AK$121)+Sheet2!L$19</f>
        <v>25.264010420074747</v>
      </c>
      <c r="BJ103" s="2">
        <f ca="1">AL103-AVERAGE(AL$92:AL$121)+Sheet2!M$19</f>
        <v>18.424329217993069</v>
      </c>
      <c r="BK103" s="2">
        <f ca="1">AM103-AVERAGE(AM$92:AM$121)+Sheet2!N$19</f>
        <v>9.2972641814795782</v>
      </c>
      <c r="BL103" s="2">
        <f ca="1">AN103-AVERAGE(AN$92:AN$121)+Sheet2!O$19</f>
        <v>6.0066597408518279</v>
      </c>
      <c r="BM103" s="2">
        <f ca="1">AO103-AVERAGE(AO$92:AO$121)+Sheet2!P$19</f>
        <v>22.929665800250252</v>
      </c>
      <c r="BN103" s="2">
        <f ca="1">AP103-AVERAGE(AP$92:AP$121)+Sheet2!Q$19</f>
        <v>10.645453812057628</v>
      </c>
      <c r="BO103" s="2">
        <f ca="1">AQ103-AVERAGE(AQ$92:AQ$121)+Sheet2!R$19</f>
        <v>8.8911246718026486</v>
      </c>
      <c r="BP103" s="2">
        <f ca="1">AR103-AVERAGE(AR$92:AR$121)+Sheet2!S$19</f>
        <v>3.8453604045993051</v>
      </c>
      <c r="BQ103" s="2">
        <f ca="1">AS103-AVERAGE(AS$92:AS$121)+Sheet2!T$19</f>
        <v>19.733614121629682</v>
      </c>
      <c r="BR103" s="2">
        <f ca="1">AT103-AVERAGE(AT$92:AT$121)+Sheet2!U$19</f>
        <v>16.918467564466955</v>
      </c>
      <c r="BS103" s="2">
        <f ca="1">AU103-AVERAGE(AU$92:AU$121)+Sheet2!V$19</f>
        <v>22.992377247473666</v>
      </c>
      <c r="BT103" s="2">
        <f ca="1">AV103-AVERAGE(AV$92:AV$121)+Sheet2!W$19</f>
        <v>22.283642238001306</v>
      </c>
      <c r="BU103" s="2">
        <f ca="1">AW103-AVERAGE(AW$92:AW$121)+Sheet2!X$19</f>
        <v>22.77303183053515</v>
      </c>
      <c r="BV103" s="2">
        <f ca="1">AX103-AVERAGE(AX$92:AX$121)+Sheet2!Y$19</f>
        <v>22.5846201250748</v>
      </c>
      <c r="BW103" s="2">
        <f ca="1">AY103-AVERAGE(AY$92:AY$121)+Sheet2!Z$19</f>
        <v>8.1413196718879544</v>
      </c>
      <c r="BZ103" s="2">
        <f ca="1">BA103-AVERAGE(AH$92:AH$121)+Sheet2!AB$19</f>
        <v>4.0814147310814706</v>
      </c>
      <c r="CA103" s="2">
        <f ca="1">BB103-AVERAGE(AI$92:AI$121)+Sheet2!AC$19</f>
        <v>19.868261850005524</v>
      </c>
      <c r="CB103" s="2">
        <f ca="1">BC103-AVERAGE(AJ$92:AJ$121)+Sheet2!AD$19</f>
        <v>15.613591684553986</v>
      </c>
      <c r="CC103" s="2">
        <f ca="1">BD103-AVERAGE(AK$92:AK$121)+Sheet2!AE$19</f>
        <v>11.48883403934474</v>
      </c>
    </row>
    <row r="104" spans="2:81" x14ac:dyDescent="0.3">
      <c r="B104">
        <v>103</v>
      </c>
      <c r="C104" s="1">
        <v>4</v>
      </c>
      <c r="D104" s="2">
        <f t="shared" ca="1" si="10"/>
        <v>7.4038001895199379E-2</v>
      </c>
      <c r="E104" s="2">
        <f t="shared" ca="1" si="10"/>
        <v>0.18167816933779835</v>
      </c>
      <c r="F104" s="2">
        <f t="shared" ca="1" si="10"/>
        <v>0.16541988754175707</v>
      </c>
      <c r="G104" s="2">
        <f t="shared" ca="1" si="10"/>
        <v>0.40312009790414749</v>
      </c>
      <c r="H104" s="2">
        <f t="shared" ca="1" si="10"/>
        <v>0.49501849467443915</v>
      </c>
      <c r="I104" s="2">
        <f t="shared" ca="1" si="10"/>
        <v>0.71407076417540316</v>
      </c>
      <c r="J104" s="2">
        <f t="shared" ca="1" si="10"/>
        <v>0.98029427754572718</v>
      </c>
      <c r="K104" s="2">
        <f t="shared" ca="1" si="10"/>
        <v>0.26703878146212556</v>
      </c>
      <c r="L104" s="2">
        <f t="shared" ca="1" si="10"/>
        <v>0.23838166856105247</v>
      </c>
      <c r="M104" s="2">
        <f t="shared" ca="1" si="10"/>
        <v>0.62315666519580282</v>
      </c>
      <c r="N104" s="2">
        <f t="shared" ca="1" si="10"/>
        <v>0.47566825215412523</v>
      </c>
      <c r="O104" s="2">
        <f t="shared" ca="1" si="10"/>
        <v>0.75919911742580592</v>
      </c>
      <c r="P104" s="2">
        <f t="shared" ca="1" si="10"/>
        <v>0.1438823451089658</v>
      </c>
      <c r="Q104" s="2">
        <f t="shared" ca="1" si="9"/>
        <v>0.5278297445576331</v>
      </c>
      <c r="R104" s="2">
        <f t="shared" ca="1" si="9"/>
        <v>0.93991358087286503</v>
      </c>
      <c r="S104" s="2">
        <f t="shared" ca="1" si="9"/>
        <v>0.2487177769176524</v>
      </c>
      <c r="T104" s="2">
        <f t="shared" ca="1" si="9"/>
        <v>0.72073260292238184</v>
      </c>
      <c r="U104" s="2">
        <f t="shared" ca="1" si="9"/>
        <v>0.44534367103915973</v>
      </c>
      <c r="V104" s="2">
        <f t="shared" ca="1" si="9"/>
        <v>0.61635049847384771</v>
      </c>
      <c r="W104" s="2">
        <f t="shared" ca="1" si="9"/>
        <v>4.4417864409702745E-2</v>
      </c>
      <c r="X104" s="2">
        <f t="shared" ca="1" si="9"/>
        <v>0.6239136790216806</v>
      </c>
      <c r="Y104" s="2">
        <f t="shared" ca="1" si="9"/>
        <v>0.56292782043830791</v>
      </c>
      <c r="Z104" s="2">
        <f t="shared" ca="1" si="9"/>
        <v>0.12683957044782046</v>
      </c>
      <c r="AA104" s="2">
        <f t="shared" ca="1" si="9"/>
        <v>0.70309910906058593</v>
      </c>
      <c r="AB104" s="2">
        <f ca="1">D104*Sheet2!C$20/_xlfn.STDEV.S(D$92:D$121)</f>
        <v>0.26734904896022893</v>
      </c>
      <c r="AC104" s="2">
        <f ca="1">E104*Sheet2!D$20/_xlfn.STDEV.S(E$92:E$121)</f>
        <v>2.7620083798698563</v>
      </c>
      <c r="AD104" s="2">
        <f ca="1">F104*Sheet2!E$20/_xlfn.STDEV.S(F$92:F$121)</f>
        <v>0.86938075550590432</v>
      </c>
      <c r="AE104" s="2">
        <f ca="1">G104*Sheet2!F$20/_xlfn.STDEV.S(G$92:G$121)</f>
        <v>3.0505402898501286</v>
      </c>
      <c r="AF104" s="2">
        <f ca="1">H104*Sheet2!G$20/_xlfn.STDEV.S(H$92:H$121)</f>
        <v>5.1273962524359096</v>
      </c>
      <c r="AG104" s="2">
        <f ca="1">I104*Sheet2!H$20/_xlfn.STDEV.S(I$92:I$121)</f>
        <v>13.731662950525671</v>
      </c>
      <c r="AH104" s="2">
        <f ca="1">J104*Sheet2!I$20/_xlfn.STDEV.S(J$92:J$121)</f>
        <v>2.3208100399933453</v>
      </c>
      <c r="AI104" s="2">
        <f ca="1">K104*Sheet2!J$20/_xlfn.STDEV.S(K$92:K$121)</f>
        <v>1.7177245158346002</v>
      </c>
      <c r="AJ104" s="2">
        <f ca="1">L104*Sheet2!K$20/_xlfn.STDEV.S(L$92:L$121)</f>
        <v>1.3634644941717449</v>
      </c>
      <c r="AK104" s="2">
        <f ca="1">M104*Sheet2!L$20/_xlfn.STDEV.S(M$92:M$121)</f>
        <v>3.1072594559597877</v>
      </c>
      <c r="AL104" s="2">
        <f ca="1">N104*Sheet2!M$20/_xlfn.STDEV.S(N$92:N$121)</f>
        <v>1.3543086372187525</v>
      </c>
      <c r="AM104" s="2">
        <f ca="1">O104*Sheet2!N$20/_xlfn.STDEV.S(O$92:O$121)</f>
        <v>6.200648574140196</v>
      </c>
      <c r="AN104" s="2">
        <f ca="1">P104*Sheet2!O$20/_xlfn.STDEV.S(P$92:P$121)</f>
        <v>0.7034432061314404</v>
      </c>
      <c r="AO104" s="2">
        <f ca="1">Q104*Sheet2!P$20/_xlfn.STDEV.S(Q$92:Q$121)</f>
        <v>3.1396953103358136</v>
      </c>
      <c r="AP104" s="2">
        <f ca="1">R104*Sheet2!Q$20/_xlfn.STDEV.S(R$92:R$121)</f>
        <v>4.3676126997185465</v>
      </c>
      <c r="AQ104" s="2">
        <f ca="1">S104*Sheet2!R$20/_xlfn.STDEV.S(S$92:S$121)</f>
        <v>1.0154034818381708</v>
      </c>
      <c r="AR104" s="2">
        <f ca="1">T104*Sheet2!S$20/_xlfn.STDEV.S(T$92:T$121)</f>
        <v>2.3893451314796676</v>
      </c>
      <c r="AS104" s="2">
        <f ca="1">U104*Sheet2!T$20/_xlfn.STDEV.S(U$92:U$121)</f>
        <v>5.8839116976272736</v>
      </c>
      <c r="AT104" s="2">
        <f ca="1">V104*Sheet2!U$20/_xlfn.STDEV.S(V$92:V$121)</f>
        <v>4.1608154106024005</v>
      </c>
      <c r="AU104" s="2">
        <f ca="1">W104*Sheet2!V$20/_xlfn.STDEV.S(W$92:W$121)</f>
        <v>0.29903757749272109</v>
      </c>
      <c r="AV104" s="2">
        <f ca="1">X104*Sheet2!W$20/_xlfn.STDEV.S(X$92:X$121)</f>
        <v>2.4602442900622474</v>
      </c>
      <c r="AW104" s="2">
        <f ca="1">Y104*Sheet2!X$20/_xlfn.STDEV.S(Y$92:Y$121)</f>
        <v>2.837957243399599</v>
      </c>
      <c r="AX104" s="2">
        <f ca="1">Z104*Sheet2!Y$20/_xlfn.STDEV.S(Z$92:Z$121)</f>
        <v>0.52743195431506762</v>
      </c>
      <c r="AY104" s="2">
        <f ca="1">AA104*Sheet2!Z$20/_xlfn.STDEV.S(AA$92:AA$121)</f>
        <v>1.5374651123933907</v>
      </c>
      <c r="AZ104" s="2">
        <f ca="1">AB104-AVERAGE(AB$92:AB$121)+Sheet2!C$19</f>
        <v>2.4460252111301006</v>
      </c>
      <c r="BA104" s="2">
        <f ca="1">AC104-AVERAGE(AC$92:AC$121)+Sheet2!D$19</f>
        <v>4.8140923373191349</v>
      </c>
      <c r="BB104" s="2">
        <f ca="1">AD104-AVERAGE(AD$92:AD$121)+Sheet2!E$19</f>
        <v>20.368888321398803</v>
      </c>
      <c r="BC104" s="2">
        <f ca="1">AE104-AVERAGE(AE$92:AE$121)+Sheet2!F$19</f>
        <v>15.831055947432857</v>
      </c>
      <c r="BD104" s="2">
        <f ca="1">AF104-AVERAGE(AF$92:AF$121)+Sheet2!G$19</f>
        <v>18.117668356016676</v>
      </c>
      <c r="BE104" s="2">
        <f ca="1">AG104-AVERAGE(AG$92:AG$121)+Sheet2!H$19</f>
        <v>33.001525371868468</v>
      </c>
      <c r="BF104" s="2">
        <f ca="1">AH104-AVERAGE(AH$92:AH$121)+Sheet2!I$19</f>
        <v>13.10437748571373</v>
      </c>
      <c r="BG104" s="2">
        <f ca="1">AI104-AVERAGE(AI$92:AI$121)+Sheet2!J$19</f>
        <v>23.082701974274741</v>
      </c>
      <c r="BH104" s="2">
        <f ca="1">AJ104-AVERAGE(AJ$92:AJ$121)+Sheet2!K$19</f>
        <v>21.003430885039695</v>
      </c>
      <c r="BI104" s="2">
        <f ca="1">AK104-AVERAGE(AK$92:AK$121)+Sheet2!L$19</f>
        <v>23.478829183965424</v>
      </c>
      <c r="BJ104" s="2">
        <f ca="1">AL104-AVERAGE(AL$92:AL$121)+Sheet2!M$19</f>
        <v>17.41806360546223</v>
      </c>
      <c r="BK104" s="2">
        <f ca="1">AM104-AVERAGE(AM$92:AM$121)+Sheet2!N$19</f>
        <v>8.9545722644603245</v>
      </c>
      <c r="BL104" s="2">
        <f ca="1">AN104-AVERAGE(AN$92:AN$121)+Sheet2!O$19</f>
        <v>2.7514869817018472</v>
      </c>
      <c r="BM104" s="2">
        <f ca="1">AO104-AVERAGE(AO$92:AO$121)+Sheet2!P$19</f>
        <v>25.864853900140126</v>
      </c>
      <c r="BN104" s="2">
        <f ca="1">AP104-AVERAGE(AP$92:AP$121)+Sheet2!Q$19</f>
        <v>12.263927453930608</v>
      </c>
      <c r="BO104" s="2">
        <f ca="1">AQ104-AVERAGE(AQ$92:AQ$121)+Sheet2!R$19</f>
        <v>6.028955521015388</v>
      </c>
      <c r="BP104" s="2">
        <f ca="1">AR104-AVERAGE(AR$92:AR$121)+Sheet2!S$19</f>
        <v>3.7127746914276343</v>
      </c>
      <c r="BQ104" s="2">
        <f ca="1">AS104-AVERAGE(AS$92:AS$121)+Sheet2!T$19</f>
        <v>24.704098421512221</v>
      </c>
      <c r="BR104" s="2">
        <f ca="1">AT104-AVERAGE(AT$92:AT$121)+Sheet2!U$19</f>
        <v>18.53014889707433</v>
      </c>
      <c r="BS104" s="2">
        <f ca="1">AU104-AVERAGE(AU$92:AU$121)+Sheet2!V$19</f>
        <v>21.014702800706171</v>
      </c>
      <c r="BT104" s="2">
        <f ca="1">AV104-AVERAGE(AV$92:AV$121)+Sheet2!W$19</f>
        <v>24.426330760338864</v>
      </c>
      <c r="BU104" s="2">
        <f ca="1">AW104-AVERAGE(AW$92:AW$121)+Sheet2!X$19</f>
        <v>24.423307794575486</v>
      </c>
      <c r="BV104" s="2">
        <f ca="1">AX104-AVERAGE(AX$92:AX$121)+Sheet2!Y$19</f>
        <v>19.813707077692147</v>
      </c>
      <c r="BW104" s="2">
        <f ca="1">AY104-AVERAGE(AY$92:AY$121)+Sheet2!Z$19</f>
        <v>7.5769257158659418</v>
      </c>
      <c r="BZ104" s="2">
        <f ca="1">BA104-AVERAGE(AH$92:AH$121)+Sheet2!AB$19</f>
        <v>3.7385049054275235</v>
      </c>
      <c r="CA104" s="2">
        <f ca="1">BB104-AVERAGE(AI$92:AI$121)+Sheet2!AC$19</f>
        <v>16.744258002509227</v>
      </c>
      <c r="CB104" s="2">
        <f ca="1">BC104-AVERAGE(AJ$92:AJ$121)+Sheet2!AD$19</f>
        <v>13.118300917082234</v>
      </c>
      <c r="CC104" s="2">
        <f ca="1">BD104-AVERAGE(AK$92:AK$121)+Sheet2!AE$19</f>
        <v>15.675800940335085</v>
      </c>
    </row>
    <row r="105" spans="2:81" x14ac:dyDescent="0.3">
      <c r="B105">
        <v>104</v>
      </c>
      <c r="C105" s="1">
        <v>4</v>
      </c>
      <c r="D105" s="2">
        <f t="shared" ca="1" si="10"/>
        <v>0.16286771492457286</v>
      </c>
      <c r="E105" s="2">
        <f t="shared" ca="1" si="10"/>
        <v>0.85444700075768076</v>
      </c>
      <c r="F105" s="2">
        <f t="shared" ca="1" si="10"/>
        <v>0.77796645547086452</v>
      </c>
      <c r="G105" s="2">
        <f t="shared" ca="1" si="10"/>
        <v>0.91714268855719516</v>
      </c>
      <c r="H105" s="2">
        <f t="shared" ca="1" si="10"/>
        <v>0.15946846876022391</v>
      </c>
      <c r="I105" s="2">
        <f t="shared" ca="1" si="10"/>
        <v>0.7584133414330112</v>
      </c>
      <c r="J105" s="2">
        <f t="shared" ca="1" si="10"/>
        <v>0.86839775678879827</v>
      </c>
      <c r="K105" s="2">
        <f t="shared" ca="1" si="10"/>
        <v>9.641318086694517E-2</v>
      </c>
      <c r="L105" s="2">
        <f t="shared" ca="1" si="10"/>
        <v>0.74395203326237802</v>
      </c>
      <c r="M105" s="2">
        <f t="shared" ca="1" si="10"/>
        <v>0.50413571334296059</v>
      </c>
      <c r="N105" s="2">
        <f t="shared" ca="1" si="10"/>
        <v>6.8637136099778728E-2</v>
      </c>
      <c r="O105" s="2">
        <f t="shared" ca="1" si="10"/>
        <v>6.4827671652365471E-2</v>
      </c>
      <c r="P105" s="2">
        <f t="shared" ca="1" si="10"/>
        <v>0.74644066895644545</v>
      </c>
      <c r="Q105" s="2">
        <f t="shared" ca="1" si="9"/>
        <v>0.31169508020412839</v>
      </c>
      <c r="R105" s="2">
        <f t="shared" ca="1" si="9"/>
        <v>0.62769763450144844</v>
      </c>
      <c r="S105" s="2">
        <f t="shared" ca="1" si="9"/>
        <v>0.71207904895878271</v>
      </c>
      <c r="T105" s="2">
        <f t="shared" ca="1" si="9"/>
        <v>0.19399233262391158</v>
      </c>
      <c r="U105" s="2">
        <f t="shared" ca="1" si="9"/>
        <v>0.48227028227222279</v>
      </c>
      <c r="V105" s="2">
        <f t="shared" ca="1" si="9"/>
        <v>0.97420290676426269</v>
      </c>
      <c r="W105" s="2">
        <f t="shared" ca="1" si="9"/>
        <v>0.57778987619542632</v>
      </c>
      <c r="X105" s="2">
        <f t="shared" ca="1" si="9"/>
        <v>0.37134151065547139</v>
      </c>
      <c r="Y105" s="2">
        <f t="shared" ca="1" si="9"/>
        <v>0.5450983684678421</v>
      </c>
      <c r="Z105" s="2">
        <f t="shared" ca="1" si="9"/>
        <v>0.49165626569154386</v>
      </c>
      <c r="AA105" s="2">
        <f t="shared" ca="1" si="9"/>
        <v>0.21689447958947128</v>
      </c>
      <c r="AB105" s="2">
        <f ca="1">D105*Sheet2!C$20/_xlfn.STDEV.S(D$92:D$121)</f>
        <v>0.58811053211625819</v>
      </c>
      <c r="AC105" s="2">
        <f ca="1">E105*Sheet2!D$20/_xlfn.STDEV.S(E$92:E$121)</f>
        <v>12.989946920146453</v>
      </c>
      <c r="AD105" s="2">
        <f ca="1">F105*Sheet2!E$20/_xlfn.STDEV.S(F$92:F$121)</f>
        <v>4.088680477701204</v>
      </c>
      <c r="AE105" s="2">
        <f ca="1">G105*Sheet2!F$20/_xlfn.STDEV.S(G$92:G$121)</f>
        <v>6.9403156467044687</v>
      </c>
      <c r="AF105" s="2">
        <f ca="1">H105*Sheet2!G$20/_xlfn.STDEV.S(H$92:H$121)</f>
        <v>1.6517726870803435</v>
      </c>
      <c r="AG105" s="2">
        <f ca="1">I105*Sheet2!H$20/_xlfn.STDEV.S(I$92:I$121)</f>
        <v>14.584375812901802</v>
      </c>
      <c r="AH105" s="2">
        <f ca="1">J105*Sheet2!I$20/_xlfn.STDEV.S(J$92:J$121)</f>
        <v>2.0558992119273407</v>
      </c>
      <c r="AI105" s="2">
        <f ca="1">K105*Sheet2!J$20/_xlfn.STDEV.S(K$92:K$121)</f>
        <v>0.62017690283774751</v>
      </c>
      <c r="AJ105" s="2">
        <f ca="1">L105*Sheet2!K$20/_xlfn.STDEV.S(L$92:L$121)</f>
        <v>4.2551601758771191</v>
      </c>
      <c r="AK105" s="2">
        <f ca="1">M105*Sheet2!L$20/_xlfn.STDEV.S(M$92:M$121)</f>
        <v>2.513782728906127</v>
      </c>
      <c r="AL105" s="2">
        <f ca="1">N105*Sheet2!M$20/_xlfn.STDEV.S(N$92:N$121)</f>
        <v>0.19542163226771328</v>
      </c>
      <c r="AM105" s="2">
        <f ca="1">O105*Sheet2!N$20/_xlfn.STDEV.S(O$92:O$121)</f>
        <v>0.52947059680341679</v>
      </c>
      <c r="AN105" s="2">
        <f ca="1">P105*Sheet2!O$20/_xlfn.STDEV.S(P$92:P$121)</f>
        <v>3.6493609897723274</v>
      </c>
      <c r="AO105" s="2">
        <f ca="1">Q105*Sheet2!P$20/_xlfn.STDEV.S(Q$92:Q$121)</f>
        <v>1.8540591765850967</v>
      </c>
      <c r="AP105" s="2">
        <f ca="1">R105*Sheet2!Q$20/_xlfn.STDEV.S(R$92:R$121)</f>
        <v>2.9168002418752628</v>
      </c>
      <c r="AQ105" s="2">
        <f ca="1">S105*Sheet2!R$20/_xlfn.STDEV.S(S$92:S$121)</f>
        <v>2.9071003875052885</v>
      </c>
      <c r="AR105" s="2">
        <f ca="1">T105*Sheet2!S$20/_xlfn.STDEV.S(T$92:T$121)</f>
        <v>0.64311595398889554</v>
      </c>
      <c r="AS105" s="2">
        <f ca="1">U105*Sheet2!T$20/_xlfn.STDEV.S(U$92:U$121)</f>
        <v>6.3717886652755897</v>
      </c>
      <c r="AT105" s="2">
        <f ca="1">V105*Sheet2!U$20/_xlfn.STDEV.S(V$92:V$121)</f>
        <v>6.5765801724104405</v>
      </c>
      <c r="AU105" s="2">
        <f ca="1">W105*Sheet2!V$20/_xlfn.STDEV.S(W$92:W$121)</f>
        <v>3.8898962652413531</v>
      </c>
      <c r="AV105" s="2">
        <f ca="1">X105*Sheet2!W$20/_xlfn.STDEV.S(X$92:X$121)</f>
        <v>1.4642904330704152</v>
      </c>
      <c r="AW105" s="2">
        <f ca="1">Y105*Sheet2!X$20/_xlfn.STDEV.S(Y$92:Y$121)</f>
        <v>2.7480714347251745</v>
      </c>
      <c r="AX105" s="2">
        <f ca="1">Z105*Sheet2!Y$20/_xlfn.STDEV.S(Z$92:Z$121)</f>
        <v>2.0444347465810502</v>
      </c>
      <c r="AY105" s="2">
        <f ca="1">AA105*Sheet2!Z$20/_xlfn.STDEV.S(AA$92:AA$121)</f>
        <v>0.47428263119986058</v>
      </c>
      <c r="AZ105" s="2">
        <f ca="1">AB105-AVERAGE(AB$92:AB$121)+Sheet2!C$19</f>
        <v>2.7667866942861297</v>
      </c>
      <c r="BA105" s="2">
        <f ca="1">AC105-AVERAGE(AC$92:AC$121)+Sheet2!D$19</f>
        <v>15.042030877595732</v>
      </c>
      <c r="BB105" s="2">
        <f ca="1">AD105-AVERAGE(AD$92:AD$121)+Sheet2!E$19</f>
        <v>23.588188043594101</v>
      </c>
      <c r="BC105" s="2">
        <f ca="1">AE105-AVERAGE(AE$92:AE$121)+Sheet2!F$19</f>
        <v>19.720831304287195</v>
      </c>
      <c r="BD105" s="2">
        <f ca="1">AF105-AVERAGE(AF$92:AF$121)+Sheet2!G$19</f>
        <v>14.64204479066111</v>
      </c>
      <c r="BE105" s="2">
        <f ca="1">AG105-AVERAGE(AG$92:AG$121)+Sheet2!H$19</f>
        <v>33.854238234244605</v>
      </c>
      <c r="BF105" s="2">
        <f ca="1">AH105-AVERAGE(AH$92:AH$121)+Sheet2!I$19</f>
        <v>12.839466657647726</v>
      </c>
      <c r="BG105" s="2">
        <f ca="1">AI105-AVERAGE(AI$92:AI$121)+Sheet2!J$19</f>
        <v>21.985154361277889</v>
      </c>
      <c r="BH105" s="2">
        <f ca="1">AJ105-AVERAGE(AJ$92:AJ$121)+Sheet2!K$19</f>
        <v>23.89512656674507</v>
      </c>
      <c r="BI105" s="2">
        <f ca="1">AK105-AVERAGE(AK$92:AK$121)+Sheet2!L$19</f>
        <v>22.885352456911761</v>
      </c>
      <c r="BJ105" s="2">
        <f ca="1">AL105-AVERAGE(AL$92:AL$121)+Sheet2!M$19</f>
        <v>16.259176600511193</v>
      </c>
      <c r="BK105" s="2">
        <f ca="1">AM105-AVERAGE(AM$92:AM$121)+Sheet2!N$19</f>
        <v>3.2833942871235458</v>
      </c>
      <c r="BL105" s="2">
        <f ca="1">AN105-AVERAGE(AN$92:AN$121)+Sheet2!O$19</f>
        <v>5.6974047653427338</v>
      </c>
      <c r="BM105" s="2">
        <f ca="1">AO105-AVERAGE(AO$92:AO$121)+Sheet2!P$19</f>
        <v>24.579217766389409</v>
      </c>
      <c r="BN105" s="2">
        <f ca="1">AP105-AVERAGE(AP$92:AP$121)+Sheet2!Q$19</f>
        <v>10.813114996087323</v>
      </c>
      <c r="BO105" s="2">
        <f ca="1">AQ105-AVERAGE(AQ$92:AQ$121)+Sheet2!R$19</f>
        <v>7.9206524266825058</v>
      </c>
      <c r="BP105" s="2">
        <f ca="1">AR105-AVERAGE(AR$92:AR$121)+Sheet2!S$19</f>
        <v>1.9665455139368622</v>
      </c>
      <c r="BQ105" s="2">
        <f ca="1">AS105-AVERAGE(AS$92:AS$121)+Sheet2!T$19</f>
        <v>25.191975389160536</v>
      </c>
      <c r="BR105" s="2">
        <f ca="1">AT105-AVERAGE(AT$92:AT$121)+Sheet2!U$19</f>
        <v>20.945913658882368</v>
      </c>
      <c r="BS105" s="2">
        <f ca="1">AU105-AVERAGE(AU$92:AU$121)+Sheet2!V$19</f>
        <v>24.605561488454804</v>
      </c>
      <c r="BT105" s="2">
        <f ca="1">AV105-AVERAGE(AV$92:AV$121)+Sheet2!W$19</f>
        <v>23.430376903347032</v>
      </c>
      <c r="BU105" s="2">
        <f ca="1">AW105-AVERAGE(AW$92:AW$121)+Sheet2!X$19</f>
        <v>24.333421985901062</v>
      </c>
      <c r="BV105" s="2">
        <f ca="1">AX105-AVERAGE(AX$92:AX$121)+Sheet2!Y$19</f>
        <v>21.330709869958131</v>
      </c>
      <c r="BW105" s="2">
        <f ca="1">AY105-AVERAGE(AY$92:AY$121)+Sheet2!Z$19</f>
        <v>6.5137432346724111</v>
      </c>
      <c r="BZ105" s="2">
        <f ca="1">BA105-AVERAGE(AH$92:AH$121)+Sheet2!AB$19</f>
        <v>13.966443445704121</v>
      </c>
      <c r="CA105" s="2">
        <f ca="1">BB105-AVERAGE(AI$92:AI$121)+Sheet2!AC$19</f>
        <v>19.963557724704525</v>
      </c>
      <c r="CB105" s="2">
        <f ca="1">BC105-AVERAGE(AJ$92:AJ$121)+Sheet2!AD$19</f>
        <v>17.008076273936574</v>
      </c>
      <c r="CC105" s="2">
        <f ca="1">BD105-AVERAGE(AK$92:AK$121)+Sheet2!AE$19</f>
        <v>12.200177374979519</v>
      </c>
    </row>
    <row r="106" spans="2:81" x14ac:dyDescent="0.3">
      <c r="B106">
        <v>105</v>
      </c>
      <c r="C106" s="1">
        <v>4</v>
      </c>
      <c r="D106" s="2">
        <f t="shared" ca="1" si="10"/>
        <v>0.25559226390244816</v>
      </c>
      <c r="E106" s="2">
        <f t="shared" ca="1" si="10"/>
        <v>0.92945569763617142</v>
      </c>
      <c r="F106" s="2">
        <f t="shared" ca="1" si="10"/>
        <v>0.78098896179836197</v>
      </c>
      <c r="G106" s="2">
        <f t="shared" ca="1" si="10"/>
        <v>0.33469857830636618</v>
      </c>
      <c r="H106" s="2">
        <f t="shared" ca="1" si="10"/>
        <v>0.5816692876955154</v>
      </c>
      <c r="I106" s="2">
        <f t="shared" ca="1" si="10"/>
        <v>0.7020637676274033</v>
      </c>
      <c r="J106" s="2">
        <f t="shared" ca="1" si="10"/>
        <v>0.13155911180805913</v>
      </c>
      <c r="K106" s="2">
        <f t="shared" ca="1" si="10"/>
        <v>0.84424255078475208</v>
      </c>
      <c r="L106" s="2">
        <f t="shared" ca="1" si="10"/>
        <v>0.67537650664325899</v>
      </c>
      <c r="M106" s="2">
        <f t="shared" ca="1" si="10"/>
        <v>0.90124267185261397</v>
      </c>
      <c r="N106" s="2">
        <f t="shared" ca="1" si="10"/>
        <v>0.88543820730267608</v>
      </c>
      <c r="O106" s="2">
        <f t="shared" ca="1" si="10"/>
        <v>0.22782192366724285</v>
      </c>
      <c r="P106" s="2">
        <f t="shared" ca="1" si="10"/>
        <v>0.86214952903124642</v>
      </c>
      <c r="Q106" s="2">
        <f t="shared" ca="1" si="9"/>
        <v>0.41904475547293651</v>
      </c>
      <c r="R106" s="2">
        <f t="shared" ca="1" si="9"/>
        <v>0.64587581409090411</v>
      </c>
      <c r="S106" s="2">
        <f t="shared" ca="1" si="9"/>
        <v>0.40400635772984184</v>
      </c>
      <c r="T106" s="2">
        <f t="shared" ca="1" si="9"/>
        <v>0.81928537269175494</v>
      </c>
      <c r="U106" s="2">
        <f t="shared" ca="1" si="9"/>
        <v>0.11547558624099408</v>
      </c>
      <c r="V106" s="2">
        <f t="shared" ca="1" si="9"/>
        <v>0.1794506065266408</v>
      </c>
      <c r="W106" s="2">
        <f t="shared" ca="1" si="9"/>
        <v>0.53840370654349334</v>
      </c>
      <c r="X106" s="2">
        <f t="shared" ca="1" si="9"/>
        <v>0.70673463026541861</v>
      </c>
      <c r="Y106" s="2">
        <f t="shared" ca="1" si="9"/>
        <v>0.47863609061278911</v>
      </c>
      <c r="Z106" s="2">
        <f t="shared" ca="1" si="9"/>
        <v>0.99759599882110483</v>
      </c>
      <c r="AA106" s="2">
        <f t="shared" ca="1" si="9"/>
        <v>0.84682047412185579</v>
      </c>
      <c r="AB106" s="2">
        <f ca="1">D106*Sheet2!C$20/_xlfn.STDEV.S(D$92:D$121)</f>
        <v>0.9229361534180196</v>
      </c>
      <c r="AC106" s="2">
        <f ca="1">E106*Sheet2!D$20/_xlfn.STDEV.S(E$92:E$121)</f>
        <v>14.130285630607062</v>
      </c>
      <c r="AD106" s="2">
        <f ca="1">F106*Sheet2!E$20/_xlfn.STDEV.S(F$92:F$121)</f>
        <v>4.104565561856262</v>
      </c>
      <c r="AE106" s="2">
        <f ca="1">G106*Sheet2!F$20/_xlfn.STDEV.S(G$92:G$121)</f>
        <v>2.5327724997772267</v>
      </c>
      <c r="AF106" s="2">
        <f ca="1">H106*Sheet2!G$20/_xlfn.STDEV.S(H$92:H$121)</f>
        <v>6.0249242361106736</v>
      </c>
      <c r="AG106" s="2">
        <f ca="1">I106*Sheet2!H$20/_xlfn.STDEV.S(I$92:I$121)</f>
        <v>13.500767025475925</v>
      </c>
      <c r="AH106" s="2">
        <f ca="1">J106*Sheet2!I$20/_xlfn.STDEV.S(J$92:J$121)</f>
        <v>0.31146127701689907</v>
      </c>
      <c r="AI106" s="2">
        <f ca="1">K106*Sheet2!J$20/_xlfn.STDEV.S(K$92:K$121)</f>
        <v>5.4305824751502856</v>
      </c>
      <c r="AJ106" s="2">
        <f ca="1">L106*Sheet2!K$20/_xlfn.STDEV.S(L$92:L$121)</f>
        <v>3.8629307889502824</v>
      </c>
      <c r="AK106" s="2">
        <f ca="1">M106*Sheet2!L$20/_xlfn.STDEV.S(M$92:M$121)</f>
        <v>4.4938856801741549</v>
      </c>
      <c r="AL106" s="2">
        <f ca="1">N106*Sheet2!M$20/_xlfn.STDEV.S(N$92:N$121)</f>
        <v>2.5209935841691489</v>
      </c>
      <c r="AM106" s="2">
        <f ca="1">O106*Sheet2!N$20/_xlfn.STDEV.S(O$92:O$121)</f>
        <v>1.8607024872934195</v>
      </c>
      <c r="AN106" s="2">
        <f ca="1">P106*Sheet2!O$20/_xlfn.STDEV.S(P$92:P$121)</f>
        <v>4.2150635535385073</v>
      </c>
      <c r="AO106" s="2">
        <f ca="1">Q106*Sheet2!P$20/_xlfn.STDEV.S(Q$92:Q$121)</f>
        <v>2.4926083972055113</v>
      </c>
      <c r="AP106" s="2">
        <f ca="1">R106*Sheet2!Q$20/_xlfn.STDEV.S(R$92:R$121)</f>
        <v>3.0012710375402634</v>
      </c>
      <c r="AQ106" s="2">
        <f ca="1">S106*Sheet2!R$20/_xlfn.STDEV.S(S$92:S$121)</f>
        <v>1.6493773280205106</v>
      </c>
      <c r="AR106" s="2">
        <f ca="1">T106*Sheet2!S$20/_xlfn.STDEV.S(T$92:T$121)</f>
        <v>2.7160635006605429</v>
      </c>
      <c r="AS106" s="2">
        <f ca="1">U106*Sheet2!T$20/_xlfn.STDEV.S(U$92:U$121)</f>
        <v>1.5256715136162948</v>
      </c>
      <c r="AT106" s="2">
        <f ca="1">V106*Sheet2!U$20/_xlfn.STDEV.S(V$92:V$121)</f>
        <v>1.2114224794606478</v>
      </c>
      <c r="AU106" s="2">
        <f ca="1">W106*Sheet2!V$20/_xlfn.STDEV.S(W$92:W$121)</f>
        <v>3.624733927610853</v>
      </c>
      <c r="AV106" s="2">
        <f ca="1">X106*Sheet2!W$20/_xlfn.STDEV.S(X$92:X$121)</f>
        <v>2.7868275647140113</v>
      </c>
      <c r="AW106" s="2">
        <f ca="1">Y106*Sheet2!X$20/_xlfn.STDEV.S(Y$92:Y$121)</f>
        <v>2.4130069806274483</v>
      </c>
      <c r="AX106" s="2">
        <f ca="1">Z106*Sheet2!Y$20/_xlfn.STDEV.S(Z$92:Z$121)</f>
        <v>4.1482638692123421</v>
      </c>
      <c r="AY106" s="2">
        <f ca="1">AA106*Sheet2!Z$20/_xlfn.STDEV.S(AA$92:AA$121)</f>
        <v>1.8517402719544538</v>
      </c>
      <c r="AZ106" s="2">
        <f ca="1">AB106-AVERAGE(AB$92:AB$121)+Sheet2!C$19</f>
        <v>3.1016123155878912</v>
      </c>
      <c r="BA106" s="2">
        <f ca="1">AC106-AVERAGE(AC$92:AC$121)+Sheet2!D$19</f>
        <v>16.182369588056339</v>
      </c>
      <c r="BB106" s="2">
        <f ca="1">AD106-AVERAGE(AD$92:AD$121)+Sheet2!E$19</f>
        <v>23.60407312774916</v>
      </c>
      <c r="BC106" s="2">
        <f ca="1">AE106-AVERAGE(AE$92:AE$121)+Sheet2!F$19</f>
        <v>15.313288157359954</v>
      </c>
      <c r="BD106" s="2">
        <f ca="1">AF106-AVERAGE(AF$92:AF$121)+Sheet2!G$19</f>
        <v>19.015196339691443</v>
      </c>
      <c r="BE106" s="2">
        <f ca="1">AG106-AVERAGE(AG$92:AG$121)+Sheet2!H$19</f>
        <v>32.770629446818724</v>
      </c>
      <c r="BF106" s="2">
        <f ca="1">AH106-AVERAGE(AH$92:AH$121)+Sheet2!I$19</f>
        <v>11.095028722737284</v>
      </c>
      <c r="BG106" s="2">
        <f ca="1">AI106-AVERAGE(AI$92:AI$121)+Sheet2!J$19</f>
        <v>26.795559933590429</v>
      </c>
      <c r="BH106" s="2">
        <f ca="1">AJ106-AVERAGE(AJ$92:AJ$121)+Sheet2!K$19</f>
        <v>23.50289717981823</v>
      </c>
      <c r="BI106" s="2">
        <f ca="1">AK106-AVERAGE(AK$92:AK$121)+Sheet2!L$19</f>
        <v>24.865455408179791</v>
      </c>
      <c r="BJ106" s="2">
        <f ca="1">AL106-AVERAGE(AL$92:AL$121)+Sheet2!M$19</f>
        <v>18.584748552412627</v>
      </c>
      <c r="BK106" s="2">
        <f ca="1">AM106-AVERAGE(AM$92:AM$121)+Sheet2!N$19</f>
        <v>4.6146261776135491</v>
      </c>
      <c r="BL106" s="2">
        <f ca="1">AN106-AVERAGE(AN$92:AN$121)+Sheet2!O$19</f>
        <v>6.2631073291089141</v>
      </c>
      <c r="BM106" s="2">
        <f ca="1">AO106-AVERAGE(AO$92:AO$121)+Sheet2!P$19</f>
        <v>25.217766987009824</v>
      </c>
      <c r="BN106" s="2">
        <f ca="1">AP106-AVERAGE(AP$92:AP$121)+Sheet2!Q$19</f>
        <v>10.897585791752324</v>
      </c>
      <c r="BO106" s="2">
        <f ca="1">AQ106-AVERAGE(AQ$92:AQ$121)+Sheet2!R$19</f>
        <v>6.6629293671977283</v>
      </c>
      <c r="BP106" s="2">
        <f ca="1">AR106-AVERAGE(AR$92:AR$121)+Sheet2!S$19</f>
        <v>4.0394930606085095</v>
      </c>
      <c r="BQ106" s="2">
        <f ca="1">AS106-AVERAGE(AS$92:AS$121)+Sheet2!T$19</f>
        <v>20.34585823750124</v>
      </c>
      <c r="BR106" s="2">
        <f ca="1">AT106-AVERAGE(AT$92:AT$121)+Sheet2!U$19</f>
        <v>15.580755965932577</v>
      </c>
      <c r="BS106" s="2">
        <f ca="1">AU106-AVERAGE(AU$92:AU$121)+Sheet2!V$19</f>
        <v>24.340399150824304</v>
      </c>
      <c r="BT106" s="2">
        <f ca="1">AV106-AVERAGE(AV$92:AV$121)+Sheet2!W$19</f>
        <v>24.752914034990628</v>
      </c>
      <c r="BU106" s="2">
        <f ca="1">AW106-AVERAGE(AW$92:AW$121)+Sheet2!X$19</f>
        <v>23.998357531803336</v>
      </c>
      <c r="BV106" s="2">
        <f ca="1">AX106-AVERAGE(AX$92:AX$121)+Sheet2!Y$19</f>
        <v>23.43453899258942</v>
      </c>
      <c r="BW106" s="2">
        <f ca="1">AY106-AVERAGE(AY$92:AY$121)+Sheet2!Z$19</f>
        <v>7.8912008754270051</v>
      </c>
      <c r="BZ106" s="2">
        <f ca="1">BA106-AVERAGE(AH$92:AH$121)+Sheet2!AB$19</f>
        <v>15.106782156164728</v>
      </c>
      <c r="CA106" s="2">
        <f ca="1">BB106-AVERAGE(AI$92:AI$121)+Sheet2!AC$19</f>
        <v>19.979442808859584</v>
      </c>
      <c r="CB106" s="2">
        <f ca="1">BC106-AVERAGE(AJ$92:AJ$121)+Sheet2!AD$19</f>
        <v>12.600533127009331</v>
      </c>
      <c r="CC106" s="2">
        <f ca="1">BD106-AVERAGE(AK$92:AK$121)+Sheet2!AE$19</f>
        <v>16.573328924009854</v>
      </c>
    </row>
    <row r="107" spans="2:81" x14ac:dyDescent="0.3">
      <c r="B107">
        <v>106</v>
      </c>
      <c r="C107" s="1">
        <v>4</v>
      </c>
      <c r="D107" s="2">
        <f t="shared" ref="D107:S124" ca="1" si="11">RAND()</f>
        <v>0.74622107664709869</v>
      </c>
      <c r="E107" s="2">
        <f t="shared" ca="1" si="11"/>
        <v>0.38593696589297222</v>
      </c>
      <c r="F107" s="2">
        <f t="shared" ca="1" si="11"/>
        <v>0.60804009894975319</v>
      </c>
      <c r="G107" s="2">
        <f t="shared" ca="1" si="11"/>
        <v>0.72235983075772636</v>
      </c>
      <c r="H107" s="2">
        <f t="shared" ca="1" si="11"/>
        <v>0.57808310585606859</v>
      </c>
      <c r="I107" s="2">
        <f t="shared" ca="1" si="11"/>
        <v>0.66656273237492869</v>
      </c>
      <c r="J107" s="2">
        <f t="shared" ca="1" si="11"/>
        <v>0.17075269691792727</v>
      </c>
      <c r="K107" s="2">
        <f t="shared" ca="1" si="11"/>
        <v>0.50214022501963873</v>
      </c>
      <c r="L107" s="2">
        <f t="shared" ca="1" si="11"/>
        <v>6.8207484726873213E-3</v>
      </c>
      <c r="M107" s="2">
        <f t="shared" ca="1" si="11"/>
        <v>0.10689054012935817</v>
      </c>
      <c r="N107" s="2">
        <f t="shared" ca="1" si="11"/>
        <v>0.11742046468133704</v>
      </c>
      <c r="O107" s="2">
        <f t="shared" ca="1" si="11"/>
        <v>0.42609183199237932</v>
      </c>
      <c r="P107" s="2">
        <f t="shared" ca="1" si="11"/>
        <v>0.6042164375923611</v>
      </c>
      <c r="Q107" s="2">
        <f t="shared" ca="1" si="11"/>
        <v>0.47087269524530828</v>
      </c>
      <c r="R107" s="2">
        <f t="shared" ca="1" si="11"/>
        <v>0.30972200411942019</v>
      </c>
      <c r="S107" s="2">
        <f t="shared" ca="1" si="11"/>
        <v>7.1565689026505619E-2</v>
      </c>
      <c r="T107" s="2">
        <f t="shared" ca="1" si="9"/>
        <v>0.24452854563271853</v>
      </c>
      <c r="U107" s="2">
        <f t="shared" ca="1" si="9"/>
        <v>8.3475815470746006E-5</v>
      </c>
      <c r="V107" s="2">
        <f t="shared" ca="1" si="9"/>
        <v>1.776917056582028E-2</v>
      </c>
      <c r="W107" s="2">
        <f t="shared" ca="1" si="9"/>
        <v>0.88448017430475945</v>
      </c>
      <c r="X107" s="2">
        <f t="shared" ca="1" si="9"/>
        <v>0.90699800653173135</v>
      </c>
      <c r="Y107" s="2">
        <f t="shared" ca="1" si="9"/>
        <v>0.66806868932088204</v>
      </c>
      <c r="Z107" s="2">
        <f t="shared" ca="1" si="9"/>
        <v>0.77540491909395026</v>
      </c>
      <c r="AA107" s="2">
        <f t="shared" ca="1" si="9"/>
        <v>0.26079271170150042</v>
      </c>
      <c r="AB107" s="2">
        <f ca="1">D107*Sheet2!C$20/_xlfn.STDEV.S(D$92:D$121)</f>
        <v>2.6945823772780066</v>
      </c>
      <c r="AC107" s="2">
        <f ca="1">E107*Sheet2!D$20/_xlfn.STDEV.S(E$92:E$121)</f>
        <v>5.8673044636197886</v>
      </c>
      <c r="AD107" s="2">
        <f ca="1">F107*Sheet2!E$20/_xlfn.STDEV.S(F$92:F$121)</f>
        <v>3.1956155239761102</v>
      </c>
      <c r="AE107" s="2">
        <f ca="1">G107*Sheet2!F$20/_xlfn.STDEV.S(G$92:G$121)</f>
        <v>5.4663307013279345</v>
      </c>
      <c r="AF107" s="2">
        <f ca="1">H107*Sheet2!G$20/_xlfn.STDEV.S(H$92:H$121)</f>
        <v>5.9877786031253306</v>
      </c>
      <c r="AG107" s="2">
        <f ca="1">I107*Sheet2!H$20/_xlfn.STDEV.S(I$92:I$121)</f>
        <v>12.818078033097621</v>
      </c>
      <c r="AH107" s="2">
        <f ca="1">J107*Sheet2!I$20/_xlfn.STDEV.S(J$92:J$121)</f>
        <v>0.40425062396080458</v>
      </c>
      <c r="AI107" s="2">
        <f ca="1">K107*Sheet2!J$20/_xlfn.STDEV.S(K$92:K$121)</f>
        <v>3.2300123981252922</v>
      </c>
      <c r="AJ107" s="2">
        <f ca="1">L107*Sheet2!K$20/_xlfn.STDEV.S(L$92:L$121)</f>
        <v>3.9012430873238538E-2</v>
      </c>
      <c r="AK107" s="2">
        <f ca="1">M107*Sheet2!L$20/_xlfn.STDEV.S(M$92:M$121)</f>
        <v>0.53299059469296739</v>
      </c>
      <c r="AL107" s="2">
        <f ca="1">N107*Sheet2!M$20/_xlfn.STDEV.S(N$92:N$121)</f>
        <v>0.33431608854283529</v>
      </c>
      <c r="AM107" s="2">
        <f ca="1">O107*Sheet2!N$20/_xlfn.STDEV.S(O$92:O$121)</f>
        <v>3.4800431795213846</v>
      </c>
      <c r="AN107" s="2">
        <f ca="1">P107*Sheet2!O$20/_xlfn.STDEV.S(P$92:P$121)</f>
        <v>2.9540243296382207</v>
      </c>
      <c r="AO107" s="2">
        <f ca="1">Q107*Sheet2!P$20/_xlfn.STDEV.S(Q$92:Q$121)</f>
        <v>2.8008970852256594</v>
      </c>
      <c r="AP107" s="2">
        <f ca="1">R107*Sheet2!Q$20/_xlfn.STDEV.S(R$92:R$121)</f>
        <v>1.4392235478904474</v>
      </c>
      <c r="AQ107" s="2">
        <f ca="1">S107*Sheet2!R$20/_xlfn.STDEV.S(S$92:S$121)</f>
        <v>0.29217071139117301</v>
      </c>
      <c r="AR107" s="2">
        <f ca="1">T107*Sheet2!S$20/_xlfn.STDEV.S(T$92:T$121)</f>
        <v>0.81065167254305692</v>
      </c>
      <c r="AS107" s="2">
        <f ca="1">U107*Sheet2!T$20/_xlfn.STDEV.S(U$92:U$121)</f>
        <v>1.1028883063976659E-3</v>
      </c>
      <c r="AT107" s="2">
        <f ca="1">V107*Sheet2!U$20/_xlfn.STDEV.S(V$92:V$121)</f>
        <v>0.11995486157138997</v>
      </c>
      <c r="AU107" s="2">
        <f ca="1">W107*Sheet2!V$20/_xlfn.STDEV.S(W$92:W$121)</f>
        <v>5.9546493776647784</v>
      </c>
      <c r="AV107" s="2">
        <f ca="1">X107*Sheet2!W$20/_xlfn.STDEV.S(X$92:X$121)</f>
        <v>3.5765150560034313</v>
      </c>
      <c r="AW107" s="2">
        <f ca="1">Y107*Sheet2!X$20/_xlfn.STDEV.S(Y$92:Y$121)</f>
        <v>3.3680168346813009</v>
      </c>
      <c r="AX107" s="2">
        <f ca="1">Z107*Sheet2!Y$20/_xlfn.STDEV.S(Z$92:Z$121)</f>
        <v>3.224335516269218</v>
      </c>
      <c r="AY107" s="2">
        <f ca="1">AA107*Sheet2!Z$20/_xlfn.STDEV.S(AA$92:AA$121)</f>
        <v>0.57027478863292635</v>
      </c>
      <c r="AZ107" s="2">
        <f ca="1">AB107-AVERAGE(AB$92:AB$121)+Sheet2!C$19</f>
        <v>4.8732585394478782</v>
      </c>
      <c r="BA107" s="2">
        <f ca="1">AC107-AVERAGE(AC$92:AC$121)+Sheet2!D$19</f>
        <v>7.9193884210690673</v>
      </c>
      <c r="BB107" s="2">
        <f ca="1">AD107-AVERAGE(AD$92:AD$121)+Sheet2!E$19</f>
        <v>22.695123089869007</v>
      </c>
      <c r="BC107" s="2">
        <f ca="1">AE107-AVERAGE(AE$92:AE$121)+Sheet2!F$19</f>
        <v>18.246846358910663</v>
      </c>
      <c r="BD107" s="2">
        <f ca="1">AF107-AVERAGE(AF$92:AF$121)+Sheet2!G$19</f>
        <v>18.9780507067061</v>
      </c>
      <c r="BE107" s="2">
        <f ca="1">AG107-AVERAGE(AG$92:AG$121)+Sheet2!H$19</f>
        <v>32.087940454440421</v>
      </c>
      <c r="BF107" s="2">
        <f ca="1">AH107-AVERAGE(AH$92:AH$121)+Sheet2!I$19</f>
        <v>11.187818069681189</v>
      </c>
      <c r="BG107" s="2">
        <f ca="1">AI107-AVERAGE(AI$92:AI$121)+Sheet2!J$19</f>
        <v>24.594989856565434</v>
      </c>
      <c r="BH107" s="2">
        <f ca="1">AJ107-AVERAGE(AJ$92:AJ$121)+Sheet2!K$19</f>
        <v>19.67897882174119</v>
      </c>
      <c r="BI107" s="2">
        <f ca="1">AK107-AVERAGE(AK$92:AK$121)+Sheet2!L$19</f>
        <v>20.904560322698604</v>
      </c>
      <c r="BJ107" s="2">
        <f ca="1">AL107-AVERAGE(AL$92:AL$121)+Sheet2!M$19</f>
        <v>16.398071056786314</v>
      </c>
      <c r="BK107" s="2">
        <f ca="1">AM107-AVERAGE(AM$92:AM$121)+Sheet2!N$19</f>
        <v>6.233966869841514</v>
      </c>
      <c r="BL107" s="2">
        <f ca="1">AN107-AVERAGE(AN$92:AN$121)+Sheet2!O$19</f>
        <v>5.0020681052086271</v>
      </c>
      <c r="BM107" s="2">
        <f ca="1">AO107-AVERAGE(AO$92:AO$121)+Sheet2!P$19</f>
        <v>25.526055675029973</v>
      </c>
      <c r="BN107" s="2">
        <f ca="1">AP107-AVERAGE(AP$92:AP$121)+Sheet2!Q$19</f>
        <v>9.335538302102508</v>
      </c>
      <c r="BO107" s="2">
        <f ca="1">AQ107-AVERAGE(AQ$92:AQ$121)+Sheet2!R$19</f>
        <v>5.3057227505683908</v>
      </c>
      <c r="BP107" s="2">
        <f ca="1">AR107-AVERAGE(AR$92:AR$121)+Sheet2!S$19</f>
        <v>2.1340812324910234</v>
      </c>
      <c r="BQ107" s="2">
        <f ca="1">AS107-AVERAGE(AS$92:AS$121)+Sheet2!T$19</f>
        <v>18.821289612191343</v>
      </c>
      <c r="BR107" s="2">
        <f ca="1">AT107-AVERAGE(AT$92:AT$121)+Sheet2!U$19</f>
        <v>14.489288348043319</v>
      </c>
      <c r="BS107" s="2">
        <f ca="1">AU107-AVERAGE(AU$92:AU$121)+Sheet2!V$19</f>
        <v>26.670314600878228</v>
      </c>
      <c r="BT107" s="2">
        <f ca="1">AV107-AVERAGE(AV$92:AV$121)+Sheet2!W$19</f>
        <v>25.542601526280048</v>
      </c>
      <c r="BU107" s="2">
        <f ca="1">AW107-AVERAGE(AW$92:AW$121)+Sheet2!X$19</f>
        <v>24.953367385857188</v>
      </c>
      <c r="BV107" s="2">
        <f ca="1">AX107-AVERAGE(AX$92:AX$121)+Sheet2!Y$19</f>
        <v>22.510610639646298</v>
      </c>
      <c r="BW107" s="2">
        <f ca="1">AY107-AVERAGE(AY$92:AY$121)+Sheet2!Z$19</f>
        <v>6.6097353921054776</v>
      </c>
      <c r="BZ107" s="2">
        <f ca="1">BA107-AVERAGE(AH$92:AH$121)+Sheet2!AB$19</f>
        <v>6.8438009891774554</v>
      </c>
      <c r="CA107" s="2">
        <f ca="1">BB107-AVERAGE(AI$92:AI$121)+Sheet2!AC$19</f>
        <v>19.070492770979431</v>
      </c>
      <c r="CB107" s="2">
        <f ca="1">BC107-AVERAGE(AJ$92:AJ$121)+Sheet2!AD$19</f>
        <v>15.53409132856004</v>
      </c>
      <c r="CC107" s="2">
        <f ca="1">BD107-AVERAGE(AK$92:AK$121)+Sheet2!AE$19</f>
        <v>16.536183291024511</v>
      </c>
    </row>
    <row r="108" spans="2:81" x14ac:dyDescent="0.3">
      <c r="B108">
        <v>107</v>
      </c>
      <c r="C108" s="1">
        <v>4</v>
      </c>
      <c r="D108" s="2">
        <f t="shared" ca="1" si="11"/>
        <v>0.89783136592410651</v>
      </c>
      <c r="E108" s="2">
        <f t="shared" ca="1" si="11"/>
        <v>6.2883451233758048E-2</v>
      </c>
      <c r="F108" s="2">
        <f t="shared" ca="1" si="11"/>
        <v>0.33388498737114103</v>
      </c>
      <c r="G108" s="2">
        <f t="shared" ca="1" si="11"/>
        <v>0.68285046910581848</v>
      </c>
      <c r="H108" s="2">
        <f t="shared" ca="1" si="11"/>
        <v>0.31159234373271094</v>
      </c>
      <c r="I108" s="2">
        <f t="shared" ca="1" si="11"/>
        <v>0.97015787505250728</v>
      </c>
      <c r="J108" s="2">
        <f t="shared" ca="1" si="11"/>
        <v>0.18936742474728996</v>
      </c>
      <c r="K108" s="2">
        <f t="shared" ca="1" si="11"/>
        <v>0.56578764142022686</v>
      </c>
      <c r="L108" s="2">
        <f t="shared" ca="1" si="11"/>
        <v>0.11200345685001167</v>
      </c>
      <c r="M108" s="2">
        <f t="shared" ca="1" si="11"/>
        <v>0.27706969006187232</v>
      </c>
      <c r="N108" s="2">
        <f t="shared" ca="1" si="11"/>
        <v>0.48049601985636403</v>
      </c>
      <c r="O108" s="2">
        <f t="shared" ca="1" si="11"/>
        <v>0.4687021646123295</v>
      </c>
      <c r="P108" s="2">
        <f t="shared" ca="1" si="11"/>
        <v>0.47826333508968644</v>
      </c>
      <c r="Q108" s="2">
        <f t="shared" ca="1" si="11"/>
        <v>0.13227559425641333</v>
      </c>
      <c r="R108" s="2">
        <f t="shared" ca="1" si="11"/>
        <v>0.67335665563739966</v>
      </c>
      <c r="S108" s="2">
        <f t="shared" ca="1" si="11"/>
        <v>0.30816677044802621</v>
      </c>
      <c r="T108" s="2">
        <f t="shared" ca="1" si="9"/>
        <v>0.56613829189847031</v>
      </c>
      <c r="U108" s="2">
        <f t="shared" ca="1" si="9"/>
        <v>0.94801801409559838</v>
      </c>
      <c r="V108" s="2">
        <f t="shared" ca="1" si="9"/>
        <v>0.30308784999277727</v>
      </c>
      <c r="W108" s="2">
        <f t="shared" ca="1" si="9"/>
        <v>0.29471825471556556</v>
      </c>
      <c r="X108" s="2">
        <f t="shared" ca="1" si="9"/>
        <v>0.55671249258667865</v>
      </c>
      <c r="Y108" s="2">
        <f t="shared" ca="1" si="9"/>
        <v>8.3381118978143043E-2</v>
      </c>
      <c r="Z108" s="2">
        <f t="shared" ca="1" si="9"/>
        <v>0.11847987668980309</v>
      </c>
      <c r="AA108" s="2">
        <f t="shared" ca="1" si="9"/>
        <v>0.96200847546666879</v>
      </c>
      <c r="AB108" s="2">
        <f ca="1">D108*Sheet2!C$20/_xlfn.STDEV.S(D$92:D$121)</f>
        <v>3.2420426762224248</v>
      </c>
      <c r="AC108" s="2">
        <f ca="1">E108*Sheet2!D$20/_xlfn.STDEV.S(E$92:E$121)</f>
        <v>0.95600159279369112</v>
      </c>
      <c r="AD108" s="2">
        <f ca="1">F108*Sheet2!E$20/_xlfn.STDEV.S(F$92:F$121)</f>
        <v>1.7547659286101742</v>
      </c>
      <c r="AE108" s="2">
        <f ca="1">G108*Sheet2!F$20/_xlfn.STDEV.S(G$92:G$121)</f>
        <v>5.1673505706621041</v>
      </c>
      <c r="AF108" s="2">
        <f ca="1">H108*Sheet2!G$20/_xlfn.STDEV.S(H$92:H$121)</f>
        <v>3.2274701505719738</v>
      </c>
      <c r="AG108" s="2">
        <f ca="1">I108*Sheet2!H$20/_xlfn.STDEV.S(I$92:I$121)</f>
        <v>18.656247556085159</v>
      </c>
      <c r="AH108" s="2">
        <f ca="1">J108*Sheet2!I$20/_xlfn.STDEV.S(J$92:J$121)</f>
        <v>0.44832029592327627</v>
      </c>
      <c r="AI108" s="2">
        <f ca="1">K108*Sheet2!J$20/_xlfn.STDEV.S(K$92:K$121)</f>
        <v>3.639423821148617</v>
      </c>
      <c r="AJ108" s="2">
        <f ca="1">L108*Sheet2!K$20/_xlfn.STDEV.S(L$92:L$121)</f>
        <v>0.64062281953688227</v>
      </c>
      <c r="AK108" s="2">
        <f ca="1">M108*Sheet2!L$20/_xlfn.STDEV.S(M$92:M$121)</f>
        <v>1.3815585429614032</v>
      </c>
      <c r="AL108" s="2">
        <f ca="1">N108*Sheet2!M$20/_xlfn.STDEV.S(N$92:N$121)</f>
        <v>1.3680541152236818</v>
      </c>
      <c r="AM108" s="2">
        <f ca="1">O108*Sheet2!N$20/_xlfn.STDEV.S(O$92:O$121)</f>
        <v>3.8280568852003221</v>
      </c>
      <c r="AN108" s="2">
        <f ca="1">P108*Sheet2!O$20/_xlfn.STDEV.S(P$92:P$121)</f>
        <v>2.3382374922775724</v>
      </c>
      <c r="AO108" s="2">
        <f ca="1">Q108*Sheet2!P$20/_xlfn.STDEV.S(Q$92:Q$121)</f>
        <v>0.78681633091141023</v>
      </c>
      <c r="AP108" s="2">
        <f ca="1">R108*Sheet2!Q$20/_xlfn.STDEV.S(R$92:R$121)</f>
        <v>3.1289696632223856</v>
      </c>
      <c r="AQ108" s="2">
        <f ca="1">S108*Sheet2!R$20/_xlfn.STDEV.S(S$92:S$121)</f>
        <v>1.2581071428736363</v>
      </c>
      <c r="AR108" s="2">
        <f ca="1">T108*Sheet2!S$20/_xlfn.STDEV.S(T$92:T$121)</f>
        <v>1.8768399903195467</v>
      </c>
      <c r="AS108" s="2">
        <f ca="1">U108*Sheet2!T$20/_xlfn.STDEV.S(U$92:U$121)</f>
        <v>12.525280239601704</v>
      </c>
      <c r="AT108" s="2">
        <f ca="1">V108*Sheet2!U$20/_xlfn.STDEV.S(V$92:V$121)</f>
        <v>2.0460640498205187</v>
      </c>
      <c r="AU108" s="2">
        <f ca="1">W108*Sheet2!V$20/_xlfn.STDEV.S(W$92:W$121)</f>
        <v>1.9841528651650733</v>
      </c>
      <c r="AV108" s="2">
        <f ca="1">X108*Sheet2!W$20/_xlfn.STDEV.S(X$92:X$121)</f>
        <v>2.1952535697572082</v>
      </c>
      <c r="AW108" s="2">
        <f ca="1">Y108*Sheet2!X$20/_xlfn.STDEV.S(Y$92:Y$121)</f>
        <v>0.42035948833109354</v>
      </c>
      <c r="AX108" s="2">
        <f ca="1">Z108*Sheet2!Y$20/_xlfn.STDEV.S(Z$92:Z$121)</f>
        <v>0.4926701713738329</v>
      </c>
      <c r="AY108" s="2">
        <f ca="1">AA108*Sheet2!Z$20/_xlfn.STDEV.S(AA$92:AA$121)</f>
        <v>2.1036215944476564</v>
      </c>
      <c r="AZ108" s="2">
        <f ca="1">AB108-AVERAGE(AB$92:AB$121)+Sheet2!C$19</f>
        <v>5.4207188383922968</v>
      </c>
      <c r="BA108" s="2">
        <f ca="1">AC108-AVERAGE(AC$92:AC$121)+Sheet2!D$19</f>
        <v>3.0080855502429698</v>
      </c>
      <c r="BB108" s="2">
        <f ca="1">AD108-AVERAGE(AD$92:AD$121)+Sheet2!E$19</f>
        <v>21.254273494503071</v>
      </c>
      <c r="BC108" s="2">
        <f ca="1">AE108-AVERAGE(AE$92:AE$121)+Sheet2!F$19</f>
        <v>17.947866228244834</v>
      </c>
      <c r="BD108" s="2">
        <f ca="1">AF108-AVERAGE(AF$92:AF$121)+Sheet2!G$19</f>
        <v>16.217742254152739</v>
      </c>
      <c r="BE108" s="2">
        <f ca="1">AG108-AVERAGE(AG$92:AG$121)+Sheet2!H$19</f>
        <v>37.926109977427956</v>
      </c>
      <c r="BF108" s="2">
        <f ca="1">AH108-AVERAGE(AH$92:AH$121)+Sheet2!I$19</f>
        <v>11.231887741643661</v>
      </c>
      <c r="BG108" s="2">
        <f ca="1">AI108-AVERAGE(AI$92:AI$121)+Sheet2!J$19</f>
        <v>25.004401279588759</v>
      </c>
      <c r="BH108" s="2">
        <f ca="1">AJ108-AVERAGE(AJ$92:AJ$121)+Sheet2!K$19</f>
        <v>20.28058921040483</v>
      </c>
      <c r="BI108" s="2">
        <f ca="1">AK108-AVERAGE(AK$92:AK$121)+Sheet2!L$19</f>
        <v>21.753128270967039</v>
      </c>
      <c r="BJ108" s="2">
        <f ca="1">AL108-AVERAGE(AL$92:AL$121)+Sheet2!M$19</f>
        <v>17.431809083467162</v>
      </c>
      <c r="BK108" s="2">
        <f ca="1">AM108-AVERAGE(AM$92:AM$121)+Sheet2!N$19</f>
        <v>6.5819805755204515</v>
      </c>
      <c r="BL108" s="2">
        <f ca="1">AN108-AVERAGE(AN$92:AN$121)+Sheet2!O$19</f>
        <v>4.3862812678479788</v>
      </c>
      <c r="BM108" s="2">
        <f ca="1">AO108-AVERAGE(AO$92:AO$121)+Sheet2!P$19</f>
        <v>23.511974920715723</v>
      </c>
      <c r="BN108" s="2">
        <f ca="1">AP108-AVERAGE(AP$92:AP$121)+Sheet2!Q$19</f>
        <v>11.025284417434447</v>
      </c>
      <c r="BO108" s="2">
        <f ca="1">AQ108-AVERAGE(AQ$92:AQ$121)+Sheet2!R$19</f>
        <v>6.271659182050854</v>
      </c>
      <c r="BP108" s="2">
        <f ca="1">AR108-AVERAGE(AR$92:AR$121)+Sheet2!S$19</f>
        <v>3.2002695502675134</v>
      </c>
      <c r="BQ108" s="2">
        <f ca="1">AS108-AVERAGE(AS$92:AS$121)+Sheet2!T$19</f>
        <v>31.345466963486651</v>
      </c>
      <c r="BR108" s="2">
        <f ca="1">AT108-AVERAGE(AT$92:AT$121)+Sheet2!U$19</f>
        <v>16.415397536292446</v>
      </c>
      <c r="BS108" s="2">
        <f ca="1">AU108-AVERAGE(AU$92:AU$121)+Sheet2!V$19</f>
        <v>22.699818088378525</v>
      </c>
      <c r="BT108" s="2">
        <f ca="1">AV108-AVERAGE(AV$92:AV$121)+Sheet2!W$19</f>
        <v>24.161340040033824</v>
      </c>
      <c r="BU108" s="2">
        <f ca="1">AW108-AVERAGE(AW$92:AW$121)+Sheet2!X$19</f>
        <v>22.00571003950698</v>
      </c>
      <c r="BV108" s="2">
        <f ca="1">AX108-AVERAGE(AX$92:AX$121)+Sheet2!Y$19</f>
        <v>19.778945294750912</v>
      </c>
      <c r="BW108" s="2">
        <f ca="1">AY108-AVERAGE(AY$92:AY$121)+Sheet2!Z$19</f>
        <v>8.1430821979202079</v>
      </c>
      <c r="BZ108" s="2">
        <f ca="1">BA108-AVERAGE(AH$92:AH$121)+Sheet2!AB$19</f>
        <v>1.9324981183513583</v>
      </c>
      <c r="CA108" s="2">
        <f ca="1">BB108-AVERAGE(AI$92:AI$121)+Sheet2!AC$19</f>
        <v>17.629643175613495</v>
      </c>
      <c r="CB108" s="2">
        <f ca="1">BC108-AVERAGE(AJ$92:AJ$121)+Sheet2!AD$19</f>
        <v>15.235111197894211</v>
      </c>
      <c r="CC108" s="2">
        <f ca="1">BD108-AVERAGE(AK$92:AK$121)+Sheet2!AE$19</f>
        <v>13.775874838471148</v>
      </c>
    </row>
    <row r="109" spans="2:81" x14ac:dyDescent="0.3">
      <c r="B109">
        <v>108</v>
      </c>
      <c r="C109" s="1">
        <v>4</v>
      </c>
      <c r="D109" s="2">
        <f t="shared" ca="1" si="11"/>
        <v>6.3820950318554504E-2</v>
      </c>
      <c r="E109" s="2">
        <f t="shared" ca="1" si="11"/>
        <v>0.48934716278938584</v>
      </c>
      <c r="F109" s="2">
        <f t="shared" ca="1" si="11"/>
        <v>0.94294003276499694</v>
      </c>
      <c r="G109" s="2">
        <f t="shared" ca="1" si="11"/>
        <v>0.72266892612787237</v>
      </c>
      <c r="H109" s="2">
        <f t="shared" ca="1" si="11"/>
        <v>0.28540007050970972</v>
      </c>
      <c r="I109" s="2">
        <f t="shared" ca="1" si="11"/>
        <v>0.17997926419667054</v>
      </c>
      <c r="J109" s="2">
        <f t="shared" ca="1" si="11"/>
        <v>0.53105049420045691</v>
      </c>
      <c r="K109" s="2">
        <f t="shared" ca="1" si="11"/>
        <v>0.67033554350505642</v>
      </c>
      <c r="L109" s="2">
        <f t="shared" ca="1" si="11"/>
        <v>0.25203485286727756</v>
      </c>
      <c r="M109" s="2">
        <f t="shared" ca="1" si="11"/>
        <v>0.14276946892311115</v>
      </c>
      <c r="N109" s="2">
        <f t="shared" ca="1" si="11"/>
        <v>0.1022576501498843</v>
      </c>
      <c r="O109" s="2">
        <f t="shared" ca="1" si="11"/>
        <v>0.6375489370064864</v>
      </c>
      <c r="P109" s="2">
        <f t="shared" ca="1" si="11"/>
        <v>0.85249023100457932</v>
      </c>
      <c r="Q109" s="2">
        <f t="shared" ca="1" si="9"/>
        <v>7.487839098618243E-2</v>
      </c>
      <c r="R109" s="2">
        <f t="shared" ca="1" si="9"/>
        <v>0.21733037160047963</v>
      </c>
      <c r="S109" s="2">
        <f t="shared" ca="1" si="9"/>
        <v>0.94540866468750639</v>
      </c>
      <c r="T109" s="2">
        <f t="shared" ca="1" si="9"/>
        <v>7.405573222460371E-2</v>
      </c>
      <c r="U109" s="2">
        <f t="shared" ca="1" si="9"/>
        <v>0.52426650394406482</v>
      </c>
      <c r="V109" s="2">
        <f t="shared" ca="1" si="9"/>
        <v>0.15486899710413093</v>
      </c>
      <c r="W109" s="2">
        <f t="shared" ca="1" si="9"/>
        <v>0.18021021959206696</v>
      </c>
      <c r="X109" s="2">
        <f t="shared" ca="1" si="9"/>
        <v>3.5965544836306207E-2</v>
      </c>
      <c r="Y109" s="2">
        <f t="shared" ca="1" si="9"/>
        <v>0.91155075571134137</v>
      </c>
      <c r="Z109" s="2">
        <f t="shared" ca="1" si="9"/>
        <v>0.89517402874850927</v>
      </c>
      <c r="AA109" s="2">
        <f t="shared" ca="1" si="9"/>
        <v>6.3133655763713992E-2</v>
      </c>
      <c r="AB109" s="2">
        <f ca="1">D109*Sheet2!C$20/_xlfn.STDEV.S(D$92:D$121)</f>
        <v>0.23045557598320185</v>
      </c>
      <c r="AC109" s="2">
        <f ca="1">E109*Sheet2!D$20/_xlfn.STDEV.S(E$92:E$121)</f>
        <v>7.4394241708633526</v>
      </c>
      <c r="AD109" s="2">
        <f ca="1">F109*Sheet2!E$20/_xlfn.STDEV.S(F$92:F$121)</f>
        <v>4.9557156050844196</v>
      </c>
      <c r="AE109" s="2">
        <f ca="1">G109*Sheet2!F$20/_xlfn.STDEV.S(G$92:G$121)</f>
        <v>5.4686697260625952</v>
      </c>
      <c r="AF109" s="2">
        <f ca="1">H109*Sheet2!G$20/_xlfn.STDEV.S(H$92:H$121)</f>
        <v>2.9561708657751131</v>
      </c>
      <c r="AG109" s="2">
        <f ca="1">I109*Sheet2!H$20/_xlfn.STDEV.S(I$92:I$121)</f>
        <v>3.4610219575173899</v>
      </c>
      <c r="AH109" s="2">
        <f ca="1">J109*Sheet2!I$20/_xlfn.STDEV.S(J$92:J$121)</f>
        <v>1.2572421842239694</v>
      </c>
      <c r="AI109" s="2">
        <f ca="1">K109*Sheet2!J$20/_xlfn.STDEV.S(K$92:K$121)</f>
        <v>4.3119272437110725</v>
      </c>
      <c r="AJ109" s="2">
        <f ca="1">L109*Sheet2!K$20/_xlfn.STDEV.S(L$92:L$121)</f>
        <v>1.4415562037662395</v>
      </c>
      <c r="AK109" s="2">
        <f ca="1">M109*Sheet2!L$20/_xlfn.STDEV.S(M$92:M$121)</f>
        <v>0.71189446749206031</v>
      </c>
      <c r="AL109" s="2">
        <f ca="1">N109*Sheet2!M$20/_xlfn.STDEV.S(N$92:N$121)</f>
        <v>0.29114496961384129</v>
      </c>
      <c r="AM109" s="2">
        <f ca="1">O109*Sheet2!N$20/_xlfn.STDEV.S(O$92:O$121)</f>
        <v>5.2070883862430239</v>
      </c>
      <c r="AN109" s="2">
        <f ca="1">P109*Sheet2!O$20/_xlfn.STDEV.S(P$92:P$121)</f>
        <v>4.1678390829635248</v>
      </c>
      <c r="AO109" s="2">
        <f ca="1">Q109*Sheet2!P$20/_xlfn.STDEV.S(Q$92:Q$121)</f>
        <v>0.44539993330962924</v>
      </c>
      <c r="AP109" s="2">
        <f ca="1">R109*Sheet2!Q$20/_xlfn.STDEV.S(R$92:R$121)</f>
        <v>1.0098959205965543</v>
      </c>
      <c r="AQ109" s="2">
        <f ca="1">S109*Sheet2!R$20/_xlfn.STDEV.S(S$92:S$121)</f>
        <v>3.859680887231093</v>
      </c>
      <c r="AR109" s="2">
        <f ca="1">T109*Sheet2!S$20/_xlfn.STDEV.S(T$92:T$121)</f>
        <v>0.24550672819788422</v>
      </c>
      <c r="AS109" s="2">
        <f ca="1">U109*Sheet2!T$20/_xlfn.STDEV.S(U$92:U$121)</f>
        <v>6.9266456802512701</v>
      </c>
      <c r="AT109" s="2">
        <f ca="1">V109*Sheet2!U$20/_xlfn.STDEV.S(V$92:V$121)</f>
        <v>1.0454786868364125</v>
      </c>
      <c r="AU109" s="2">
        <f ca="1">W109*Sheet2!V$20/_xlfn.STDEV.S(W$92:W$121)</f>
        <v>1.2132421993361577</v>
      </c>
      <c r="AV109" s="2">
        <f ca="1">X109*Sheet2!W$20/_xlfn.STDEV.S(X$92:X$121)</f>
        <v>0.14182094302091</v>
      </c>
      <c r="AW109" s="2">
        <f ca="1">Y109*Sheet2!X$20/_xlfn.STDEV.S(Y$92:Y$121)</f>
        <v>4.5955129165283211</v>
      </c>
      <c r="AX109" s="2">
        <f ca="1">Z109*Sheet2!Y$20/_xlfn.STDEV.S(Z$92:Z$121)</f>
        <v>3.7223666539390408</v>
      </c>
      <c r="AY109" s="2">
        <f ca="1">AA109*Sheet2!Z$20/_xlfn.STDEV.S(AA$92:AA$121)</f>
        <v>0.13805421156663708</v>
      </c>
      <c r="AZ109" s="2">
        <f ca="1">AB109-AVERAGE(AB$92:AB$121)+Sheet2!C$19</f>
        <v>2.4091317381530732</v>
      </c>
      <c r="BA109" s="2">
        <f ca="1">AC109-AVERAGE(AC$92:AC$121)+Sheet2!D$19</f>
        <v>9.4915081283126312</v>
      </c>
      <c r="BB109" s="2">
        <f ca="1">AD109-AVERAGE(AD$92:AD$121)+Sheet2!E$19</f>
        <v>24.455223170977316</v>
      </c>
      <c r="BC109" s="2">
        <f ca="1">AE109-AVERAGE(AE$92:AE$121)+Sheet2!F$19</f>
        <v>18.249185383645322</v>
      </c>
      <c r="BD109" s="2">
        <f ca="1">AF109-AVERAGE(AF$92:AF$121)+Sheet2!G$19</f>
        <v>15.94644296935588</v>
      </c>
      <c r="BE109" s="2">
        <f ca="1">AG109-AVERAGE(AG$92:AG$121)+Sheet2!H$19</f>
        <v>22.730884378860189</v>
      </c>
      <c r="BF109" s="2">
        <f ca="1">AH109-AVERAGE(AH$92:AH$121)+Sheet2!I$19</f>
        <v>12.040809629944354</v>
      </c>
      <c r="BG109" s="2">
        <f ca="1">AI109-AVERAGE(AI$92:AI$121)+Sheet2!J$19</f>
        <v>25.676904702151216</v>
      </c>
      <c r="BH109" s="2">
        <f ca="1">AJ109-AVERAGE(AJ$92:AJ$121)+Sheet2!K$19</f>
        <v>21.08152259463419</v>
      </c>
      <c r="BI109" s="2">
        <f ca="1">AK109-AVERAGE(AK$92:AK$121)+Sheet2!L$19</f>
        <v>21.083464195497697</v>
      </c>
      <c r="BJ109" s="2">
        <f ca="1">AL109-AVERAGE(AL$92:AL$121)+Sheet2!M$19</f>
        <v>16.354899937857319</v>
      </c>
      <c r="BK109" s="2">
        <f ca="1">AM109-AVERAGE(AM$92:AM$121)+Sheet2!N$19</f>
        <v>7.9610120765631534</v>
      </c>
      <c r="BL109" s="2">
        <f ca="1">AN109-AVERAGE(AN$92:AN$121)+Sheet2!O$19</f>
        <v>6.2158828585339316</v>
      </c>
      <c r="BM109" s="2">
        <f ca="1">AO109-AVERAGE(AO$92:AO$121)+Sheet2!P$19</f>
        <v>23.170558523113939</v>
      </c>
      <c r="BN109" s="2">
        <f ca="1">AP109-AVERAGE(AP$92:AP$121)+Sheet2!Q$19</f>
        <v>8.9062106748086158</v>
      </c>
      <c r="BO109" s="2">
        <f ca="1">AQ109-AVERAGE(AQ$92:AQ$121)+Sheet2!R$19</f>
        <v>8.8732329264083099</v>
      </c>
      <c r="BP109" s="2">
        <f ca="1">AR109-AVERAGE(AR$92:AR$121)+Sheet2!S$19</f>
        <v>1.5689362881458508</v>
      </c>
      <c r="BQ109" s="2">
        <f ca="1">AS109-AVERAGE(AS$92:AS$121)+Sheet2!T$19</f>
        <v>25.746832404136217</v>
      </c>
      <c r="BR109" s="2">
        <f ca="1">AT109-AVERAGE(AT$92:AT$121)+Sheet2!U$19</f>
        <v>15.414812173308341</v>
      </c>
      <c r="BS109" s="2">
        <f ca="1">AU109-AVERAGE(AU$92:AU$121)+Sheet2!V$19</f>
        <v>21.928907422549607</v>
      </c>
      <c r="BT109" s="2">
        <f ca="1">AV109-AVERAGE(AV$92:AV$121)+Sheet2!W$19</f>
        <v>22.107907413297525</v>
      </c>
      <c r="BU109" s="2">
        <f ca="1">AW109-AVERAGE(AW$92:AW$121)+Sheet2!X$19</f>
        <v>26.180863467704206</v>
      </c>
      <c r="BV109" s="2">
        <f ca="1">AX109-AVERAGE(AX$92:AX$121)+Sheet2!Y$19</f>
        <v>23.008641777316122</v>
      </c>
      <c r="BW109" s="2">
        <f ca="1">AY109-AVERAGE(AY$92:AY$121)+Sheet2!Z$19</f>
        <v>6.1775148150391876</v>
      </c>
      <c r="BZ109" s="2">
        <f ca="1">BA109-AVERAGE(AH$92:AH$121)+Sheet2!AB$19</f>
        <v>8.4159206964210203</v>
      </c>
      <c r="CA109" s="2">
        <f ca="1">BB109-AVERAGE(AI$92:AI$121)+Sheet2!AC$19</f>
        <v>20.83059285208774</v>
      </c>
      <c r="CB109" s="2">
        <f ca="1">BC109-AVERAGE(AJ$92:AJ$121)+Sheet2!AD$19</f>
        <v>15.536430353294699</v>
      </c>
      <c r="CC109" s="2">
        <f ca="1">BD109-AVERAGE(AK$92:AK$121)+Sheet2!AE$19</f>
        <v>13.50457555367429</v>
      </c>
    </row>
    <row r="110" spans="2:81" x14ac:dyDescent="0.3">
      <c r="B110">
        <v>109</v>
      </c>
      <c r="C110" s="1">
        <v>4</v>
      </c>
      <c r="D110" s="2">
        <f t="shared" ca="1" si="11"/>
        <v>0.99306978663247691</v>
      </c>
      <c r="E110" s="2">
        <f t="shared" ca="1" si="11"/>
        <v>0.2485485328337701</v>
      </c>
      <c r="F110" s="2">
        <f t="shared" ca="1" si="11"/>
        <v>0.13669724753285017</v>
      </c>
      <c r="G110" s="2">
        <f t="shared" ca="1" si="11"/>
        <v>0.60041388511009575</v>
      </c>
      <c r="H110" s="2">
        <f t="shared" ca="1" si="11"/>
        <v>0.88295832059871793</v>
      </c>
      <c r="I110" s="2">
        <f t="shared" ca="1" si="11"/>
        <v>0.48407628484258847</v>
      </c>
      <c r="J110" s="2">
        <f t="shared" ca="1" si="11"/>
        <v>0.40083074111321382</v>
      </c>
      <c r="K110" s="2">
        <f t="shared" ca="1" si="11"/>
        <v>0.70799130167564417</v>
      </c>
      <c r="L110" s="2">
        <f t="shared" ca="1" si="11"/>
        <v>0.47344519391601525</v>
      </c>
      <c r="M110" s="2">
        <f t="shared" ca="1" si="11"/>
        <v>6.1705220339992595E-2</v>
      </c>
      <c r="N110" s="2">
        <f t="shared" ca="1" si="11"/>
        <v>0.9044612753487844</v>
      </c>
      <c r="O110" s="2">
        <f t="shared" ca="1" si="11"/>
        <v>0.45993816303421342</v>
      </c>
      <c r="P110" s="2">
        <f t="shared" ca="1" si="11"/>
        <v>0.71032926797235518</v>
      </c>
      <c r="Q110" s="2">
        <f t="shared" ca="1" si="9"/>
        <v>0.17854109108280847</v>
      </c>
      <c r="R110" s="2">
        <f t="shared" ca="1" si="9"/>
        <v>0.49272532335246833</v>
      </c>
      <c r="S110" s="2">
        <f t="shared" ca="1" si="9"/>
        <v>0.28814482811219755</v>
      </c>
      <c r="T110" s="2">
        <f t="shared" ca="1" si="9"/>
        <v>0.85107186192924078</v>
      </c>
      <c r="U110" s="2">
        <f t="shared" ca="1" si="9"/>
        <v>0.74497538273277131</v>
      </c>
      <c r="V110" s="2">
        <f t="shared" ca="1" si="9"/>
        <v>7.1123132862457528E-2</v>
      </c>
      <c r="W110" s="2">
        <f t="shared" ca="1" si="9"/>
        <v>0.26184120557891399</v>
      </c>
      <c r="X110" s="2">
        <f t="shared" ca="1" si="9"/>
        <v>0.5826272445124967</v>
      </c>
      <c r="Y110" s="2">
        <f t="shared" ca="1" si="9"/>
        <v>0.46594402551645853</v>
      </c>
      <c r="Z110" s="2">
        <f t="shared" ca="1" si="9"/>
        <v>0.1753653010664461</v>
      </c>
      <c r="AA110" s="2">
        <f t="shared" ca="1" si="9"/>
        <v>0.5296558857043232</v>
      </c>
      <c r="AB110" s="2">
        <f ca="1">D110*Sheet2!C$20/_xlfn.STDEV.S(D$92:D$121)</f>
        <v>3.5859458144634901</v>
      </c>
      <c r="AC110" s="2">
        <f ca="1">E110*Sheet2!D$20/_xlfn.STDEV.S(E$92:E$121)</f>
        <v>3.7786220160266963</v>
      </c>
      <c r="AD110" s="2">
        <f ca="1">F110*Sheet2!E$20/_xlfn.STDEV.S(F$92:F$121)</f>
        <v>0.71842604962288792</v>
      </c>
      <c r="AE110" s="2">
        <f ca="1">G110*Sheet2!F$20/_xlfn.STDEV.S(G$92:G$121)</f>
        <v>4.5435262509518974</v>
      </c>
      <c r="AF110" s="2">
        <f ca="1">H110*Sheet2!G$20/_xlfn.STDEV.S(H$92:H$121)</f>
        <v>9.145672803745331</v>
      </c>
      <c r="AG110" s="2">
        <f ca="1">I110*Sheet2!H$20/_xlfn.STDEV.S(I$92:I$121)</f>
        <v>9.3088426515782743</v>
      </c>
      <c r="AH110" s="2">
        <f ca="1">J110*Sheet2!I$20/_xlfn.STDEV.S(J$92:J$121)</f>
        <v>0.94895178888782916</v>
      </c>
      <c r="AI110" s="2">
        <f ca="1">K110*Sheet2!J$20/_xlfn.STDEV.S(K$92:K$121)</f>
        <v>4.55414756323845</v>
      </c>
      <c r="AJ110" s="2">
        <f ca="1">L110*Sheet2!K$20/_xlfn.STDEV.S(L$92:L$121)</f>
        <v>2.7079503039698554</v>
      </c>
      <c r="AK110" s="2">
        <f ca="1">M110*Sheet2!L$20/_xlfn.STDEV.S(M$92:M$121)</f>
        <v>0.30768206470724208</v>
      </c>
      <c r="AL110" s="2">
        <f ca="1">N110*Sheet2!M$20/_xlfn.STDEV.S(N$92:N$121)</f>
        <v>2.5751555032053108</v>
      </c>
      <c r="AM110" s="2">
        <f ca="1">O110*Sheet2!N$20/_xlfn.STDEV.S(O$92:O$121)</f>
        <v>3.7564781746331062</v>
      </c>
      <c r="AN110" s="2">
        <f ca="1">P110*Sheet2!O$20/_xlfn.STDEV.S(P$92:P$121)</f>
        <v>3.4728117427684047</v>
      </c>
      <c r="AO110" s="2">
        <f ca="1">Q110*Sheet2!P$20/_xlfn.STDEV.S(Q$92:Q$121)</f>
        <v>1.0620178801115776</v>
      </c>
      <c r="AP110" s="2">
        <f ca="1">R110*Sheet2!Q$20/_xlfn.STDEV.S(R$92:R$121)</f>
        <v>2.2896077081348793</v>
      </c>
      <c r="AQ110" s="2">
        <f ca="1">S110*Sheet2!R$20/_xlfn.STDEV.S(S$92:S$121)</f>
        <v>1.1763665040945488</v>
      </c>
      <c r="AR110" s="2">
        <f ca="1">T110*Sheet2!S$20/_xlfn.STDEV.S(T$92:T$121)</f>
        <v>2.8214408528137063</v>
      </c>
      <c r="AS110" s="2">
        <f ca="1">U110*Sheet2!T$20/_xlfn.STDEV.S(U$92:U$121)</f>
        <v>9.842666807586161</v>
      </c>
      <c r="AT110" s="2">
        <f ca="1">V110*Sheet2!U$20/_xlfn.STDEV.S(V$92:V$121)</f>
        <v>0.48013302170954908</v>
      </c>
      <c r="AU110" s="2">
        <f ca="1">W110*Sheet2!V$20/_xlfn.STDEV.S(W$92:W$121)</f>
        <v>1.7628123468940999</v>
      </c>
      <c r="AV110" s="2">
        <f ca="1">X110*Sheet2!W$20/_xlfn.STDEV.S(X$92:X$121)</f>
        <v>2.2974417771929647</v>
      </c>
      <c r="AW110" s="2">
        <f ca="1">Y110*Sheet2!X$20/_xlfn.STDEV.S(Y$92:Y$121)</f>
        <v>2.3490209121368464</v>
      </c>
      <c r="AX110" s="2">
        <f ca="1">Z110*Sheet2!Y$20/_xlfn.STDEV.S(Z$92:Z$121)</f>
        <v>0.72921457502551179</v>
      </c>
      <c r="AY110" s="2">
        <f ca="1">AA110*Sheet2!Z$20/_xlfn.STDEV.S(AA$92:AA$121)</f>
        <v>1.1581972375590761</v>
      </c>
      <c r="AZ110" s="2">
        <f ca="1">AB110-AVERAGE(AB$92:AB$121)+Sheet2!C$19</f>
        <v>5.7646219766333617</v>
      </c>
      <c r="BA110" s="2">
        <f ca="1">AC110-AVERAGE(AC$92:AC$121)+Sheet2!D$19</f>
        <v>5.8307059734759754</v>
      </c>
      <c r="BB110" s="2">
        <f ca="1">AD110-AVERAGE(AD$92:AD$121)+Sheet2!E$19</f>
        <v>20.217933615515786</v>
      </c>
      <c r="BC110" s="2">
        <f ca="1">AE110-AVERAGE(AE$92:AE$121)+Sheet2!F$19</f>
        <v>17.324041908534625</v>
      </c>
      <c r="BD110" s="2">
        <f ca="1">AF110-AVERAGE(AF$92:AF$121)+Sheet2!G$19</f>
        <v>22.135944907326099</v>
      </c>
      <c r="BE110" s="2">
        <f ca="1">AG110-AVERAGE(AG$92:AG$121)+Sheet2!H$19</f>
        <v>28.578705072921075</v>
      </c>
      <c r="BF110" s="2">
        <f ca="1">AH110-AVERAGE(AH$92:AH$121)+Sheet2!I$19</f>
        <v>11.732519234608214</v>
      </c>
      <c r="BG110" s="2">
        <f ca="1">AI110-AVERAGE(AI$92:AI$121)+Sheet2!J$19</f>
        <v>25.919125021678592</v>
      </c>
      <c r="BH110" s="2">
        <f ca="1">AJ110-AVERAGE(AJ$92:AJ$121)+Sheet2!K$19</f>
        <v>22.347916694837807</v>
      </c>
      <c r="BI110" s="2">
        <f ca="1">AK110-AVERAGE(AK$92:AK$121)+Sheet2!L$19</f>
        <v>20.679251792712879</v>
      </c>
      <c r="BJ110" s="2">
        <f ca="1">AL110-AVERAGE(AL$92:AL$121)+Sheet2!M$19</f>
        <v>18.638910471448789</v>
      </c>
      <c r="BK110" s="2">
        <f ca="1">AM110-AVERAGE(AM$92:AM$121)+Sheet2!N$19</f>
        <v>6.510401864953236</v>
      </c>
      <c r="BL110" s="2">
        <f ca="1">AN110-AVERAGE(AN$92:AN$121)+Sheet2!O$19</f>
        <v>5.5208555183388111</v>
      </c>
      <c r="BM110" s="2">
        <f ca="1">AO110-AVERAGE(AO$92:AO$121)+Sheet2!P$19</f>
        <v>23.787176469915888</v>
      </c>
      <c r="BN110" s="2">
        <f ca="1">AP110-AVERAGE(AP$92:AP$121)+Sheet2!Q$19</f>
        <v>10.185922462346941</v>
      </c>
      <c r="BO110" s="2">
        <f ca="1">AQ110-AVERAGE(AQ$92:AQ$121)+Sheet2!R$19</f>
        <v>6.1899185432717658</v>
      </c>
      <c r="BP110" s="2">
        <f ca="1">AR110-AVERAGE(AR$92:AR$121)+Sheet2!S$19</f>
        <v>4.1448704127616729</v>
      </c>
      <c r="BQ110" s="2">
        <f ca="1">AS110-AVERAGE(AS$92:AS$121)+Sheet2!T$19</f>
        <v>28.662853531471107</v>
      </c>
      <c r="BR110" s="2">
        <f ca="1">AT110-AVERAGE(AT$92:AT$121)+Sheet2!U$19</f>
        <v>14.849466508181477</v>
      </c>
      <c r="BS110" s="2">
        <f ca="1">AU110-AVERAGE(AU$92:AU$121)+Sheet2!V$19</f>
        <v>22.47847757010755</v>
      </c>
      <c r="BT110" s="2">
        <f ca="1">AV110-AVERAGE(AV$92:AV$121)+Sheet2!W$19</f>
        <v>24.26352824746958</v>
      </c>
      <c r="BU110" s="2">
        <f ca="1">AW110-AVERAGE(AW$92:AW$121)+Sheet2!X$19</f>
        <v>23.934371463312733</v>
      </c>
      <c r="BV110" s="2">
        <f ca="1">AX110-AVERAGE(AX$92:AX$121)+Sheet2!Y$19</f>
        <v>20.01548969840259</v>
      </c>
      <c r="BW110" s="2">
        <f ca="1">AY110-AVERAGE(AY$92:AY$121)+Sheet2!Z$19</f>
        <v>7.197657841031627</v>
      </c>
      <c r="BZ110" s="2">
        <f ca="1">BA110-AVERAGE(AH$92:AH$121)+Sheet2!AB$19</f>
        <v>4.7551185415843635</v>
      </c>
      <c r="CA110" s="2">
        <f ca="1">BB110-AVERAGE(AI$92:AI$121)+Sheet2!AC$19</f>
        <v>16.59330329662621</v>
      </c>
      <c r="CB110" s="2">
        <f ca="1">BC110-AVERAGE(AJ$92:AJ$121)+Sheet2!AD$19</f>
        <v>14.611286878184002</v>
      </c>
      <c r="CC110" s="2">
        <f ca="1">BD110-AVERAGE(AK$92:AK$121)+Sheet2!AE$19</f>
        <v>19.69407749164451</v>
      </c>
    </row>
    <row r="111" spans="2:81" x14ac:dyDescent="0.3">
      <c r="B111">
        <v>110</v>
      </c>
      <c r="C111" s="1">
        <v>4</v>
      </c>
      <c r="D111" s="2">
        <f t="shared" ca="1" si="11"/>
        <v>0.18358351280692209</v>
      </c>
      <c r="E111" s="2">
        <f t="shared" ca="1" si="11"/>
        <v>0.68467668570868845</v>
      </c>
      <c r="F111" s="2">
        <f t="shared" ca="1" si="11"/>
        <v>0.89814893293480491</v>
      </c>
      <c r="G111" s="2">
        <f t="shared" ca="1" si="11"/>
        <v>0.39459875539043154</v>
      </c>
      <c r="H111" s="2">
        <f t="shared" ca="1" si="11"/>
        <v>0.50197408373251229</v>
      </c>
      <c r="I111" s="2">
        <f t="shared" ca="1" si="11"/>
        <v>0.13100485965516095</v>
      </c>
      <c r="J111" s="2">
        <f t="shared" ca="1" si="11"/>
        <v>0.97699998499170049</v>
      </c>
      <c r="K111" s="2">
        <f t="shared" ca="1" si="11"/>
        <v>0.33167073901316158</v>
      </c>
      <c r="L111" s="2">
        <f t="shared" ca="1" si="11"/>
        <v>7.2112084292758616E-2</v>
      </c>
      <c r="M111" s="2">
        <f t="shared" ca="1" si="11"/>
        <v>0.4253971837786048</v>
      </c>
      <c r="N111" s="2">
        <f t="shared" ca="1" si="11"/>
        <v>0.24213046192464793</v>
      </c>
      <c r="O111" s="2">
        <f t="shared" ca="1" si="11"/>
        <v>0.91181284024422482</v>
      </c>
      <c r="P111" s="2">
        <f t="shared" ca="1" si="11"/>
        <v>4.8037249820302996E-3</v>
      </c>
      <c r="Q111" s="2">
        <f t="shared" ca="1" si="9"/>
        <v>0.27202370737291681</v>
      </c>
      <c r="R111" s="2">
        <f t="shared" ca="1" si="9"/>
        <v>0.44987506906480057</v>
      </c>
      <c r="S111" s="2">
        <f t="shared" ca="1" si="9"/>
        <v>0.71282739862404132</v>
      </c>
      <c r="T111" s="2">
        <f t="shared" ca="1" si="9"/>
        <v>0.57150289971626145</v>
      </c>
      <c r="U111" s="2">
        <f t="shared" ca="1" si="9"/>
        <v>0.46775413586394843</v>
      </c>
      <c r="V111" s="2">
        <f t="shared" ca="1" si="9"/>
        <v>0.87955129089520989</v>
      </c>
      <c r="W111" s="2">
        <f t="shared" ca="1" si="9"/>
        <v>0.43877649544279318</v>
      </c>
      <c r="X111" s="2">
        <f t="shared" ca="1" si="9"/>
        <v>0.29701634986932779</v>
      </c>
      <c r="Y111" s="2">
        <f t="shared" ca="1" si="9"/>
        <v>0.71187773296180334</v>
      </c>
      <c r="Z111" s="2">
        <f t="shared" ca="1" si="9"/>
        <v>0.96917357077762578</v>
      </c>
      <c r="AA111" s="2">
        <f t="shared" ca="1" si="9"/>
        <v>0.34925049375661521</v>
      </c>
      <c r="AB111" s="2">
        <f ca="1">D111*Sheet2!C$20/_xlfn.STDEV.S(D$92:D$121)</f>
        <v>0.6629146694582938</v>
      </c>
      <c r="AC111" s="2">
        <f ca="1">E111*Sheet2!D$20/_xlfn.STDEV.S(E$92:E$121)</f>
        <v>10.408970710800064</v>
      </c>
      <c r="AD111" s="2">
        <f ca="1">F111*Sheet2!E$20/_xlfn.STDEV.S(F$92:F$121)</f>
        <v>4.7203115022948863</v>
      </c>
      <c r="AE111" s="2">
        <f ca="1">G111*Sheet2!F$20/_xlfn.STDEV.S(G$92:G$121)</f>
        <v>2.9860565322879236</v>
      </c>
      <c r="AF111" s="2">
        <f ca="1">H111*Sheet2!G$20/_xlfn.STDEV.S(H$92:H$121)</f>
        <v>5.1994421692118147</v>
      </c>
      <c r="AG111" s="2">
        <f ca="1">I111*Sheet2!H$20/_xlfn.STDEV.S(I$92:I$121)</f>
        <v>2.5192385235697823</v>
      </c>
      <c r="AH111" s="2">
        <f ca="1">J111*Sheet2!I$20/_xlfn.STDEV.S(J$92:J$121)</f>
        <v>2.313010925575171</v>
      </c>
      <c r="AI111" s="2">
        <f ca="1">K111*Sheet2!J$20/_xlfn.STDEV.S(K$92:K$121)</f>
        <v>2.1334689907903543</v>
      </c>
      <c r="AJ111" s="2">
        <f ca="1">L111*Sheet2!K$20/_xlfn.STDEV.S(L$92:L$121)</f>
        <v>0.41245732999269952</v>
      </c>
      <c r="AK111" s="2">
        <f ca="1">M111*Sheet2!L$20/_xlfn.STDEV.S(M$92:M$121)</f>
        <v>2.1211671087870059</v>
      </c>
      <c r="AL111" s="2">
        <f ca="1">N111*Sheet2!M$20/_xlfn.STDEV.S(N$92:N$121)</f>
        <v>0.68938671949050978</v>
      </c>
      <c r="AM111" s="2">
        <f ca="1">O111*Sheet2!N$20/_xlfn.STDEV.S(O$92:O$121)</f>
        <v>7.4470989994210655</v>
      </c>
      <c r="AN111" s="2">
        <f ca="1">P111*Sheet2!O$20/_xlfn.STDEV.S(P$92:P$121)</f>
        <v>2.3485492262264519E-2</v>
      </c>
      <c r="AO111" s="2">
        <f ca="1">Q111*Sheet2!P$20/_xlfn.STDEV.S(Q$92:Q$121)</f>
        <v>1.6180815256152232</v>
      </c>
      <c r="AP111" s="2">
        <f ca="1">R111*Sheet2!Q$20/_xlfn.STDEV.S(R$92:R$121)</f>
        <v>2.0904901311346791</v>
      </c>
      <c r="AQ111" s="2">
        <f ca="1">S111*Sheet2!R$20/_xlfn.STDEV.S(S$92:S$121)</f>
        <v>2.9101555646026123</v>
      </c>
      <c r="AR111" s="2">
        <f ca="1">T111*Sheet2!S$20/_xlfn.STDEV.S(T$92:T$121)</f>
        <v>1.8946245327694984</v>
      </c>
      <c r="AS111" s="2">
        <f ca="1">U111*Sheet2!T$20/_xlfn.STDEV.S(U$92:U$121)</f>
        <v>6.1800003246962412</v>
      </c>
      <c r="AT111" s="2">
        <f ca="1">V111*Sheet2!U$20/_xlfn.STDEV.S(V$92:V$121)</f>
        <v>5.9376127295000583</v>
      </c>
      <c r="AU111" s="2">
        <f ca="1">W111*Sheet2!V$20/_xlfn.STDEV.S(W$92:W$121)</f>
        <v>2.9540065017015289</v>
      </c>
      <c r="AV111" s="2">
        <f ca="1">X111*Sheet2!W$20/_xlfn.STDEV.S(X$92:X$121)</f>
        <v>1.1712081388677997</v>
      </c>
      <c r="AW111" s="2">
        <f ca="1">Y111*Sheet2!X$20/_xlfn.STDEV.S(Y$92:Y$121)</f>
        <v>3.5888767535077628</v>
      </c>
      <c r="AX111" s="2">
        <f ca="1">Z111*Sheet2!Y$20/_xlfn.STDEV.S(Z$92:Z$121)</f>
        <v>4.0300760141413683</v>
      </c>
      <c r="AY111" s="2">
        <f ca="1">AA111*Sheet2!Z$20/_xlfn.STDEV.S(AA$92:AA$121)</f>
        <v>0.76370520559241928</v>
      </c>
      <c r="AZ111" s="2">
        <f ca="1">AB111-AVERAGE(AB$92:AB$121)+Sheet2!C$19</f>
        <v>2.8415908316281655</v>
      </c>
      <c r="BA111" s="2">
        <f ca="1">AC111-AVERAGE(AC$92:AC$121)+Sheet2!D$19</f>
        <v>12.461054668249343</v>
      </c>
      <c r="BB111" s="2">
        <f ca="1">AD111-AVERAGE(AD$92:AD$121)+Sheet2!E$19</f>
        <v>24.219819068187785</v>
      </c>
      <c r="BC111" s="2">
        <f ca="1">AE111-AVERAGE(AE$92:AE$121)+Sheet2!F$19</f>
        <v>15.766572189870651</v>
      </c>
      <c r="BD111" s="2">
        <f ca="1">AF111-AVERAGE(AF$92:AF$121)+Sheet2!G$19</f>
        <v>18.189714272792582</v>
      </c>
      <c r="BE111" s="2">
        <f ca="1">AG111-AVERAGE(AG$92:AG$121)+Sheet2!H$19</f>
        <v>21.789100944912583</v>
      </c>
      <c r="BF111" s="2">
        <f ca="1">AH111-AVERAGE(AH$92:AH$121)+Sheet2!I$19</f>
        <v>13.096578371295557</v>
      </c>
      <c r="BG111" s="2">
        <f ca="1">AI111-AVERAGE(AI$92:AI$121)+Sheet2!J$19</f>
        <v>23.498446449230496</v>
      </c>
      <c r="BH111" s="2">
        <f ca="1">AJ111-AVERAGE(AJ$92:AJ$121)+Sheet2!K$19</f>
        <v>20.052423720860649</v>
      </c>
      <c r="BI111" s="2">
        <f ca="1">AK111-AVERAGE(AK$92:AK$121)+Sheet2!L$19</f>
        <v>22.492736836792641</v>
      </c>
      <c r="BJ111" s="2">
        <f ca="1">AL111-AVERAGE(AL$92:AL$121)+Sheet2!M$19</f>
        <v>16.753141687733986</v>
      </c>
      <c r="BK111" s="2">
        <f ca="1">AM111-AVERAGE(AM$92:AM$121)+Sheet2!N$19</f>
        <v>10.201022689741194</v>
      </c>
      <c r="BL111" s="2">
        <f ca="1">AN111-AVERAGE(AN$92:AN$121)+Sheet2!O$19</f>
        <v>2.0715292678326716</v>
      </c>
      <c r="BM111" s="2">
        <f ca="1">AO111-AVERAGE(AO$92:AO$121)+Sheet2!P$19</f>
        <v>24.343240115419533</v>
      </c>
      <c r="BN111" s="2">
        <f ca="1">AP111-AVERAGE(AP$92:AP$121)+Sheet2!Q$19</f>
        <v>9.9868048853467393</v>
      </c>
      <c r="BO111" s="2">
        <f ca="1">AQ111-AVERAGE(AQ$92:AQ$121)+Sheet2!R$19</f>
        <v>7.92370760377983</v>
      </c>
      <c r="BP111" s="2">
        <f ca="1">AR111-AVERAGE(AR$92:AR$121)+Sheet2!S$19</f>
        <v>3.2180540927174652</v>
      </c>
      <c r="BQ111" s="2">
        <f ca="1">AS111-AVERAGE(AS$92:AS$121)+Sheet2!T$19</f>
        <v>25.000187048581189</v>
      </c>
      <c r="BR111" s="2">
        <f ca="1">AT111-AVERAGE(AT$92:AT$121)+Sheet2!U$19</f>
        <v>20.306946215971987</v>
      </c>
      <c r="BS111" s="2">
        <f ca="1">AU111-AVERAGE(AU$92:AU$121)+Sheet2!V$19</f>
        <v>23.669671724914977</v>
      </c>
      <c r="BT111" s="2">
        <f ca="1">AV111-AVERAGE(AV$92:AV$121)+Sheet2!W$19</f>
        <v>23.137294609144416</v>
      </c>
      <c r="BU111" s="2">
        <f ca="1">AW111-AVERAGE(AW$92:AW$121)+Sheet2!X$19</f>
        <v>25.174227304683647</v>
      </c>
      <c r="BV111" s="2">
        <f ca="1">AX111-AVERAGE(AX$92:AX$121)+Sheet2!Y$19</f>
        <v>23.316351137518449</v>
      </c>
      <c r="BW111" s="2">
        <f ca="1">AY111-AVERAGE(AY$92:AY$121)+Sheet2!Z$19</f>
        <v>6.8031658090649705</v>
      </c>
      <c r="BZ111" s="2">
        <f ca="1">BA111-AVERAGE(AH$92:AH$121)+Sheet2!AB$19</f>
        <v>11.385467236357732</v>
      </c>
      <c r="CA111" s="2">
        <f ca="1">BB111-AVERAGE(AI$92:AI$121)+Sheet2!AC$19</f>
        <v>20.59518874929821</v>
      </c>
      <c r="CB111" s="2">
        <f ca="1">BC111-AVERAGE(AJ$92:AJ$121)+Sheet2!AD$19</f>
        <v>13.053817159520028</v>
      </c>
      <c r="CC111" s="2">
        <f ca="1">BD111-AVERAGE(AK$92:AK$121)+Sheet2!AE$19</f>
        <v>15.747846857110991</v>
      </c>
    </row>
    <row r="112" spans="2:81" x14ac:dyDescent="0.3">
      <c r="B112">
        <v>111</v>
      </c>
      <c r="C112" s="1">
        <v>4</v>
      </c>
      <c r="D112" s="2">
        <f t="shared" ca="1" si="11"/>
        <v>0.78922712587620492</v>
      </c>
      <c r="E112" s="2">
        <f t="shared" ca="1" si="11"/>
        <v>0.98234121817317244</v>
      </c>
      <c r="F112" s="2">
        <f t="shared" ca="1" si="11"/>
        <v>0.77005857174289116</v>
      </c>
      <c r="G112" s="2">
        <f t="shared" ca="1" si="11"/>
        <v>0.10480730778852376</v>
      </c>
      <c r="H112" s="2">
        <f t="shared" ca="1" si="11"/>
        <v>0.17270311832471685</v>
      </c>
      <c r="I112" s="2">
        <f t="shared" ca="1" si="11"/>
        <v>0.72812662996193955</v>
      </c>
      <c r="J112" s="2">
        <f t="shared" ca="1" si="11"/>
        <v>0.24549998281799346</v>
      </c>
      <c r="K112" s="2">
        <f t="shared" ca="1" si="11"/>
        <v>0.69088010058499605</v>
      </c>
      <c r="L112" s="2">
        <f t="shared" ca="1" si="11"/>
        <v>0.33930779135019906</v>
      </c>
      <c r="M112" s="2">
        <f t="shared" ca="1" si="11"/>
        <v>0.10091097122924331</v>
      </c>
      <c r="N112" s="2">
        <f t="shared" ca="1" si="11"/>
        <v>0.24504063138810284</v>
      </c>
      <c r="O112" s="2">
        <f t="shared" ca="1" si="11"/>
        <v>0.79340557428774716</v>
      </c>
      <c r="P112" s="2">
        <f t="shared" ca="1" si="11"/>
        <v>2.105863424488541E-2</v>
      </c>
      <c r="Q112" s="2">
        <f t="shared" ca="1" si="11"/>
        <v>0.27896472165755148</v>
      </c>
      <c r="R112" s="2">
        <f t="shared" ca="1" si="11"/>
        <v>0.83011136104595873</v>
      </c>
      <c r="S112" s="2">
        <f t="shared" ca="1" si="11"/>
        <v>9.8881442401167807E-2</v>
      </c>
      <c r="T112" s="2">
        <f t="shared" ref="Q112:AA138" ca="1" si="12">RAND()</f>
        <v>0.68520156979051094</v>
      </c>
      <c r="U112" s="2">
        <f t="shared" ca="1" si="12"/>
        <v>0.10797954516138797</v>
      </c>
      <c r="V112" s="2">
        <f t="shared" ca="1" si="12"/>
        <v>0.94985209987022201</v>
      </c>
      <c r="W112" s="2">
        <f t="shared" ca="1" si="12"/>
        <v>8.1094339652459935E-2</v>
      </c>
      <c r="X112" s="2">
        <f t="shared" ca="1" si="12"/>
        <v>0.33575964769538569</v>
      </c>
      <c r="Y112" s="2">
        <f t="shared" ca="1" si="12"/>
        <v>0.66028664218687561</v>
      </c>
      <c r="Z112" s="2">
        <f t="shared" ca="1" si="12"/>
        <v>0.49272076127522779</v>
      </c>
      <c r="AA112" s="2">
        <f t="shared" ca="1" si="12"/>
        <v>0.70607013171435584</v>
      </c>
      <c r="AB112" s="2">
        <f ca="1">D112*Sheet2!C$20/_xlfn.STDEV.S(D$92:D$121)</f>
        <v>2.8498759571508563</v>
      </c>
      <c r="AC112" s="2">
        <f ca="1">E112*Sheet2!D$20/_xlfn.STDEV.S(E$92:E$121)</f>
        <v>14.934291149978982</v>
      </c>
      <c r="AD112" s="2">
        <f ca="1">F112*Sheet2!E$20/_xlfn.STDEV.S(F$92:F$121)</f>
        <v>4.0471198042414125</v>
      </c>
      <c r="AE112" s="2">
        <f ca="1">G112*Sheet2!F$20/_xlfn.STDEV.S(G$92:G$121)</f>
        <v>0.79311082910988118</v>
      </c>
      <c r="AF112" s="2">
        <f ca="1">H112*Sheet2!G$20/_xlfn.STDEV.S(H$92:H$121)</f>
        <v>1.7888570451585459</v>
      </c>
      <c r="AG112" s="2">
        <f ca="1">I112*Sheet2!H$20/_xlfn.STDEV.S(I$92:I$121)</f>
        <v>14.001958866759447</v>
      </c>
      <c r="AH112" s="2">
        <f ca="1">J112*Sheet2!I$20/_xlfn.STDEV.S(J$92:J$121)</f>
        <v>0.58121202785009185</v>
      </c>
      <c r="AI112" s="2">
        <f ca="1">K112*Sheet2!J$20/_xlfn.STDEV.S(K$92:K$121)</f>
        <v>4.4440799189515445</v>
      </c>
      <c r="AJ112" s="2">
        <f ca="1">L112*Sheet2!K$20/_xlfn.STDEV.S(L$92:L$121)</f>
        <v>1.9407286176593936</v>
      </c>
      <c r="AK112" s="2">
        <f ca="1">M112*Sheet2!L$20/_xlfn.STDEV.S(M$92:M$121)</f>
        <v>0.50317454193261224</v>
      </c>
      <c r="AL112" s="2">
        <f ca="1">N112*Sheet2!M$20/_xlfn.STDEV.S(N$92:N$121)</f>
        <v>0.69767246827083873</v>
      </c>
      <c r="AM112" s="2">
        <f ca="1">O112*Sheet2!N$20/_xlfn.STDEV.S(O$92:O$121)</f>
        <v>6.4800248446060431</v>
      </c>
      <c r="AN112" s="2">
        <f ca="1">P112*Sheet2!O$20/_xlfn.STDEV.S(P$92:P$121)</f>
        <v>0.10295601714548683</v>
      </c>
      <c r="AO112" s="2">
        <f ca="1">Q112*Sheet2!P$20/_xlfn.STDEV.S(Q$92:Q$121)</f>
        <v>1.6593688350613884</v>
      </c>
      <c r="AP112" s="2">
        <f ca="1">R112*Sheet2!Q$20/_xlfn.STDEV.S(R$92:R$121)</f>
        <v>3.8573811427620868</v>
      </c>
      <c r="AQ112" s="2">
        <f ca="1">S112*Sheet2!R$20/_xlfn.STDEV.S(S$92:S$121)</f>
        <v>0.40368871959067537</v>
      </c>
      <c r="AR112" s="2">
        <f ca="1">T112*Sheet2!S$20/_xlfn.STDEV.S(T$92:T$121)</f>
        <v>2.2715540107702004</v>
      </c>
      <c r="AS112" s="2">
        <f ca="1">U112*Sheet2!T$20/_xlfn.STDEV.S(U$92:U$121)</f>
        <v>1.4266332951292724</v>
      </c>
      <c r="AT112" s="2">
        <f ca="1">V112*Sheet2!U$20/_xlfn.STDEV.S(V$92:V$121)</f>
        <v>6.412194465193191</v>
      </c>
      <c r="AU112" s="2">
        <f ca="1">W112*Sheet2!V$20/_xlfn.STDEV.S(W$92:W$121)</f>
        <v>0.54595724491306807</v>
      </c>
      <c r="AV112" s="2">
        <f ca="1">X112*Sheet2!W$20/_xlfn.STDEV.S(X$92:X$121)</f>
        <v>1.3239824415633301</v>
      </c>
      <c r="AW112" s="2">
        <f ca="1">Y112*Sheet2!X$20/_xlfn.STDEV.S(Y$92:Y$121)</f>
        <v>3.3287842435202624</v>
      </c>
      <c r="AX112" s="2">
        <f ca="1">Z112*Sheet2!Y$20/_xlfn.STDEV.S(Z$92:Z$121)</f>
        <v>2.0488611963402215</v>
      </c>
      <c r="AY112" s="2">
        <f ca="1">AA112*Sheet2!Z$20/_xlfn.STDEV.S(AA$92:AA$121)</f>
        <v>1.5439618404071764</v>
      </c>
      <c r="AZ112" s="2">
        <f ca="1">AB112-AVERAGE(AB$92:AB$121)+Sheet2!C$19</f>
        <v>5.0285521193207279</v>
      </c>
      <c r="BA112" s="2">
        <f ca="1">AC112-AVERAGE(AC$92:AC$121)+Sheet2!D$19</f>
        <v>16.986375107428259</v>
      </c>
      <c r="BB112" s="2">
        <f ca="1">AD112-AVERAGE(AD$92:AD$121)+Sheet2!E$19</f>
        <v>23.54662737013431</v>
      </c>
      <c r="BC112" s="2">
        <f ca="1">AE112-AVERAGE(AE$92:AE$121)+Sheet2!F$19</f>
        <v>13.573626486692609</v>
      </c>
      <c r="BD112" s="2">
        <f ca="1">AF112-AVERAGE(AF$92:AF$121)+Sheet2!G$19</f>
        <v>14.779129148739313</v>
      </c>
      <c r="BE112" s="2">
        <f ca="1">AG112-AVERAGE(AG$92:AG$121)+Sheet2!H$19</f>
        <v>33.271821288102245</v>
      </c>
      <c r="BF112" s="2">
        <f ca="1">AH112-AVERAGE(AH$92:AH$121)+Sheet2!I$19</f>
        <v>11.364779473570477</v>
      </c>
      <c r="BG112" s="2">
        <f ca="1">AI112-AVERAGE(AI$92:AI$121)+Sheet2!J$19</f>
        <v>25.809057377391689</v>
      </c>
      <c r="BH112" s="2">
        <f ca="1">AJ112-AVERAGE(AJ$92:AJ$121)+Sheet2!K$19</f>
        <v>21.580695008527343</v>
      </c>
      <c r="BI112" s="2">
        <f ca="1">AK112-AVERAGE(AK$92:AK$121)+Sheet2!L$19</f>
        <v>20.874744269938247</v>
      </c>
      <c r="BJ112" s="2">
        <f ca="1">AL112-AVERAGE(AL$92:AL$121)+Sheet2!M$19</f>
        <v>16.761427436514317</v>
      </c>
      <c r="BK112" s="2">
        <f ca="1">AM112-AVERAGE(AM$92:AM$121)+Sheet2!N$19</f>
        <v>9.2339485349261725</v>
      </c>
      <c r="BL112" s="2">
        <f ca="1">AN112-AVERAGE(AN$92:AN$121)+Sheet2!O$19</f>
        <v>2.1509997927158935</v>
      </c>
      <c r="BM112" s="2">
        <f ca="1">AO112-AVERAGE(AO$92:AO$121)+Sheet2!P$19</f>
        <v>24.384527424865698</v>
      </c>
      <c r="BN112" s="2">
        <f ca="1">AP112-AVERAGE(AP$92:AP$121)+Sheet2!Q$19</f>
        <v>11.753695896974147</v>
      </c>
      <c r="BO112" s="2">
        <f ca="1">AQ112-AVERAGE(AQ$92:AQ$121)+Sheet2!R$19</f>
        <v>5.4172407587678926</v>
      </c>
      <c r="BP112" s="2">
        <f ca="1">AR112-AVERAGE(AR$92:AR$121)+Sheet2!S$19</f>
        <v>3.594983570718167</v>
      </c>
      <c r="BQ112" s="2">
        <f ca="1">AS112-AVERAGE(AS$92:AS$121)+Sheet2!T$19</f>
        <v>20.246820019014219</v>
      </c>
      <c r="BR112" s="2">
        <f ca="1">AT112-AVERAGE(AT$92:AT$121)+Sheet2!U$19</f>
        <v>20.781527951665119</v>
      </c>
      <c r="BS112" s="2">
        <f ca="1">AU112-AVERAGE(AU$92:AU$121)+Sheet2!V$19</f>
        <v>21.261622468126518</v>
      </c>
      <c r="BT112" s="2">
        <f ca="1">AV112-AVERAGE(AV$92:AV$121)+Sheet2!W$19</f>
        <v>23.290068911839946</v>
      </c>
      <c r="BU112" s="2">
        <f ca="1">AW112-AVERAGE(AW$92:AW$121)+Sheet2!X$19</f>
        <v>24.91413479469615</v>
      </c>
      <c r="BV112" s="2">
        <f ca="1">AX112-AVERAGE(AX$92:AX$121)+Sheet2!Y$19</f>
        <v>21.3351363197173</v>
      </c>
      <c r="BW112" s="2">
        <f ca="1">AY112-AVERAGE(AY$92:AY$121)+Sheet2!Z$19</f>
        <v>7.5834224438797273</v>
      </c>
      <c r="BZ112" s="2">
        <f ca="1">BA112-AVERAGE(AH$92:AH$121)+Sheet2!AB$19</f>
        <v>15.910787675536648</v>
      </c>
      <c r="CA112" s="2">
        <f ca="1">BB112-AVERAGE(AI$92:AI$121)+Sheet2!AC$19</f>
        <v>19.921997051244734</v>
      </c>
      <c r="CB112" s="2">
        <f ca="1">BC112-AVERAGE(AJ$92:AJ$121)+Sheet2!AD$19</f>
        <v>10.860871456341986</v>
      </c>
      <c r="CC112" s="2">
        <f ca="1">BD112-AVERAGE(AK$92:AK$121)+Sheet2!AE$19</f>
        <v>12.337261733057723</v>
      </c>
    </row>
    <row r="113" spans="2:81" x14ac:dyDescent="0.3">
      <c r="B113">
        <v>112</v>
      </c>
      <c r="C113" s="1">
        <v>4</v>
      </c>
      <c r="D113" s="2">
        <f t="shared" ca="1" si="11"/>
        <v>0.18477440957428881</v>
      </c>
      <c r="E113" s="2">
        <f t="shared" ca="1" si="11"/>
        <v>0.44127725833245224</v>
      </c>
      <c r="F113" s="2">
        <f t="shared" ca="1" si="11"/>
        <v>0.78518766919955341</v>
      </c>
      <c r="G113" s="2">
        <f t="shared" ca="1" si="11"/>
        <v>0.13595517642187749</v>
      </c>
      <c r="H113" s="2">
        <f t="shared" ca="1" si="11"/>
        <v>0.81532378377246861</v>
      </c>
      <c r="I113" s="2">
        <f t="shared" ca="1" si="11"/>
        <v>0.3013139997810903</v>
      </c>
      <c r="J113" s="2">
        <f t="shared" ca="1" si="11"/>
        <v>0.45882954827307376</v>
      </c>
      <c r="K113" s="2">
        <f t="shared" ca="1" si="11"/>
        <v>0.78757043571901209</v>
      </c>
      <c r="L113" s="2">
        <f t="shared" ca="1" si="11"/>
        <v>0.74751120322011022</v>
      </c>
      <c r="M113" s="2">
        <f t="shared" ca="1" si="11"/>
        <v>0.31725510139917679</v>
      </c>
      <c r="N113" s="2">
        <f t="shared" ca="1" si="11"/>
        <v>0.43500419256302858</v>
      </c>
      <c r="O113" s="2">
        <f t="shared" ca="1" si="11"/>
        <v>0.14154188545989621</v>
      </c>
      <c r="P113" s="2">
        <f t="shared" ca="1" si="11"/>
        <v>0.50872391251109861</v>
      </c>
      <c r="Q113" s="2">
        <f t="shared" ca="1" si="11"/>
        <v>8.4817679162558002E-2</v>
      </c>
      <c r="R113" s="2">
        <f t="shared" ca="1" si="11"/>
        <v>0.75928317379284338</v>
      </c>
      <c r="S113" s="2">
        <f t="shared" ca="1" si="11"/>
        <v>0.77536418475707791</v>
      </c>
      <c r="T113" s="2">
        <f t="shared" ca="1" si="12"/>
        <v>0.43907341525109544</v>
      </c>
      <c r="U113" s="2">
        <f t="shared" ca="1" si="12"/>
        <v>0.62739268640581269</v>
      </c>
      <c r="V113" s="2">
        <f t="shared" ca="1" si="12"/>
        <v>3.2736597132021594E-2</v>
      </c>
      <c r="W113" s="2">
        <f t="shared" ca="1" si="12"/>
        <v>0.33261709904316894</v>
      </c>
      <c r="X113" s="2">
        <f t="shared" ca="1" si="12"/>
        <v>0.33028025449165466</v>
      </c>
      <c r="Y113" s="2">
        <f t="shared" ca="1" si="12"/>
        <v>0.30443623320511526</v>
      </c>
      <c r="Z113" s="2">
        <f t="shared" ca="1" si="12"/>
        <v>0.2039690237463726</v>
      </c>
      <c r="AA113" s="2">
        <f t="shared" ca="1" si="12"/>
        <v>0.99093161222825543</v>
      </c>
      <c r="AB113" s="2">
        <f ca="1">D113*Sheet2!C$20/_xlfn.STDEV.S(D$92:D$121)</f>
        <v>0.66721496268630365</v>
      </c>
      <c r="AC113" s="2">
        <f ca="1">E113*Sheet2!D$20/_xlfn.STDEV.S(E$92:E$121)</f>
        <v>6.7086292745170963</v>
      </c>
      <c r="AD113" s="2">
        <f ca="1">F113*Sheet2!E$20/_xlfn.STDEV.S(F$92:F$121)</f>
        <v>4.1266322883354141</v>
      </c>
      <c r="AE113" s="2">
        <f ca="1">G113*Sheet2!F$20/_xlfn.STDEV.S(G$92:G$121)</f>
        <v>1.0288168350942257</v>
      </c>
      <c r="AF113" s="2">
        <f ca="1">H113*Sheet2!G$20/_xlfn.STDEV.S(H$92:H$121)</f>
        <v>8.4451149975441222</v>
      </c>
      <c r="AG113" s="2">
        <f ca="1">I113*Sheet2!H$20/_xlfn.STDEV.S(I$92:I$121)</f>
        <v>5.7943028826374965</v>
      </c>
      <c r="AH113" s="2">
        <f ca="1">J113*Sheet2!I$20/_xlfn.STDEV.S(J$92:J$121)</f>
        <v>1.0862617957372387</v>
      </c>
      <c r="AI113" s="2">
        <f ca="1">K113*Sheet2!J$20/_xlfn.STDEV.S(K$92:K$121)</f>
        <v>5.0660396140736532</v>
      </c>
      <c r="AJ113" s="2">
        <f ca="1">L113*Sheet2!K$20/_xlfn.STDEV.S(L$92:L$121)</f>
        <v>4.275517453747451</v>
      </c>
      <c r="AK113" s="2">
        <f ca="1">M113*Sheet2!L$20/_xlfn.STDEV.S(M$92:M$121)</f>
        <v>1.5819359221076865</v>
      </c>
      <c r="AL113" s="2">
        <f ca="1">N113*Sheet2!M$20/_xlfn.STDEV.S(N$92:N$121)</f>
        <v>1.2385311244686352</v>
      </c>
      <c r="AM113" s="2">
        <f ca="1">O113*Sheet2!N$20/_xlfn.STDEV.S(O$92:O$121)</f>
        <v>1.1560228010193787</v>
      </c>
      <c r="AN113" s="2">
        <f ca="1">P113*Sheet2!O$20/_xlfn.STDEV.S(P$92:P$121)</f>
        <v>2.4871597678055792</v>
      </c>
      <c r="AO113" s="2">
        <f ca="1">Q113*Sheet2!P$20/_xlfn.STDEV.S(Q$92:Q$121)</f>
        <v>0.50452190738783542</v>
      </c>
      <c r="AP113" s="2">
        <f ca="1">R113*Sheet2!Q$20/_xlfn.STDEV.S(R$92:R$121)</f>
        <v>3.5282550438951383</v>
      </c>
      <c r="AQ113" s="2">
        <f ca="1">S113*Sheet2!R$20/_xlfn.STDEV.S(S$92:S$121)</f>
        <v>3.1654653022876613</v>
      </c>
      <c r="AR113" s="2">
        <f ca="1">T113*Sheet2!S$20/_xlfn.STDEV.S(T$92:T$121)</f>
        <v>1.4555993760217563</v>
      </c>
      <c r="AS113" s="2">
        <f ca="1">U113*Sheet2!T$20/_xlfn.STDEV.S(U$92:U$121)</f>
        <v>8.2891560082917621</v>
      </c>
      <c r="AT113" s="2">
        <f ca="1">V113*Sheet2!U$20/_xlfn.STDEV.S(V$92:V$121)</f>
        <v>0.22099590764487287</v>
      </c>
      <c r="AU113" s="2">
        <f ca="1">W113*Sheet2!V$20/_xlfn.STDEV.S(W$92:W$121)</f>
        <v>2.2393019757338521</v>
      </c>
      <c r="AV113" s="2">
        <f ca="1">X113*Sheet2!W$20/_xlfn.STDEV.S(X$92:X$121)</f>
        <v>1.3023758535115608</v>
      </c>
      <c r="AW113" s="2">
        <f ca="1">Y113*Sheet2!X$20/_xlfn.STDEV.S(Y$92:Y$121)</f>
        <v>1.5347918184342622</v>
      </c>
      <c r="AX113" s="2">
        <f ca="1">Z113*Sheet2!Y$20/_xlfn.STDEV.S(Z$92:Z$121)</f>
        <v>0.8481563003916206</v>
      </c>
      <c r="AY113" s="2">
        <f ca="1">AA113*Sheet2!Z$20/_xlfn.STDEV.S(AA$92:AA$121)</f>
        <v>2.1668677472856772</v>
      </c>
      <c r="AZ113" s="2">
        <f ca="1">AB113-AVERAGE(AB$92:AB$121)+Sheet2!C$19</f>
        <v>2.8458911248561751</v>
      </c>
      <c r="BA113" s="2">
        <f ca="1">AC113-AVERAGE(AC$92:AC$121)+Sheet2!D$19</f>
        <v>8.7607132319663741</v>
      </c>
      <c r="BB113" s="2">
        <f ca="1">AD113-AVERAGE(AD$92:AD$121)+Sheet2!E$19</f>
        <v>23.626139854228313</v>
      </c>
      <c r="BC113" s="2">
        <f ca="1">AE113-AVERAGE(AE$92:AE$121)+Sheet2!F$19</f>
        <v>13.809332492676955</v>
      </c>
      <c r="BD113" s="2">
        <f ca="1">AF113-AVERAGE(AF$92:AF$121)+Sheet2!G$19</f>
        <v>21.435387101124888</v>
      </c>
      <c r="BE113" s="2">
        <f ca="1">AG113-AVERAGE(AG$92:AG$121)+Sheet2!H$19</f>
        <v>25.064165303980296</v>
      </c>
      <c r="BF113" s="2">
        <f ca="1">AH113-AVERAGE(AH$92:AH$121)+Sheet2!I$19</f>
        <v>11.869829241457623</v>
      </c>
      <c r="BG113" s="2">
        <f ca="1">AI113-AVERAGE(AI$92:AI$121)+Sheet2!J$19</f>
        <v>26.431017072513797</v>
      </c>
      <c r="BH113" s="2">
        <f ca="1">AJ113-AVERAGE(AJ$92:AJ$121)+Sheet2!K$19</f>
        <v>23.915483844615402</v>
      </c>
      <c r="BI113" s="2">
        <f ca="1">AK113-AVERAGE(AK$92:AK$121)+Sheet2!L$19</f>
        <v>21.953505650113321</v>
      </c>
      <c r="BJ113" s="2">
        <f ca="1">AL113-AVERAGE(AL$92:AL$121)+Sheet2!M$19</f>
        <v>17.302286092712112</v>
      </c>
      <c r="BK113" s="2">
        <f ca="1">AM113-AVERAGE(AM$92:AM$121)+Sheet2!N$19</f>
        <v>3.9099464913395083</v>
      </c>
      <c r="BL113" s="2">
        <f ca="1">AN113-AVERAGE(AN$92:AN$121)+Sheet2!O$19</f>
        <v>4.5352035433759861</v>
      </c>
      <c r="BM113" s="2">
        <f ca="1">AO113-AVERAGE(AO$92:AO$121)+Sheet2!P$19</f>
        <v>23.229680497192149</v>
      </c>
      <c r="BN113" s="2">
        <f ca="1">AP113-AVERAGE(AP$92:AP$121)+Sheet2!Q$19</f>
        <v>11.4245697981072</v>
      </c>
      <c r="BO113" s="2">
        <f ca="1">AQ113-AVERAGE(AQ$92:AQ$121)+Sheet2!R$19</f>
        <v>8.1790173414648777</v>
      </c>
      <c r="BP113" s="2">
        <f ca="1">AR113-AVERAGE(AR$92:AR$121)+Sheet2!S$19</f>
        <v>2.7790289359697229</v>
      </c>
      <c r="BQ113" s="2">
        <f ca="1">AS113-AVERAGE(AS$92:AS$121)+Sheet2!T$19</f>
        <v>27.10934273217671</v>
      </c>
      <c r="BR113" s="2">
        <f ca="1">AT113-AVERAGE(AT$92:AT$121)+Sheet2!U$19</f>
        <v>14.5903293941168</v>
      </c>
      <c r="BS113" s="2">
        <f ca="1">AU113-AVERAGE(AU$92:AU$121)+Sheet2!V$19</f>
        <v>22.954967198947301</v>
      </c>
      <c r="BT113" s="2">
        <f ca="1">AV113-AVERAGE(AV$92:AV$121)+Sheet2!W$19</f>
        <v>23.268462323788178</v>
      </c>
      <c r="BU113" s="2">
        <f ca="1">AW113-AVERAGE(AW$92:AW$121)+Sheet2!X$19</f>
        <v>23.12014236961015</v>
      </c>
      <c r="BV113" s="2">
        <f ca="1">AX113-AVERAGE(AX$92:AX$121)+Sheet2!Y$19</f>
        <v>20.134431423768699</v>
      </c>
      <c r="BW113" s="2">
        <f ca="1">AY113-AVERAGE(AY$92:AY$121)+Sheet2!Z$19</f>
        <v>8.2063283507582288</v>
      </c>
      <c r="BZ113" s="2">
        <f ca="1">BA113-AVERAGE(AH$92:AH$121)+Sheet2!AB$19</f>
        <v>7.6851258000747622</v>
      </c>
      <c r="CA113" s="2">
        <f ca="1">BB113-AVERAGE(AI$92:AI$121)+Sheet2!AC$19</f>
        <v>20.001509535338737</v>
      </c>
      <c r="CB113" s="2">
        <f ca="1">BC113-AVERAGE(AJ$92:AJ$121)+Sheet2!AD$19</f>
        <v>11.096577462326332</v>
      </c>
      <c r="CC113" s="2">
        <f ca="1">BD113-AVERAGE(AK$92:AK$121)+Sheet2!AE$19</f>
        <v>18.993519685443299</v>
      </c>
    </row>
    <row r="114" spans="2:81" x14ac:dyDescent="0.3">
      <c r="B114">
        <v>113</v>
      </c>
      <c r="C114" s="1">
        <v>4</v>
      </c>
      <c r="D114" s="2">
        <f t="shared" ca="1" si="11"/>
        <v>0.98047634645262194</v>
      </c>
      <c r="E114" s="2">
        <f t="shared" ca="1" si="11"/>
        <v>0.93599618963974385</v>
      </c>
      <c r="F114" s="2">
        <f t="shared" ca="1" si="11"/>
        <v>0.24336696925003121</v>
      </c>
      <c r="G114" s="2">
        <f t="shared" ca="1" si="11"/>
        <v>0.33346983863192714</v>
      </c>
      <c r="H114" s="2">
        <f t="shared" ca="1" si="11"/>
        <v>5.5939232562203123E-2</v>
      </c>
      <c r="I114" s="2">
        <f t="shared" ca="1" si="11"/>
        <v>0.54499969579626051</v>
      </c>
      <c r="J114" s="2">
        <f t="shared" ca="1" si="11"/>
        <v>0.35125501406473358</v>
      </c>
      <c r="K114" s="2">
        <f t="shared" ca="1" si="11"/>
        <v>0.82027134416873271</v>
      </c>
      <c r="L114" s="2">
        <f t="shared" ca="1" si="11"/>
        <v>0.87487464921635771</v>
      </c>
      <c r="M114" s="2">
        <f t="shared" ca="1" si="11"/>
        <v>0.85482343885788414</v>
      </c>
      <c r="N114" s="2">
        <f t="shared" ca="1" si="11"/>
        <v>0.9815210255367024</v>
      </c>
      <c r="O114" s="2">
        <f t="shared" ca="1" si="11"/>
        <v>0.62984338793602179</v>
      </c>
      <c r="P114" s="2">
        <f t="shared" ca="1" si="11"/>
        <v>0.10773469482836051</v>
      </c>
      <c r="Q114" s="2">
        <f t="shared" ca="1" si="12"/>
        <v>0.37099424306357043</v>
      </c>
      <c r="R114" s="2">
        <f t="shared" ca="1" si="12"/>
        <v>0.67622086995441799</v>
      </c>
      <c r="S114" s="2">
        <f t="shared" ca="1" si="12"/>
        <v>0.23017349545617394</v>
      </c>
      <c r="T114" s="2">
        <f t="shared" ca="1" si="12"/>
        <v>0.64128490076900913</v>
      </c>
      <c r="U114" s="2">
        <f t="shared" ca="1" si="12"/>
        <v>2.9490585320653406E-2</v>
      </c>
      <c r="V114" s="2">
        <f t="shared" ca="1" si="12"/>
        <v>0.77168024718648254</v>
      </c>
      <c r="W114" s="2">
        <f t="shared" ca="1" si="12"/>
        <v>0.47176048385771008</v>
      </c>
      <c r="X114" s="2">
        <f t="shared" ca="1" si="12"/>
        <v>0.13784406142645089</v>
      </c>
      <c r="Y114" s="2">
        <f t="shared" ca="1" si="12"/>
        <v>0.23197229716422141</v>
      </c>
      <c r="Z114" s="2">
        <f t="shared" ca="1" si="12"/>
        <v>0.50293397080314162</v>
      </c>
      <c r="AA114" s="2">
        <f t="shared" ca="1" si="12"/>
        <v>0.147639680752219</v>
      </c>
      <c r="AB114" s="2">
        <f ca="1">D114*Sheet2!C$20/_xlfn.STDEV.S(D$92:D$121)</f>
        <v>3.5404712720793299</v>
      </c>
      <c r="AC114" s="2">
        <f ca="1">E114*Sheet2!D$20/_xlfn.STDEV.S(E$92:E$121)</f>
        <v>14.229719116689532</v>
      </c>
      <c r="AD114" s="2">
        <f ca="1">F114*Sheet2!E$20/_xlfn.STDEV.S(F$92:F$121)</f>
        <v>1.2790394355597985</v>
      </c>
      <c r="AE114" s="2">
        <f ca="1">G114*Sheet2!F$20/_xlfn.STDEV.S(G$92:G$121)</f>
        <v>2.5234742288596981</v>
      </c>
      <c r="AF114" s="2">
        <f ca="1">H114*Sheet2!G$20/_xlfn.STDEV.S(H$92:H$121)</f>
        <v>0.57941797021587427</v>
      </c>
      <c r="AG114" s="2">
        <f ca="1">I114*Sheet2!H$20/_xlfn.STDEV.S(I$92:I$121)</f>
        <v>10.48040685359158</v>
      </c>
      <c r="AH114" s="2">
        <f ca="1">J114*Sheet2!I$20/_xlfn.STDEV.S(J$92:J$121)</f>
        <v>0.83158310918673228</v>
      </c>
      <c r="AI114" s="2">
        <f ca="1">K114*Sheet2!J$20/_xlfn.STDEV.S(K$92:K$121)</f>
        <v>5.2763879081551055</v>
      </c>
      <c r="AJ114" s="2">
        <f ca="1">L114*Sheet2!K$20/_xlfn.STDEV.S(L$92:L$121)</f>
        <v>5.0039943434323169</v>
      </c>
      <c r="AK114" s="2">
        <f ca="1">M114*Sheet2!L$20/_xlfn.STDEV.S(M$92:M$121)</f>
        <v>4.2624244622861074</v>
      </c>
      <c r="AL114" s="2">
        <f ca="1">N114*Sheet2!M$20/_xlfn.STDEV.S(N$92:N$121)</f>
        <v>2.7945577542254214</v>
      </c>
      <c r="AM114" s="2">
        <f ca="1">O114*Sheet2!N$20/_xlfn.STDEV.S(O$92:O$121)</f>
        <v>5.1441544328702271</v>
      </c>
      <c r="AN114" s="2">
        <f ca="1">P114*Sheet2!O$20/_xlfn.STDEV.S(P$92:P$121)</f>
        <v>0.52671673570694244</v>
      </c>
      <c r="AO114" s="2">
        <f ca="1">Q114*Sheet2!P$20/_xlfn.STDEV.S(Q$92:Q$121)</f>
        <v>2.2067890207371459</v>
      </c>
      <c r="AP114" s="2">
        <f ca="1">R114*Sheet2!Q$20/_xlfn.STDEV.S(R$92:R$121)</f>
        <v>3.1422791621809041</v>
      </c>
      <c r="AQ114" s="2">
        <f ca="1">S114*Sheet2!R$20/_xlfn.STDEV.S(S$92:S$121)</f>
        <v>0.93969547174926327</v>
      </c>
      <c r="AR114" s="2">
        <f ca="1">T114*Sheet2!S$20/_xlfn.STDEV.S(T$92:T$121)</f>
        <v>2.1259631510090946</v>
      </c>
      <c r="AS114" s="2">
        <f ca="1">U114*Sheet2!T$20/_xlfn.STDEV.S(U$92:U$121)</f>
        <v>0.38963167374351182</v>
      </c>
      <c r="AT114" s="2">
        <f ca="1">V114*Sheet2!U$20/_xlfn.STDEV.S(V$92:V$121)</f>
        <v>5.2094045068533754</v>
      </c>
      <c r="AU114" s="2">
        <f ca="1">W114*Sheet2!V$20/_xlfn.STDEV.S(W$92:W$121)</f>
        <v>3.1760669749531454</v>
      </c>
      <c r="AV114" s="2">
        <f ca="1">X114*Sheet2!W$20/_xlfn.STDEV.S(X$92:X$121)</f>
        <v>0.54355286067005903</v>
      </c>
      <c r="AW114" s="2">
        <f ca="1">Y114*Sheet2!X$20/_xlfn.STDEV.S(Y$92:Y$121)</f>
        <v>1.1694704669111189</v>
      </c>
      <c r="AX114" s="2">
        <f ca="1">Z114*Sheet2!Y$20/_xlfn.STDEV.S(Z$92:Z$121)</f>
        <v>2.0913303803820651</v>
      </c>
      <c r="AY114" s="2">
        <f ca="1">AA114*Sheet2!Z$20/_xlfn.STDEV.S(AA$92:AA$121)</f>
        <v>0.32284333095616963</v>
      </c>
      <c r="AZ114" s="2">
        <f ca="1">AB114-AVERAGE(AB$92:AB$121)+Sheet2!C$19</f>
        <v>5.7191474342492015</v>
      </c>
      <c r="BA114" s="2">
        <f ca="1">AC114-AVERAGE(AC$92:AC$121)+Sheet2!D$19</f>
        <v>16.281803074138811</v>
      </c>
      <c r="BB114" s="2">
        <f ca="1">AD114-AVERAGE(AD$92:AD$121)+Sheet2!E$19</f>
        <v>20.778547001452697</v>
      </c>
      <c r="BC114" s="2">
        <f ca="1">AE114-AVERAGE(AE$92:AE$121)+Sheet2!F$19</f>
        <v>15.303989886442427</v>
      </c>
      <c r="BD114" s="2">
        <f ca="1">AF114-AVERAGE(AF$92:AF$121)+Sheet2!G$19</f>
        <v>13.569690073796641</v>
      </c>
      <c r="BE114" s="2">
        <f ca="1">AG114-AVERAGE(AG$92:AG$121)+Sheet2!H$19</f>
        <v>29.750269274934382</v>
      </c>
      <c r="BF114" s="2">
        <f ca="1">AH114-AVERAGE(AH$92:AH$121)+Sheet2!I$19</f>
        <v>11.615150554907117</v>
      </c>
      <c r="BG114" s="2">
        <f ca="1">AI114-AVERAGE(AI$92:AI$121)+Sheet2!J$19</f>
        <v>26.641365366595249</v>
      </c>
      <c r="BH114" s="2">
        <f ca="1">AJ114-AVERAGE(AJ$92:AJ$121)+Sheet2!K$19</f>
        <v>24.643960734300265</v>
      </c>
      <c r="BI114" s="2">
        <f ca="1">AK114-AVERAGE(AK$92:AK$121)+Sheet2!L$19</f>
        <v>24.633994190291745</v>
      </c>
      <c r="BJ114" s="2">
        <f ca="1">AL114-AVERAGE(AL$92:AL$121)+Sheet2!M$19</f>
        <v>18.858312722468899</v>
      </c>
      <c r="BK114" s="2">
        <f ca="1">AM114-AVERAGE(AM$92:AM$121)+Sheet2!N$19</f>
        <v>7.8980781231903565</v>
      </c>
      <c r="BL114" s="2">
        <f ca="1">AN114-AVERAGE(AN$92:AN$121)+Sheet2!O$19</f>
        <v>2.5747605112773493</v>
      </c>
      <c r="BM114" s="2">
        <f ca="1">AO114-AVERAGE(AO$92:AO$121)+Sheet2!P$19</f>
        <v>24.931947610541457</v>
      </c>
      <c r="BN114" s="2">
        <f ca="1">AP114-AVERAGE(AP$92:AP$121)+Sheet2!Q$19</f>
        <v>11.038593916392966</v>
      </c>
      <c r="BO114" s="2">
        <f ca="1">AQ114-AVERAGE(AQ$92:AQ$121)+Sheet2!R$19</f>
        <v>5.9532475109264809</v>
      </c>
      <c r="BP114" s="2">
        <f ca="1">AR114-AVERAGE(AR$92:AR$121)+Sheet2!S$19</f>
        <v>3.4493927109570612</v>
      </c>
      <c r="BQ114" s="2">
        <f ca="1">AS114-AVERAGE(AS$92:AS$121)+Sheet2!T$19</f>
        <v>19.20981839762846</v>
      </c>
      <c r="BR114" s="2">
        <f ca="1">AT114-AVERAGE(AT$92:AT$121)+Sheet2!U$19</f>
        <v>19.578737993325305</v>
      </c>
      <c r="BS114" s="2">
        <f ca="1">AU114-AVERAGE(AU$92:AU$121)+Sheet2!V$19</f>
        <v>23.891732198166594</v>
      </c>
      <c r="BT114" s="2">
        <f ca="1">AV114-AVERAGE(AV$92:AV$121)+Sheet2!W$19</f>
        <v>22.509639330946676</v>
      </c>
      <c r="BU114" s="2">
        <f ca="1">AW114-AVERAGE(AW$92:AW$121)+Sheet2!X$19</f>
        <v>22.754821018087004</v>
      </c>
      <c r="BV114" s="2">
        <f ca="1">AX114-AVERAGE(AX$92:AX$121)+Sheet2!Y$19</f>
        <v>21.377605503759145</v>
      </c>
      <c r="BW114" s="2">
        <f ca="1">AY114-AVERAGE(AY$92:AY$121)+Sheet2!Z$19</f>
        <v>6.36230393442872</v>
      </c>
      <c r="BZ114" s="2">
        <f ca="1">BA114-AVERAGE(AH$92:AH$121)+Sheet2!AB$19</f>
        <v>15.2062156422472</v>
      </c>
      <c r="CA114" s="2">
        <f ca="1">BB114-AVERAGE(AI$92:AI$121)+Sheet2!AC$19</f>
        <v>17.153916682563121</v>
      </c>
      <c r="CB114" s="2">
        <f ca="1">BC114-AVERAGE(AJ$92:AJ$121)+Sheet2!AD$19</f>
        <v>12.591234856091804</v>
      </c>
      <c r="CC114" s="2">
        <f ca="1">BD114-AVERAGE(AK$92:AK$121)+Sheet2!AE$19</f>
        <v>11.127822658115051</v>
      </c>
    </row>
    <row r="115" spans="2:81" x14ac:dyDescent="0.3">
      <c r="B115">
        <v>114</v>
      </c>
      <c r="C115" s="1">
        <v>4</v>
      </c>
      <c r="D115" s="2">
        <f t="shared" ca="1" si="11"/>
        <v>0.31515214143730352</v>
      </c>
      <c r="E115" s="2">
        <f t="shared" ca="1" si="11"/>
        <v>0.28866336625313649</v>
      </c>
      <c r="F115" s="2">
        <f t="shared" ca="1" si="11"/>
        <v>0.67727644075577242</v>
      </c>
      <c r="G115" s="2">
        <f t="shared" ca="1" si="11"/>
        <v>0.57336882553597146</v>
      </c>
      <c r="H115" s="2">
        <f t="shared" ca="1" si="11"/>
        <v>5.1494305713193356E-3</v>
      </c>
      <c r="I115" s="2">
        <f t="shared" ca="1" si="11"/>
        <v>0.43187741470908847</v>
      </c>
      <c r="J115" s="2">
        <f t="shared" ca="1" si="11"/>
        <v>0.62732697905693346</v>
      </c>
      <c r="K115" s="2">
        <f t="shared" ca="1" si="11"/>
        <v>5.118875777403098E-2</v>
      </c>
      <c r="L115" s="2">
        <f t="shared" ca="1" si="11"/>
        <v>0.886076647989952</v>
      </c>
      <c r="M115" s="2">
        <f t="shared" ca="1" si="11"/>
        <v>0.37533513127717255</v>
      </c>
      <c r="N115" s="2">
        <f t="shared" ca="1" si="11"/>
        <v>0.33404748934264628</v>
      </c>
      <c r="O115" s="2">
        <f t="shared" ca="1" si="11"/>
        <v>0.77283163833067492</v>
      </c>
      <c r="P115" s="2">
        <f t="shared" ca="1" si="11"/>
        <v>0.33615618854061891</v>
      </c>
      <c r="Q115" s="2">
        <f t="shared" ca="1" si="12"/>
        <v>0.32724729050932444</v>
      </c>
      <c r="R115" s="2">
        <f t="shared" ca="1" si="12"/>
        <v>0.24308713299806961</v>
      </c>
      <c r="S115" s="2">
        <f t="shared" ca="1" si="12"/>
        <v>0.73838189666803578</v>
      </c>
      <c r="T115" s="2">
        <f t="shared" ca="1" si="12"/>
        <v>0.64196488131139195</v>
      </c>
      <c r="U115" s="2">
        <f t="shared" ca="1" si="12"/>
        <v>9.2146162055563252E-2</v>
      </c>
      <c r="V115" s="2">
        <f t="shared" ca="1" si="12"/>
        <v>0.22683005268932854</v>
      </c>
      <c r="W115" s="2">
        <f t="shared" ca="1" si="12"/>
        <v>0.10648345849781549</v>
      </c>
      <c r="X115" s="2">
        <f t="shared" ca="1" si="12"/>
        <v>0.55247796265339388</v>
      </c>
      <c r="Y115" s="2">
        <f t="shared" ca="1" si="12"/>
        <v>0.57519632971417733</v>
      </c>
      <c r="Z115" s="2">
        <f t="shared" ca="1" si="12"/>
        <v>8.4755903017927126E-2</v>
      </c>
      <c r="AA115" s="2">
        <f t="shared" ca="1" si="12"/>
        <v>0.15350684146091131</v>
      </c>
      <c r="AB115" s="2">
        <f ca="1">D115*Sheet2!C$20/_xlfn.STDEV.S(D$92:D$121)</f>
        <v>1.1380051208068296</v>
      </c>
      <c r="AC115" s="2">
        <f ca="1">E115*Sheet2!D$20/_xlfn.STDEV.S(E$92:E$121)</f>
        <v>4.388477930280021</v>
      </c>
      <c r="AD115" s="2">
        <f ca="1">F115*Sheet2!E$20/_xlfn.STDEV.S(F$92:F$121)</f>
        <v>3.5594940396871522</v>
      </c>
      <c r="AE115" s="2">
        <f ca="1">G115*Sheet2!F$20/_xlfn.STDEV.S(G$92:G$121)</f>
        <v>4.3388675293917531</v>
      </c>
      <c r="AF115" s="2">
        <f ca="1">H115*Sheet2!G$20/_xlfn.STDEV.S(H$92:H$121)</f>
        <v>5.3337746564249784E-2</v>
      </c>
      <c r="AG115" s="2">
        <f ca="1">I115*Sheet2!H$20/_xlfn.STDEV.S(I$92:I$121)</f>
        <v>8.305052373314739</v>
      </c>
      <c r="AH115" s="2">
        <f ca="1">J115*Sheet2!I$20/_xlfn.STDEV.S(J$92:J$121)</f>
        <v>1.4851731614704986</v>
      </c>
      <c r="AI115" s="2">
        <f ca="1">K115*Sheet2!J$20/_xlfn.STDEV.S(K$92:K$121)</f>
        <v>0.32927121552209054</v>
      </c>
      <c r="AJ115" s="2">
        <f ca="1">L115*Sheet2!K$20/_xlfn.STDEV.S(L$92:L$121)</f>
        <v>5.0680660805073492</v>
      </c>
      <c r="AK115" s="2">
        <f ca="1">M115*Sheet2!L$20/_xlfn.STDEV.S(M$92:M$121)</f>
        <v>1.8715416217981871</v>
      </c>
      <c r="AL115" s="2">
        <f ca="1">N115*Sheet2!M$20/_xlfn.STDEV.S(N$92:N$121)</f>
        <v>0.95109017263443096</v>
      </c>
      <c r="AM115" s="2">
        <f ca="1">O115*Sheet2!N$20/_xlfn.STDEV.S(O$92:O$121)</f>
        <v>6.311990209516865</v>
      </c>
      <c r="AN115" s="2">
        <f ca="1">P115*Sheet2!O$20/_xlfn.STDEV.S(P$92:P$121)</f>
        <v>1.6434732617740939</v>
      </c>
      <c r="AO115" s="2">
        <f ca="1">Q115*Sheet2!P$20/_xlfn.STDEV.S(Q$92:Q$121)</f>
        <v>1.9465685553460519</v>
      </c>
      <c r="AP115" s="2">
        <f ca="1">R115*Sheet2!Q$20/_xlfn.STDEV.S(R$92:R$121)</f>
        <v>1.129583049789074</v>
      </c>
      <c r="AQ115" s="2">
        <f ca="1">S115*Sheet2!R$20/_xlfn.STDEV.S(S$92:S$121)</f>
        <v>3.0144831547414137</v>
      </c>
      <c r="AR115" s="2">
        <f ca="1">T115*Sheet2!S$20/_xlfn.STDEV.S(T$92:T$121)</f>
        <v>2.1282173964696933</v>
      </c>
      <c r="AS115" s="2">
        <f ca="1">U115*Sheet2!T$20/_xlfn.STDEV.S(U$92:U$121)</f>
        <v>1.2174415312674611</v>
      </c>
      <c r="AT115" s="2">
        <f ca="1">V115*Sheet2!U$20/_xlfn.STDEV.S(V$92:V$121)</f>
        <v>1.5312682980778978</v>
      </c>
      <c r="AU115" s="2">
        <f ca="1">W115*Sheet2!V$20/_xlfn.STDEV.S(W$92:W$121)</f>
        <v>0.71688623249697891</v>
      </c>
      <c r="AV115" s="2">
        <f ca="1">X115*Sheet2!W$20/_xlfn.STDEV.S(X$92:X$121)</f>
        <v>2.1785557821629418</v>
      </c>
      <c r="AW115" s="2">
        <f ca="1">Y115*Sheet2!X$20/_xlfn.STDEV.S(Y$92:Y$121)</f>
        <v>2.8998079878486105</v>
      </c>
      <c r="AX115" s="2">
        <f ca="1">Z115*Sheet2!Y$20/_xlfn.STDEV.S(Z$92:Z$121)</f>
        <v>0.35243710941826034</v>
      </c>
      <c r="AY115" s="2">
        <f ca="1">AA115*Sheet2!Z$20/_xlfn.STDEV.S(AA$92:AA$121)</f>
        <v>0.33567303701350215</v>
      </c>
      <c r="AZ115" s="2">
        <f ca="1">AB115-AVERAGE(AB$92:AB$121)+Sheet2!C$19</f>
        <v>3.3166812829767012</v>
      </c>
      <c r="BA115" s="2">
        <f ca="1">AC115-AVERAGE(AC$92:AC$121)+Sheet2!D$19</f>
        <v>6.4405618877292996</v>
      </c>
      <c r="BB115" s="2">
        <f ca="1">AD115-AVERAGE(AD$92:AD$121)+Sheet2!E$19</f>
        <v>23.05900160558005</v>
      </c>
      <c r="BC115" s="2">
        <f ca="1">AE115-AVERAGE(AE$92:AE$121)+Sheet2!F$19</f>
        <v>17.119383186974481</v>
      </c>
      <c r="BD115" s="2">
        <f ca="1">AF115-AVERAGE(AF$92:AF$121)+Sheet2!G$19</f>
        <v>13.043609850145018</v>
      </c>
      <c r="BE115" s="2">
        <f ca="1">AG115-AVERAGE(AG$92:AG$121)+Sheet2!H$19</f>
        <v>27.574914794657538</v>
      </c>
      <c r="BF115" s="2">
        <f ca="1">AH115-AVERAGE(AH$92:AH$121)+Sheet2!I$19</f>
        <v>12.268740607190884</v>
      </c>
      <c r="BG115" s="2">
        <f ca="1">AI115-AVERAGE(AI$92:AI$121)+Sheet2!J$19</f>
        <v>21.694248673962235</v>
      </c>
      <c r="BH115" s="2">
        <f ca="1">AJ115-AVERAGE(AJ$92:AJ$121)+Sheet2!K$19</f>
        <v>24.708032471375297</v>
      </c>
      <c r="BI115" s="2">
        <f ca="1">AK115-AVERAGE(AK$92:AK$121)+Sheet2!L$19</f>
        <v>22.243111349803822</v>
      </c>
      <c r="BJ115" s="2">
        <f ca="1">AL115-AVERAGE(AL$92:AL$121)+Sheet2!M$19</f>
        <v>17.01484514087791</v>
      </c>
      <c r="BK115" s="2">
        <f ca="1">AM115-AVERAGE(AM$92:AM$121)+Sheet2!N$19</f>
        <v>9.0659138998369944</v>
      </c>
      <c r="BL115" s="2">
        <f ca="1">AN115-AVERAGE(AN$92:AN$121)+Sheet2!O$19</f>
        <v>3.691517037344501</v>
      </c>
      <c r="BM115" s="2">
        <f ca="1">AO115-AVERAGE(AO$92:AO$121)+Sheet2!P$19</f>
        <v>24.671727145150363</v>
      </c>
      <c r="BN115" s="2">
        <f ca="1">AP115-AVERAGE(AP$92:AP$121)+Sheet2!Q$19</f>
        <v>9.0258978040011346</v>
      </c>
      <c r="BO115" s="2">
        <f ca="1">AQ115-AVERAGE(AQ$92:AQ$121)+Sheet2!R$19</f>
        <v>8.0280351939186314</v>
      </c>
      <c r="BP115" s="2">
        <f ca="1">AR115-AVERAGE(AR$92:AR$121)+Sheet2!S$19</f>
        <v>3.45164695641766</v>
      </c>
      <c r="BQ115" s="2">
        <f ca="1">AS115-AVERAGE(AS$92:AS$121)+Sheet2!T$19</f>
        <v>20.037628255152409</v>
      </c>
      <c r="BR115" s="2">
        <f ca="1">AT115-AVERAGE(AT$92:AT$121)+Sheet2!U$19</f>
        <v>15.900601784549826</v>
      </c>
      <c r="BS115" s="2">
        <f ca="1">AU115-AVERAGE(AU$92:AU$121)+Sheet2!V$19</f>
        <v>21.432551455710428</v>
      </c>
      <c r="BT115" s="2">
        <f ca="1">AV115-AVERAGE(AV$92:AV$121)+Sheet2!W$19</f>
        <v>24.144642252439557</v>
      </c>
      <c r="BU115" s="2">
        <f ca="1">AW115-AVERAGE(AW$92:AW$121)+Sheet2!X$19</f>
        <v>24.485158539024496</v>
      </c>
      <c r="BV115" s="2">
        <f ca="1">AX115-AVERAGE(AX$92:AX$121)+Sheet2!Y$19</f>
        <v>19.638712232795339</v>
      </c>
      <c r="BW115" s="2">
        <f ca="1">AY115-AVERAGE(AY$92:AY$121)+Sheet2!Z$19</f>
        <v>6.3751336404860535</v>
      </c>
      <c r="BZ115" s="2">
        <f ca="1">BA115-AVERAGE(AH$92:AH$121)+Sheet2!AB$19</f>
        <v>5.3649744558376886</v>
      </c>
      <c r="CA115" s="2">
        <f ca="1">BB115-AVERAGE(AI$92:AI$121)+Sheet2!AC$19</f>
        <v>19.434371286690475</v>
      </c>
      <c r="CB115" s="2">
        <f ca="1">BC115-AVERAGE(AJ$92:AJ$121)+Sheet2!AD$19</f>
        <v>14.406628156623858</v>
      </c>
      <c r="CC115" s="2">
        <f ca="1">BD115-AVERAGE(AK$92:AK$121)+Sheet2!AE$19</f>
        <v>10.601742434463427</v>
      </c>
    </row>
    <row r="116" spans="2:81" x14ac:dyDescent="0.3">
      <c r="B116">
        <v>115</v>
      </c>
      <c r="C116" s="1">
        <v>4</v>
      </c>
      <c r="D116" s="2">
        <f t="shared" ca="1" si="11"/>
        <v>0.51696271611434974</v>
      </c>
      <c r="E116" s="2">
        <f t="shared" ca="1" si="11"/>
        <v>0.44047543855371485</v>
      </c>
      <c r="F116" s="2">
        <f t="shared" ca="1" si="11"/>
        <v>8.4258034928415326E-2</v>
      </c>
      <c r="G116" s="2">
        <f t="shared" ca="1" si="11"/>
        <v>0.28571465482306091</v>
      </c>
      <c r="H116" s="2">
        <f t="shared" ca="1" si="11"/>
        <v>0.25557703717200009</v>
      </c>
      <c r="I116" s="2">
        <f t="shared" ca="1" si="11"/>
        <v>0.43829424900091041</v>
      </c>
      <c r="J116" s="2">
        <f t="shared" ca="1" si="11"/>
        <v>0.42206658629928417</v>
      </c>
      <c r="K116" s="2">
        <f t="shared" ca="1" si="11"/>
        <v>0.25740804714862497</v>
      </c>
      <c r="L116" s="2">
        <f t="shared" ca="1" si="11"/>
        <v>0.36133230867038868</v>
      </c>
      <c r="M116" s="2">
        <f t="shared" ca="1" si="11"/>
        <v>0.60233774917126348</v>
      </c>
      <c r="N116" s="2">
        <f t="shared" ca="1" si="11"/>
        <v>0.89935859818751074</v>
      </c>
      <c r="O116" s="2">
        <f t="shared" ca="1" si="11"/>
        <v>0.76610306868867251</v>
      </c>
      <c r="P116" s="2">
        <f t="shared" ca="1" si="11"/>
        <v>0.71509252635694887</v>
      </c>
      <c r="Q116" s="2">
        <f t="shared" ca="1" si="12"/>
        <v>0.22948486745496666</v>
      </c>
      <c r="R116" s="2">
        <f t="shared" ca="1" si="12"/>
        <v>0.77753989036325599</v>
      </c>
      <c r="S116" s="2">
        <f t="shared" ca="1" si="12"/>
        <v>0.76148291596853734</v>
      </c>
      <c r="T116" s="2">
        <f t="shared" ca="1" si="12"/>
        <v>0.13138720613453403</v>
      </c>
      <c r="U116" s="2">
        <f t="shared" ca="1" si="12"/>
        <v>0.97044483557154149</v>
      </c>
      <c r="V116" s="2">
        <f t="shared" ca="1" si="12"/>
        <v>0.7025623921970553</v>
      </c>
      <c r="W116" s="2">
        <f t="shared" ca="1" si="12"/>
        <v>0.24027758262944543</v>
      </c>
      <c r="X116" s="2">
        <f t="shared" ca="1" si="12"/>
        <v>0.25939092697489974</v>
      </c>
      <c r="Y116" s="2">
        <f t="shared" ca="1" si="12"/>
        <v>0.55181221424891846</v>
      </c>
      <c r="Z116" s="2">
        <f t="shared" ca="1" si="12"/>
        <v>0.33853986986605233</v>
      </c>
      <c r="AA116" s="2">
        <f t="shared" ca="1" si="12"/>
        <v>0.84126583570137625</v>
      </c>
      <c r="AB116" s="2">
        <f ca="1">D116*Sheet2!C$20/_xlfn.STDEV.S(D$92:D$121)</f>
        <v>1.8667371750078214</v>
      </c>
      <c r="AC116" s="2">
        <f ca="1">E116*Sheet2!D$20/_xlfn.STDEV.S(E$92:E$121)</f>
        <v>6.6964394062677064</v>
      </c>
      <c r="AD116" s="2">
        <f ca="1">F116*Sheet2!E$20/_xlfn.STDEV.S(F$92:F$121)</f>
        <v>0.44282652558941832</v>
      </c>
      <c r="AE116" s="2">
        <f ca="1">G116*Sheet2!F$20/_xlfn.STDEV.S(G$92:G$121)</f>
        <v>2.1620952923701955</v>
      </c>
      <c r="AF116" s="2">
        <f ca="1">H116*Sheet2!G$20/_xlfn.STDEV.S(H$92:H$121)</f>
        <v>2.6472642066964229</v>
      </c>
      <c r="AG116" s="2">
        <f ca="1">I116*Sheet2!H$20/_xlfn.STDEV.S(I$92:I$121)</f>
        <v>8.4284488350175586</v>
      </c>
      <c r="AH116" s="2">
        <f ca="1">J116*Sheet2!I$20/_xlfn.STDEV.S(J$92:J$121)</f>
        <v>0.99922685816494983</v>
      </c>
      <c r="AI116" s="2">
        <f ca="1">K116*Sheet2!J$20/_xlfn.STDEV.S(K$92:K$121)</f>
        <v>1.6557749055749542</v>
      </c>
      <c r="AJ116" s="2">
        <f ca="1">L116*Sheet2!K$20/_xlfn.STDEV.S(L$92:L$121)</f>
        <v>2.0667015901141035</v>
      </c>
      <c r="AK116" s="2">
        <f ca="1">M116*Sheet2!L$20/_xlfn.STDEV.S(M$92:M$121)</f>
        <v>3.0034496481007054</v>
      </c>
      <c r="AL116" s="2">
        <f ca="1">N116*Sheet2!M$20/_xlfn.STDEV.S(N$92:N$121)</f>
        <v>2.5606273110857902</v>
      </c>
      <c r="AM116" s="2">
        <f ca="1">O116*Sheet2!N$20/_xlfn.STDEV.S(O$92:O$121)</f>
        <v>6.2570355937921391</v>
      </c>
      <c r="AN116" s="2">
        <f ca="1">P116*Sheet2!O$20/_xlfn.STDEV.S(P$92:P$121)</f>
        <v>3.4960993931549305</v>
      </c>
      <c r="AO116" s="2">
        <f ca="1">Q116*Sheet2!P$20/_xlfn.STDEV.S(Q$92:Q$121)</f>
        <v>1.3650472895294035</v>
      </c>
      <c r="AP116" s="2">
        <f ca="1">R116*Sheet2!Q$20/_xlfn.STDEV.S(R$92:R$121)</f>
        <v>3.6130907870642561</v>
      </c>
      <c r="AQ116" s="2">
        <f ca="1">S116*Sheet2!R$20/_xlfn.STDEV.S(S$92:S$121)</f>
        <v>3.1087942881169193</v>
      </c>
      <c r="AR116" s="2">
        <f ca="1">T116*Sheet2!S$20/_xlfn.STDEV.S(T$92:T$121)</f>
        <v>0.435569835530352</v>
      </c>
      <c r="AS116" s="2">
        <f ca="1">U116*Sheet2!T$20/_xlfn.STDEV.S(U$92:U$121)</f>
        <v>12.821584971888552</v>
      </c>
      <c r="AT116" s="2">
        <f ca="1">V116*Sheet2!U$20/_xlfn.STDEV.S(V$92:V$121)</f>
        <v>4.7428085733709047</v>
      </c>
      <c r="AU116" s="2">
        <f ca="1">W116*Sheet2!V$20/_xlfn.STDEV.S(W$92:W$121)</f>
        <v>1.6176380199769567</v>
      </c>
      <c r="AV116" s="2">
        <f ca="1">X116*Sheet2!W$20/_xlfn.STDEV.S(X$92:X$121)</f>
        <v>1.0228418905394356</v>
      </c>
      <c r="AW116" s="2">
        <f ca="1">Y116*Sheet2!X$20/_xlfn.STDEV.S(Y$92:Y$121)</f>
        <v>2.7819187710508828</v>
      </c>
      <c r="AX116" s="2">
        <f ca="1">Z116*Sheet2!Y$20/_xlfn.STDEV.S(Z$92:Z$121)</f>
        <v>1.40773691164837</v>
      </c>
      <c r="AY116" s="2">
        <f ca="1">AA116*Sheet2!Z$20/_xlfn.STDEV.S(AA$92:AA$121)</f>
        <v>1.8395939576249452</v>
      </c>
      <c r="AZ116" s="2">
        <f ca="1">AB116-AVERAGE(AB$92:AB$121)+Sheet2!C$19</f>
        <v>4.0454133371776928</v>
      </c>
      <c r="BA116" s="2">
        <f ca="1">AC116-AVERAGE(AC$92:AC$121)+Sheet2!D$19</f>
        <v>8.7485233637169841</v>
      </c>
      <c r="BB116" s="2">
        <f ca="1">AD116-AVERAGE(AD$92:AD$121)+Sheet2!E$19</f>
        <v>19.942334091482316</v>
      </c>
      <c r="BC116" s="2">
        <f ca="1">AE116-AVERAGE(AE$92:AE$121)+Sheet2!F$19</f>
        <v>14.942610949952924</v>
      </c>
      <c r="BD116" s="2">
        <f ca="1">AF116-AVERAGE(AF$92:AF$121)+Sheet2!G$19</f>
        <v>15.63753631027719</v>
      </c>
      <c r="BE116" s="2">
        <f ca="1">AG116-AVERAGE(AG$92:AG$121)+Sheet2!H$19</f>
        <v>27.698311256360359</v>
      </c>
      <c r="BF116" s="2">
        <f ca="1">AH116-AVERAGE(AH$92:AH$121)+Sheet2!I$19</f>
        <v>11.782794303885336</v>
      </c>
      <c r="BG116" s="2">
        <f ca="1">AI116-AVERAGE(AI$92:AI$121)+Sheet2!J$19</f>
        <v>23.020752364015095</v>
      </c>
      <c r="BH116" s="2">
        <f ca="1">AJ116-AVERAGE(AJ$92:AJ$121)+Sheet2!K$19</f>
        <v>21.706667980982054</v>
      </c>
      <c r="BI116" s="2">
        <f ca="1">AK116-AVERAGE(AK$92:AK$121)+Sheet2!L$19</f>
        <v>23.375019376106341</v>
      </c>
      <c r="BJ116" s="2">
        <f ca="1">AL116-AVERAGE(AL$92:AL$121)+Sheet2!M$19</f>
        <v>18.624382279329268</v>
      </c>
      <c r="BK116" s="2">
        <f ca="1">AM116-AVERAGE(AM$92:AM$121)+Sheet2!N$19</f>
        <v>9.0109592841122677</v>
      </c>
      <c r="BL116" s="2">
        <f ca="1">AN116-AVERAGE(AN$92:AN$121)+Sheet2!O$19</f>
        <v>5.5441431687253377</v>
      </c>
      <c r="BM116" s="2">
        <f ca="1">AO116-AVERAGE(AO$92:AO$121)+Sheet2!P$19</f>
        <v>24.090205879333716</v>
      </c>
      <c r="BN116" s="2">
        <f ca="1">AP116-AVERAGE(AP$92:AP$121)+Sheet2!Q$19</f>
        <v>11.509405541276317</v>
      </c>
      <c r="BO116" s="2">
        <f ca="1">AQ116-AVERAGE(AQ$92:AQ$121)+Sheet2!R$19</f>
        <v>8.122346327294137</v>
      </c>
      <c r="BP116" s="2">
        <f ca="1">AR116-AVERAGE(AR$92:AR$121)+Sheet2!S$19</f>
        <v>1.7589993954783187</v>
      </c>
      <c r="BQ116" s="2">
        <f ca="1">AS116-AVERAGE(AS$92:AS$121)+Sheet2!T$19</f>
        <v>31.6417716957735</v>
      </c>
      <c r="BR116" s="2">
        <f ca="1">AT116-AVERAGE(AT$92:AT$121)+Sheet2!U$19</f>
        <v>19.112142059842832</v>
      </c>
      <c r="BS116" s="2">
        <f ca="1">AU116-AVERAGE(AU$92:AU$121)+Sheet2!V$19</f>
        <v>22.333303243190407</v>
      </c>
      <c r="BT116" s="2">
        <f ca="1">AV116-AVERAGE(AV$92:AV$121)+Sheet2!W$19</f>
        <v>22.98892836081605</v>
      </c>
      <c r="BU116" s="2">
        <f ca="1">AW116-AVERAGE(AW$92:AW$121)+Sheet2!X$19</f>
        <v>24.367269322226768</v>
      </c>
      <c r="BV116" s="2">
        <f ca="1">AX116-AVERAGE(AX$92:AX$121)+Sheet2!Y$19</f>
        <v>20.694012035025448</v>
      </c>
      <c r="BW116" s="2">
        <f ca="1">AY116-AVERAGE(AY$92:AY$121)+Sheet2!Z$19</f>
        <v>7.8790545610974956</v>
      </c>
      <c r="BZ116" s="2">
        <f ca="1">BA116-AVERAGE(AH$92:AH$121)+Sheet2!AB$19</f>
        <v>7.6729359318253723</v>
      </c>
      <c r="CA116" s="2">
        <f ca="1">BB116-AVERAGE(AI$92:AI$121)+Sheet2!AC$19</f>
        <v>16.31770377259274</v>
      </c>
      <c r="CB116" s="2">
        <f ca="1">BC116-AVERAGE(AJ$92:AJ$121)+Sheet2!AD$19</f>
        <v>12.229855919602301</v>
      </c>
      <c r="CC116" s="2">
        <f ca="1">BD116-AVERAGE(AK$92:AK$121)+Sheet2!AE$19</f>
        <v>13.195668894595599</v>
      </c>
    </row>
    <row r="117" spans="2:81" x14ac:dyDescent="0.3">
      <c r="B117">
        <v>116</v>
      </c>
      <c r="C117" s="1">
        <v>4</v>
      </c>
      <c r="D117" s="2">
        <f t="shared" ca="1" si="11"/>
        <v>0.53879560083956357</v>
      </c>
      <c r="E117" s="2">
        <f t="shared" ca="1" si="11"/>
        <v>0.72243482377871138</v>
      </c>
      <c r="F117" s="2">
        <f t="shared" ca="1" si="11"/>
        <v>0.71893490271699012</v>
      </c>
      <c r="G117" s="2">
        <f t="shared" ca="1" si="11"/>
        <v>0.99194285327833165</v>
      </c>
      <c r="H117" s="2">
        <f t="shared" ca="1" si="11"/>
        <v>0.29501021353557655</v>
      </c>
      <c r="I117" s="2">
        <f t="shared" ca="1" si="11"/>
        <v>0.58351808335494582</v>
      </c>
      <c r="J117" s="2">
        <f t="shared" ca="1" si="11"/>
        <v>0.24670425673628871</v>
      </c>
      <c r="K117" s="2">
        <f t="shared" ca="1" si="11"/>
        <v>0.97877813450153439</v>
      </c>
      <c r="L117" s="2">
        <f t="shared" ca="1" si="11"/>
        <v>0.77382663976535793</v>
      </c>
      <c r="M117" s="2">
        <f t="shared" ca="1" si="11"/>
        <v>0.73595041586202969</v>
      </c>
      <c r="N117" s="2">
        <f t="shared" ca="1" si="11"/>
        <v>0.6581639299818095</v>
      </c>
      <c r="O117" s="2">
        <f t="shared" ca="1" si="11"/>
        <v>5.4196761095622881E-3</v>
      </c>
      <c r="P117" s="2">
        <f t="shared" ca="1" si="11"/>
        <v>0.83059675241216757</v>
      </c>
      <c r="Q117" s="2">
        <f t="shared" ca="1" si="11"/>
        <v>0.9210166571497721</v>
      </c>
      <c r="R117" s="2">
        <f t="shared" ca="1" si="11"/>
        <v>0.53879576400308304</v>
      </c>
      <c r="S117" s="2">
        <f t="shared" ca="1" si="11"/>
        <v>0.47258227933866681</v>
      </c>
      <c r="T117" s="2">
        <f t="shared" ca="1" si="12"/>
        <v>0.45484155145469385</v>
      </c>
      <c r="U117" s="2">
        <f t="shared" ca="1" si="12"/>
        <v>0.30022630463959965</v>
      </c>
      <c r="V117" s="2">
        <f t="shared" ca="1" si="12"/>
        <v>0.66485883818152647</v>
      </c>
      <c r="W117" s="2">
        <f t="shared" ca="1" si="12"/>
        <v>0.15105635768844794</v>
      </c>
      <c r="X117" s="2">
        <f t="shared" ca="1" si="12"/>
        <v>0.1238177286735207</v>
      </c>
      <c r="Y117" s="2">
        <f t="shared" ca="1" si="12"/>
        <v>0.49100819049685873</v>
      </c>
      <c r="Z117" s="2">
        <f t="shared" ca="1" si="12"/>
        <v>0.24520271358955203</v>
      </c>
      <c r="AA117" s="2">
        <f t="shared" ca="1" si="12"/>
        <v>0.55182004070484858</v>
      </c>
      <c r="AB117" s="2">
        <f ca="1">D117*Sheet2!C$20/_xlfn.STDEV.S(D$92:D$121)</f>
        <v>1.9455750801096701</v>
      </c>
      <c r="AC117" s="2">
        <f ca="1">E117*Sheet2!D$20/_xlfn.STDEV.S(E$92:E$121)</f>
        <v>10.982998367165209</v>
      </c>
      <c r="AD117" s="2">
        <f ca="1">F117*Sheet2!E$20/_xlfn.STDEV.S(F$92:F$121)</f>
        <v>3.778434250995875</v>
      </c>
      <c r="AE117" s="2">
        <f ca="1">G117*Sheet2!F$20/_xlfn.STDEV.S(G$92:G$121)</f>
        <v>7.5063527094943989</v>
      </c>
      <c r="AF117" s="2">
        <f ca="1">H117*Sheet2!G$20/_xlfn.STDEV.S(H$92:H$121)</f>
        <v>3.0557126240453965</v>
      </c>
      <c r="AG117" s="2">
        <f ca="1">I117*Sheet2!H$20/_xlfn.STDEV.S(I$92:I$121)</f>
        <v>11.221119877971422</v>
      </c>
      <c r="AH117" s="2">
        <f ca="1">J117*Sheet2!I$20/_xlfn.STDEV.S(J$92:J$121)</f>
        <v>0.58406310131292916</v>
      </c>
      <c r="AI117" s="2">
        <f ca="1">K117*Sheet2!J$20/_xlfn.STDEV.S(K$92:K$121)</f>
        <v>6.2959813851404878</v>
      </c>
      <c r="AJ117" s="2">
        <f ca="1">L117*Sheet2!K$20/_xlfn.STDEV.S(L$92:L$121)</f>
        <v>4.4260330684533082</v>
      </c>
      <c r="AK117" s="2">
        <f ca="1">M117*Sheet2!L$20/_xlfn.STDEV.S(M$92:M$121)</f>
        <v>3.6696853560673945</v>
      </c>
      <c r="AL117" s="2">
        <f ca="1">N117*Sheet2!M$20/_xlfn.STDEV.S(N$92:N$121)</f>
        <v>1.8739049559090331</v>
      </c>
      <c r="AM117" s="2">
        <f ca="1">O117*Sheet2!N$20/_xlfn.STDEV.S(O$92:O$121)</f>
        <v>4.4264417818350853E-2</v>
      </c>
      <c r="AN117" s="2">
        <f ca="1">P117*Sheet2!O$20/_xlfn.STDEV.S(P$92:P$121)</f>
        <v>4.0608014977563007</v>
      </c>
      <c r="AO117" s="2">
        <f ca="1">Q117*Sheet2!P$20/_xlfn.STDEV.S(Q$92:Q$121)</f>
        <v>5.4784932243972175</v>
      </c>
      <c r="AP117" s="2">
        <f ca="1">R117*Sheet2!Q$20/_xlfn.STDEV.S(R$92:R$121)</f>
        <v>2.5036889234317052</v>
      </c>
      <c r="AQ117" s="2">
        <f ca="1">S117*Sheet2!R$20/_xlfn.STDEV.S(S$92:S$121)</f>
        <v>1.9293421557654804</v>
      </c>
      <c r="AR117" s="2">
        <f ca="1">T117*Sheet2!S$20/_xlfn.STDEV.S(T$92:T$121)</f>
        <v>1.50787329747031</v>
      </c>
      <c r="AS117" s="2">
        <f ca="1">U117*Sheet2!T$20/_xlfn.STDEV.S(U$92:U$121)</f>
        <v>3.966610913505086</v>
      </c>
      <c r="AT117" s="2">
        <f ca="1">V117*Sheet2!U$20/_xlfn.STDEV.S(V$92:V$121)</f>
        <v>4.4882820840263857</v>
      </c>
      <c r="AU117" s="2">
        <f ca="1">W117*Sheet2!V$20/_xlfn.STDEV.S(W$92:W$121)</f>
        <v>1.0169675617758893</v>
      </c>
      <c r="AV117" s="2">
        <f ca="1">X117*Sheet2!W$20/_xlfn.STDEV.S(X$92:X$121)</f>
        <v>0.48824359878623613</v>
      </c>
      <c r="AW117" s="2">
        <f ca="1">Y117*Sheet2!X$20/_xlfn.STDEV.S(Y$92:Y$121)</f>
        <v>2.4753799691479306</v>
      </c>
      <c r="AX117" s="2">
        <f ca="1">Z117*Sheet2!Y$20/_xlfn.STDEV.S(Z$92:Z$121)</f>
        <v>1.0196167172065467</v>
      </c>
      <c r="AY117" s="2">
        <f ca="1">AA117*Sheet2!Z$20/_xlfn.STDEV.S(AA$92:AA$121)</f>
        <v>1.2066635414127636</v>
      </c>
      <c r="AZ117" s="2">
        <f ca="1">AB117-AVERAGE(AB$92:AB$121)+Sheet2!C$19</f>
        <v>4.1242512422795414</v>
      </c>
      <c r="BA117" s="2">
        <f ca="1">AC117-AVERAGE(AC$92:AC$121)+Sheet2!D$19</f>
        <v>13.035082324614487</v>
      </c>
      <c r="BB117" s="2">
        <f ca="1">AD117-AVERAGE(AD$92:AD$121)+Sheet2!E$19</f>
        <v>23.277941816888774</v>
      </c>
      <c r="BC117" s="2">
        <f ca="1">AE117-AVERAGE(AE$92:AE$121)+Sheet2!F$19</f>
        <v>20.286868367077126</v>
      </c>
      <c r="BD117" s="2">
        <f ca="1">AF117-AVERAGE(AF$92:AF$121)+Sheet2!G$19</f>
        <v>16.045984727626163</v>
      </c>
      <c r="BE117" s="2">
        <f ca="1">AG117-AVERAGE(AG$92:AG$121)+Sheet2!H$19</f>
        <v>30.490982299314222</v>
      </c>
      <c r="BF117" s="2">
        <f ca="1">AH117-AVERAGE(AH$92:AH$121)+Sheet2!I$19</f>
        <v>11.367630547033315</v>
      </c>
      <c r="BG117" s="2">
        <f ca="1">AI117-AVERAGE(AI$92:AI$121)+Sheet2!J$19</f>
        <v>27.66095884358063</v>
      </c>
      <c r="BH117" s="2">
        <f ca="1">AJ117-AVERAGE(AJ$92:AJ$121)+Sheet2!K$19</f>
        <v>24.065999459321258</v>
      </c>
      <c r="BI117" s="2">
        <f ca="1">AK117-AVERAGE(AK$92:AK$121)+Sheet2!L$19</f>
        <v>24.041255084073029</v>
      </c>
      <c r="BJ117" s="2">
        <f ca="1">AL117-AVERAGE(AL$92:AL$121)+Sheet2!M$19</f>
        <v>17.937659924152513</v>
      </c>
      <c r="BK117" s="2">
        <f ca="1">AM117-AVERAGE(AM$92:AM$121)+Sheet2!N$19</f>
        <v>2.7981881081384801</v>
      </c>
      <c r="BL117" s="2">
        <f ca="1">AN117-AVERAGE(AN$92:AN$121)+Sheet2!O$19</f>
        <v>6.1088452733267076</v>
      </c>
      <c r="BM117" s="2">
        <f ca="1">AO117-AVERAGE(AO$92:AO$121)+Sheet2!P$19</f>
        <v>28.203651814201528</v>
      </c>
      <c r="BN117" s="2">
        <f ca="1">AP117-AVERAGE(AP$92:AP$121)+Sheet2!Q$19</f>
        <v>10.400003677643767</v>
      </c>
      <c r="BO117" s="2">
        <f ca="1">AQ117-AVERAGE(AQ$92:AQ$121)+Sheet2!R$19</f>
        <v>6.9428941949426974</v>
      </c>
      <c r="BP117" s="2">
        <f ca="1">AR117-AVERAGE(AR$92:AR$121)+Sheet2!S$19</f>
        <v>2.8313028574182768</v>
      </c>
      <c r="BQ117" s="2">
        <f ca="1">AS117-AVERAGE(AS$92:AS$121)+Sheet2!T$19</f>
        <v>22.786797637390034</v>
      </c>
      <c r="BR117" s="2">
        <f ca="1">AT117-AVERAGE(AT$92:AT$121)+Sheet2!U$19</f>
        <v>18.857615570498314</v>
      </c>
      <c r="BS117" s="2">
        <f ca="1">AU117-AVERAGE(AU$92:AU$121)+Sheet2!V$19</f>
        <v>21.732632784989338</v>
      </c>
      <c r="BT117" s="2">
        <f ca="1">AV117-AVERAGE(AV$92:AV$121)+Sheet2!W$19</f>
        <v>22.454330069062852</v>
      </c>
      <c r="BU117" s="2">
        <f ca="1">AW117-AVERAGE(AW$92:AW$121)+Sheet2!X$19</f>
        <v>24.060730520323816</v>
      </c>
      <c r="BV117" s="2">
        <f ca="1">AX117-AVERAGE(AX$92:AX$121)+Sheet2!Y$19</f>
        <v>20.305891840583627</v>
      </c>
      <c r="BW117" s="2">
        <f ca="1">AY117-AVERAGE(AY$92:AY$121)+Sheet2!Z$19</f>
        <v>7.2461241448853144</v>
      </c>
      <c r="BZ117" s="2">
        <f ca="1">BA117-AVERAGE(AH$92:AH$121)+Sheet2!AB$19</f>
        <v>11.959494892722876</v>
      </c>
      <c r="CA117" s="2">
        <f ca="1">BB117-AVERAGE(AI$92:AI$121)+Sheet2!AC$19</f>
        <v>19.653311497999198</v>
      </c>
      <c r="CB117" s="2">
        <f ca="1">BC117-AVERAGE(AJ$92:AJ$121)+Sheet2!AD$19</f>
        <v>17.574113336726505</v>
      </c>
      <c r="CC117" s="2">
        <f ca="1">BD117-AVERAGE(AK$92:AK$121)+Sheet2!AE$19</f>
        <v>13.604117311944572</v>
      </c>
    </row>
    <row r="118" spans="2:81" x14ac:dyDescent="0.3">
      <c r="B118">
        <v>117</v>
      </c>
      <c r="C118" s="1">
        <v>4</v>
      </c>
      <c r="D118" s="2">
        <f t="shared" ca="1" si="11"/>
        <v>0.10133326405290788</v>
      </c>
      <c r="E118" s="2">
        <f t="shared" ca="1" si="11"/>
        <v>0.64943690489298611</v>
      </c>
      <c r="F118" s="2">
        <f t="shared" ca="1" si="11"/>
        <v>0.26820554630410043</v>
      </c>
      <c r="G118" s="2">
        <f t="shared" ca="1" si="11"/>
        <v>0.68596585205355987</v>
      </c>
      <c r="H118" s="2">
        <f t="shared" ca="1" si="11"/>
        <v>0.95575415116597418</v>
      </c>
      <c r="I118" s="2">
        <f t="shared" ca="1" si="11"/>
        <v>0.87538399376846343</v>
      </c>
      <c r="J118" s="2">
        <f t="shared" ca="1" si="11"/>
        <v>7.7062498466895502E-2</v>
      </c>
      <c r="K118" s="2">
        <f t="shared" ca="1" si="11"/>
        <v>0.95840196066794547</v>
      </c>
      <c r="L118" s="2">
        <f t="shared" ca="1" si="11"/>
        <v>0.49772205006408554</v>
      </c>
      <c r="M118" s="2">
        <f t="shared" ca="1" si="11"/>
        <v>0.16822323757667113</v>
      </c>
      <c r="N118" s="2">
        <f t="shared" ca="1" si="11"/>
        <v>0.27231935929369577</v>
      </c>
      <c r="O118" s="2">
        <f t="shared" ca="1" si="11"/>
        <v>0.66766597873997713</v>
      </c>
      <c r="P118" s="2">
        <f t="shared" ca="1" si="11"/>
        <v>0.86414091772053425</v>
      </c>
      <c r="Q118" s="2">
        <f t="shared" ca="1" si="11"/>
        <v>0.29045354399352585</v>
      </c>
      <c r="R118" s="2">
        <f t="shared" ca="1" si="11"/>
        <v>0.76893919106060304</v>
      </c>
      <c r="S118" s="2">
        <f t="shared" ca="1" si="11"/>
        <v>0.66090483301960257</v>
      </c>
      <c r="T118" s="2">
        <f t="shared" ca="1" si="12"/>
        <v>0.85247176880418707</v>
      </c>
      <c r="U118" s="2">
        <f t="shared" ca="1" si="12"/>
        <v>0.80855754620360665</v>
      </c>
      <c r="V118" s="2">
        <f t="shared" ca="1" si="12"/>
        <v>3.7430560694312942E-2</v>
      </c>
      <c r="W118" s="2">
        <f t="shared" ca="1" si="12"/>
        <v>0.59785868122705188</v>
      </c>
      <c r="X118" s="2">
        <f t="shared" ca="1" si="12"/>
        <v>0.91809330028418312</v>
      </c>
      <c r="Y118" s="2">
        <f t="shared" ca="1" si="12"/>
        <v>0.45346681879295259</v>
      </c>
      <c r="Z118" s="2">
        <f t="shared" ca="1" si="12"/>
        <v>0.75498728615291988</v>
      </c>
      <c r="AA118" s="2">
        <f t="shared" ca="1" si="12"/>
        <v>0.70890945107602832</v>
      </c>
      <c r="AB118" s="2">
        <f ca="1">D118*Sheet2!C$20/_xlfn.STDEV.S(D$92:D$121)</f>
        <v>0.36591143843844431</v>
      </c>
      <c r="AC118" s="2">
        <f ca="1">E118*Sheet2!D$20/_xlfn.STDEV.S(E$92:E$121)</f>
        <v>9.8732290183748486</v>
      </c>
      <c r="AD118" s="2">
        <f ca="1">F118*Sheet2!E$20/_xlfn.STDEV.S(F$92:F$121)</f>
        <v>1.409581060305537</v>
      </c>
      <c r="AE118" s="2">
        <f ca="1">G118*Sheet2!F$20/_xlfn.STDEV.S(G$92:G$121)</f>
        <v>5.1909256820242193</v>
      </c>
      <c r="AF118" s="2">
        <f ca="1">H118*Sheet2!G$20/_xlfn.STDEV.S(H$92:H$121)</f>
        <v>9.8996912350950286</v>
      </c>
      <c r="AG118" s="2">
        <f ca="1">I118*Sheet2!H$20/_xlfn.STDEV.S(I$92:I$121)</f>
        <v>16.833734915046762</v>
      </c>
      <c r="AH118" s="2">
        <f ca="1">J118*Sheet2!I$20/_xlfn.STDEV.S(J$92:J$121)</f>
        <v>0.18244258305445454</v>
      </c>
      <c r="AI118" s="2">
        <f ca="1">K118*Sheet2!J$20/_xlfn.STDEV.S(K$92:K$121)</f>
        <v>6.1649118335898736</v>
      </c>
      <c r="AJ118" s="2">
        <f ca="1">L118*Sheet2!K$20/_xlfn.STDEV.S(L$92:L$121)</f>
        <v>2.8468059113989619</v>
      </c>
      <c r="AK118" s="2">
        <f ca="1">M118*Sheet2!L$20/_xlfn.STDEV.S(M$92:M$121)</f>
        <v>0.83881514050409589</v>
      </c>
      <c r="AL118" s="2">
        <f ca="1">N118*Sheet2!M$20/_xlfn.STDEV.S(N$92:N$121)</f>
        <v>0.77533965889703638</v>
      </c>
      <c r="AM118" s="2">
        <f ca="1">O118*Sheet2!N$20/_xlfn.STDEV.S(O$92:O$121)</f>
        <v>5.4530649523318795</v>
      </c>
      <c r="AN118" s="2">
        <f ca="1">P118*Sheet2!O$20/_xlfn.STDEV.S(P$92:P$121)</f>
        <v>4.2247994863465648</v>
      </c>
      <c r="AO118" s="2">
        <f ca="1">Q118*Sheet2!P$20/_xlfn.STDEV.S(Q$92:Q$121)</f>
        <v>1.7277079197406178</v>
      </c>
      <c r="AP118" s="2">
        <f ca="1">R118*Sheet2!Q$20/_xlfn.STDEV.S(R$92:R$121)</f>
        <v>3.5731248537431921</v>
      </c>
      <c r="AQ118" s="2">
        <f ca="1">S118*Sheet2!R$20/_xlfn.STDEV.S(S$92:S$121)</f>
        <v>2.6981789437349617</v>
      </c>
      <c r="AR118" s="2">
        <f ca="1">T118*Sheet2!S$20/_xlfn.STDEV.S(T$92:T$121)</f>
        <v>2.826081770489159</v>
      </c>
      <c r="AS118" s="2">
        <f ca="1">U118*Sheet2!T$20/_xlfn.STDEV.S(U$92:U$121)</f>
        <v>10.682718793805142</v>
      </c>
      <c r="AT118" s="2">
        <f ca="1">V118*Sheet2!U$20/_xlfn.STDEV.S(V$92:V$121)</f>
        <v>0.25268358531390728</v>
      </c>
      <c r="AU118" s="2">
        <f ca="1">W118*Sheet2!V$20/_xlfn.STDEV.S(W$92:W$121)</f>
        <v>4.025006922171543</v>
      </c>
      <c r="AV118" s="2">
        <f ca="1">X118*Sheet2!W$20/_xlfn.STDEV.S(X$92:X$121)</f>
        <v>3.6202665139676737</v>
      </c>
      <c r="AW118" s="2">
        <f ca="1">Y118*Sheet2!X$20/_xlfn.STDEV.S(Y$92:Y$121)</f>
        <v>2.2861180355819144</v>
      </c>
      <c r="AX118" s="2">
        <f ca="1">Z118*Sheet2!Y$20/_xlfn.STDEV.S(Z$92:Z$121)</f>
        <v>3.1394336831381642</v>
      </c>
      <c r="AY118" s="2">
        <f ca="1">AA118*Sheet2!Z$20/_xlfn.STDEV.S(AA$92:AA$121)</f>
        <v>1.5501705731523325</v>
      </c>
      <c r="AZ118" s="2">
        <f ca="1">AB118-AVERAGE(AB$92:AB$121)+Sheet2!C$19</f>
        <v>2.5445876006083159</v>
      </c>
      <c r="BA118" s="2">
        <f ca="1">AC118-AVERAGE(AC$92:AC$121)+Sheet2!D$19</f>
        <v>11.925312975824127</v>
      </c>
      <c r="BB118" s="2">
        <f ca="1">AD118-AVERAGE(AD$92:AD$121)+Sheet2!E$19</f>
        <v>20.909088626198436</v>
      </c>
      <c r="BC118" s="2">
        <f ca="1">AE118-AVERAGE(AE$92:AE$121)+Sheet2!F$19</f>
        <v>17.971441339606947</v>
      </c>
      <c r="BD118" s="2">
        <f ca="1">AF118-AVERAGE(AF$92:AF$121)+Sheet2!G$19</f>
        <v>22.889963338675795</v>
      </c>
      <c r="BE118" s="2">
        <f ca="1">AG118-AVERAGE(AG$92:AG$121)+Sheet2!H$19</f>
        <v>36.103597336389562</v>
      </c>
      <c r="BF118" s="2">
        <f ca="1">AH118-AVERAGE(AH$92:AH$121)+Sheet2!I$19</f>
        <v>10.966010028774839</v>
      </c>
      <c r="BG118" s="2">
        <f ca="1">AI118-AVERAGE(AI$92:AI$121)+Sheet2!J$19</f>
        <v>27.529889292030017</v>
      </c>
      <c r="BH118" s="2">
        <f ca="1">AJ118-AVERAGE(AJ$92:AJ$121)+Sheet2!K$19</f>
        <v>22.48677230226691</v>
      </c>
      <c r="BI118" s="2">
        <f ca="1">AK118-AVERAGE(AK$92:AK$121)+Sheet2!L$19</f>
        <v>21.210384868509731</v>
      </c>
      <c r="BJ118" s="2">
        <f ca="1">AL118-AVERAGE(AL$92:AL$121)+Sheet2!M$19</f>
        <v>16.839094627140515</v>
      </c>
      <c r="BK118" s="2">
        <f ca="1">AM118-AVERAGE(AM$92:AM$121)+Sheet2!N$19</f>
        <v>8.2069886426520089</v>
      </c>
      <c r="BL118" s="2">
        <f ca="1">AN118-AVERAGE(AN$92:AN$121)+Sheet2!O$19</f>
        <v>6.2728432619169716</v>
      </c>
      <c r="BM118" s="2">
        <f ca="1">AO118-AVERAGE(AO$92:AO$121)+Sheet2!P$19</f>
        <v>24.452866509544929</v>
      </c>
      <c r="BN118" s="2">
        <f ca="1">AP118-AVERAGE(AP$92:AP$121)+Sheet2!Q$19</f>
        <v>11.469439607955254</v>
      </c>
      <c r="BO118" s="2">
        <f ca="1">AQ118-AVERAGE(AQ$92:AQ$121)+Sheet2!R$19</f>
        <v>7.7117309829121794</v>
      </c>
      <c r="BP118" s="2">
        <f ca="1">AR118-AVERAGE(AR$92:AR$121)+Sheet2!S$19</f>
        <v>4.1495113304371252</v>
      </c>
      <c r="BQ118" s="2">
        <f ca="1">AS118-AVERAGE(AS$92:AS$121)+Sheet2!T$19</f>
        <v>29.502905517690088</v>
      </c>
      <c r="BR118" s="2">
        <f ca="1">AT118-AVERAGE(AT$92:AT$121)+Sheet2!U$19</f>
        <v>14.622017071785836</v>
      </c>
      <c r="BS118" s="2">
        <f ca="1">AU118-AVERAGE(AU$92:AU$121)+Sheet2!V$19</f>
        <v>24.740672145384991</v>
      </c>
      <c r="BT118" s="2">
        <f ca="1">AV118-AVERAGE(AV$92:AV$121)+Sheet2!W$19</f>
        <v>25.586352984244289</v>
      </c>
      <c r="BU118" s="2">
        <f ca="1">AW118-AVERAGE(AW$92:AW$121)+Sheet2!X$19</f>
        <v>23.8714685867578</v>
      </c>
      <c r="BV118" s="2">
        <f ca="1">AX118-AVERAGE(AX$92:AX$121)+Sheet2!Y$19</f>
        <v>22.425708806515242</v>
      </c>
      <c r="BW118" s="2">
        <f ca="1">AY118-AVERAGE(AY$92:AY$121)+Sheet2!Z$19</f>
        <v>7.5896311766248834</v>
      </c>
      <c r="BZ118" s="2">
        <f ca="1">BA118-AVERAGE(AH$92:AH$121)+Sheet2!AB$19</f>
        <v>10.849725543932516</v>
      </c>
      <c r="CA118" s="2">
        <f ca="1">BB118-AVERAGE(AI$92:AI$121)+Sheet2!AC$19</f>
        <v>17.28445830730886</v>
      </c>
      <c r="CB118" s="2">
        <f ca="1">BC118-AVERAGE(AJ$92:AJ$121)+Sheet2!AD$19</f>
        <v>15.258686309256325</v>
      </c>
      <c r="CC118" s="2">
        <f ca="1">BD118-AVERAGE(AK$92:AK$121)+Sheet2!AE$19</f>
        <v>20.448095922994206</v>
      </c>
    </row>
    <row r="119" spans="2:81" x14ac:dyDescent="0.3">
      <c r="B119">
        <v>118</v>
      </c>
      <c r="C119" s="1">
        <v>4</v>
      </c>
      <c r="D119" s="2">
        <f t="shared" ca="1" si="11"/>
        <v>0.94370085684334915</v>
      </c>
      <c r="E119" s="2">
        <f t="shared" ca="1" si="11"/>
        <v>0.85172997294434849</v>
      </c>
      <c r="F119" s="2">
        <f t="shared" ca="1" si="11"/>
        <v>0.64635548169970414</v>
      </c>
      <c r="G119" s="2">
        <f t="shared" ca="1" si="11"/>
        <v>0.62302094778813588</v>
      </c>
      <c r="H119" s="2">
        <f t="shared" ca="1" si="11"/>
        <v>0.61470476500730675</v>
      </c>
      <c r="I119" s="2">
        <f t="shared" ca="1" si="11"/>
        <v>0.75852354418705425</v>
      </c>
      <c r="J119" s="2">
        <f t="shared" ca="1" si="11"/>
        <v>0.63756075651195243</v>
      </c>
      <c r="K119" s="2">
        <f t="shared" ca="1" si="11"/>
        <v>0.5926544911477839</v>
      </c>
      <c r="L119" s="2">
        <f t="shared" ca="1" si="11"/>
        <v>0.98945733790828905</v>
      </c>
      <c r="M119" s="2">
        <f t="shared" ca="1" si="11"/>
        <v>9.6320018750172043E-2</v>
      </c>
      <c r="N119" s="2">
        <f t="shared" ca="1" si="11"/>
        <v>0.66624995704662437</v>
      </c>
      <c r="O119" s="2">
        <f t="shared" ca="1" si="11"/>
        <v>0.37235686365641218</v>
      </c>
      <c r="P119" s="2">
        <f t="shared" ca="1" si="11"/>
        <v>0.12769745722314496</v>
      </c>
      <c r="Q119" s="2">
        <f t="shared" ca="1" si="12"/>
        <v>0.86763932413433398</v>
      </c>
      <c r="R119" s="2">
        <f t="shared" ca="1" si="12"/>
        <v>0.91500581834285089</v>
      </c>
      <c r="S119" s="2">
        <f t="shared" ca="1" si="12"/>
        <v>0.91900356540075423</v>
      </c>
      <c r="T119" s="2">
        <f t="shared" ca="1" si="12"/>
        <v>0.59792172227036078</v>
      </c>
      <c r="U119" s="2">
        <f t="shared" ca="1" si="12"/>
        <v>0.67217064334881294</v>
      </c>
      <c r="V119" s="2">
        <f t="shared" ca="1" si="12"/>
        <v>0.55529793328910793</v>
      </c>
      <c r="W119" s="2">
        <f t="shared" ca="1" si="12"/>
        <v>0.51639913451780606</v>
      </c>
      <c r="X119" s="2">
        <f t="shared" ca="1" si="12"/>
        <v>6.169482186664399E-2</v>
      </c>
      <c r="Y119" s="2">
        <f t="shared" ca="1" si="12"/>
        <v>0.51764289526294771</v>
      </c>
      <c r="Z119" s="2">
        <f t="shared" ca="1" si="12"/>
        <v>0.77254377729279711</v>
      </c>
      <c r="AA119" s="2">
        <f t="shared" ca="1" si="12"/>
        <v>5.6234434431587044E-2</v>
      </c>
      <c r="AB119" s="2">
        <f ca="1">D119*Sheet2!C$20/_xlfn.STDEV.S(D$92:D$121)</f>
        <v>3.4076760598854237</v>
      </c>
      <c r="AC119" s="2">
        <f ca="1">E119*Sheet2!D$20/_xlfn.STDEV.S(E$92:E$121)</f>
        <v>12.948640616719265</v>
      </c>
      <c r="AD119" s="2">
        <f ca="1">F119*Sheet2!E$20/_xlfn.STDEV.S(F$92:F$121)</f>
        <v>3.3969858482924145</v>
      </c>
      <c r="AE119" s="2">
        <f ca="1">G119*Sheet2!F$20/_xlfn.STDEV.S(G$92:G$121)</f>
        <v>4.7146012132102326</v>
      </c>
      <c r="AF119" s="2">
        <f ca="1">H119*Sheet2!G$20/_xlfn.STDEV.S(H$92:H$121)</f>
        <v>6.3671053553783716</v>
      </c>
      <c r="AG119" s="2">
        <f ca="1">I119*Sheet2!H$20/_xlfn.STDEV.S(I$92:I$121)</f>
        <v>14.586495024541122</v>
      </c>
      <c r="AH119" s="2">
        <f ca="1">J119*Sheet2!I$20/_xlfn.STDEV.S(J$92:J$121)</f>
        <v>1.5094012468614773</v>
      </c>
      <c r="AI119" s="2">
        <f ca="1">K119*Sheet2!J$20/_xlfn.STDEV.S(K$92:K$121)</f>
        <v>3.8122445859363503</v>
      </c>
      <c r="AJ119" s="2">
        <f ca="1">L119*Sheet2!K$20/_xlfn.STDEV.S(L$92:L$121)</f>
        <v>5.6593695181310801</v>
      </c>
      <c r="AK119" s="2">
        <f ca="1">M119*Sheet2!L$20/_xlfn.STDEV.S(M$92:M$121)</f>
        <v>0.48028257703968463</v>
      </c>
      <c r="AL119" s="2">
        <f ca="1">N119*Sheet2!M$20/_xlfn.STDEV.S(N$92:N$121)</f>
        <v>1.8969272540024429</v>
      </c>
      <c r="AM119" s="2">
        <f ca="1">O119*Sheet2!N$20/_xlfn.STDEV.S(O$92:O$121)</f>
        <v>3.0411706266611729</v>
      </c>
      <c r="AN119" s="2">
        <f ca="1">P119*Sheet2!O$20/_xlfn.STDEV.S(P$92:P$121)</f>
        <v>0.62431501693868385</v>
      </c>
      <c r="AO119" s="2">
        <f ca="1">Q119*Sheet2!P$20/_xlfn.STDEV.S(Q$92:Q$121)</f>
        <v>5.1609882639913618</v>
      </c>
      <c r="AP119" s="2">
        <f ca="1">R119*Sheet2!Q$20/_xlfn.STDEV.S(R$92:R$121)</f>
        <v>4.2518707185816886</v>
      </c>
      <c r="AQ119" s="2">
        <f ca="1">S119*Sheet2!R$20/_xlfn.STDEV.S(S$92:S$121)</f>
        <v>3.7518806725205542</v>
      </c>
      <c r="AR119" s="2">
        <f ca="1">T119*Sheet2!S$20/_xlfn.STDEV.S(T$92:T$121)</f>
        <v>1.9822072018385988</v>
      </c>
      <c r="AS119" s="2">
        <f ca="1">U119*Sheet2!T$20/_xlfn.STDEV.S(U$92:U$121)</f>
        <v>8.8807655040279254</v>
      </c>
      <c r="AT119" s="2">
        <f ca="1">V119*Sheet2!U$20/_xlfn.STDEV.S(V$92:V$121)</f>
        <v>3.7486660658602848</v>
      </c>
      <c r="AU119" s="2">
        <f ca="1">W119*Sheet2!V$20/_xlfn.STDEV.S(W$92:W$121)</f>
        <v>3.4765909675704725</v>
      </c>
      <c r="AV119" s="2">
        <f ca="1">X119*Sheet2!W$20/_xlfn.STDEV.S(X$92:X$121)</f>
        <v>0.24327777756343111</v>
      </c>
      <c r="AW119" s="2">
        <f ca="1">Y119*Sheet2!X$20/_xlfn.STDEV.S(Y$92:Y$121)</f>
        <v>2.6096567815070664</v>
      </c>
      <c r="AX119" s="2">
        <f ca="1">Z119*Sheet2!Y$20/_xlfn.STDEV.S(Z$92:Z$121)</f>
        <v>3.2124381438133915</v>
      </c>
      <c r="AY119" s="2">
        <f ca="1">AA119*Sheet2!Z$20/_xlfn.STDEV.S(AA$92:AA$121)</f>
        <v>0.1229677010532076</v>
      </c>
      <c r="AZ119" s="2">
        <f ca="1">AB119-AVERAGE(AB$92:AB$121)+Sheet2!C$19</f>
        <v>5.5863522220552948</v>
      </c>
      <c r="BA119" s="2">
        <f ca="1">AC119-AVERAGE(AC$92:AC$121)+Sheet2!D$19</f>
        <v>15.000724574168544</v>
      </c>
      <c r="BB119" s="2">
        <f ca="1">AD119-AVERAGE(AD$92:AD$121)+Sheet2!E$19</f>
        <v>22.896493414185311</v>
      </c>
      <c r="BC119" s="2">
        <f ca="1">AE119-AVERAGE(AE$92:AE$121)+Sheet2!F$19</f>
        <v>17.495116870792963</v>
      </c>
      <c r="BD119" s="2">
        <f ca="1">AF119-AVERAGE(AF$92:AF$121)+Sheet2!G$19</f>
        <v>19.357377458959139</v>
      </c>
      <c r="BE119" s="2">
        <f ca="1">AG119-AVERAGE(AG$92:AG$121)+Sheet2!H$19</f>
        <v>33.856357445883923</v>
      </c>
      <c r="BF119" s="2">
        <f ca="1">AH119-AVERAGE(AH$92:AH$121)+Sheet2!I$19</f>
        <v>12.292968692581862</v>
      </c>
      <c r="BG119" s="2">
        <f ca="1">AI119-AVERAGE(AI$92:AI$121)+Sheet2!J$19</f>
        <v>25.177222044376492</v>
      </c>
      <c r="BH119" s="2">
        <f ca="1">AJ119-AVERAGE(AJ$92:AJ$121)+Sheet2!K$19</f>
        <v>25.29933590899903</v>
      </c>
      <c r="BI119" s="2">
        <f ca="1">AK119-AVERAGE(AK$92:AK$121)+Sheet2!L$19</f>
        <v>20.85185230504532</v>
      </c>
      <c r="BJ119" s="2">
        <f ca="1">AL119-AVERAGE(AL$92:AL$121)+Sheet2!M$19</f>
        <v>17.960682222245921</v>
      </c>
      <c r="BK119" s="2">
        <f ca="1">AM119-AVERAGE(AM$92:AM$121)+Sheet2!N$19</f>
        <v>5.7950943169813023</v>
      </c>
      <c r="BL119" s="2">
        <f ca="1">AN119-AVERAGE(AN$92:AN$121)+Sheet2!O$19</f>
        <v>2.6723587925090908</v>
      </c>
      <c r="BM119" s="2">
        <f ca="1">AO119-AVERAGE(AO$92:AO$121)+Sheet2!P$19</f>
        <v>27.886146853795672</v>
      </c>
      <c r="BN119" s="2">
        <f ca="1">AP119-AVERAGE(AP$92:AP$121)+Sheet2!Q$19</f>
        <v>12.148185472793749</v>
      </c>
      <c r="BO119" s="2">
        <f ca="1">AQ119-AVERAGE(AQ$92:AQ$121)+Sheet2!R$19</f>
        <v>8.7654327116977715</v>
      </c>
      <c r="BP119" s="2">
        <f ca="1">AR119-AVERAGE(AR$92:AR$121)+Sheet2!S$19</f>
        <v>3.3056367617865652</v>
      </c>
      <c r="BQ119" s="2">
        <f ca="1">AS119-AVERAGE(AS$92:AS$121)+Sheet2!T$19</f>
        <v>27.700952227912872</v>
      </c>
      <c r="BR119" s="2">
        <f ca="1">AT119-AVERAGE(AT$92:AT$121)+Sheet2!U$19</f>
        <v>18.117999552332215</v>
      </c>
      <c r="BS119" s="2">
        <f ca="1">AU119-AVERAGE(AU$92:AU$121)+Sheet2!V$19</f>
        <v>24.192256190783922</v>
      </c>
      <c r="BT119" s="2">
        <f ca="1">AV119-AVERAGE(AV$92:AV$121)+Sheet2!W$19</f>
        <v>22.209364247840046</v>
      </c>
      <c r="BU119" s="2">
        <f ca="1">AW119-AVERAGE(AW$92:AW$121)+Sheet2!X$19</f>
        <v>24.195007332682952</v>
      </c>
      <c r="BV119" s="2">
        <f ca="1">AX119-AVERAGE(AX$92:AX$121)+Sheet2!Y$19</f>
        <v>22.498713267190471</v>
      </c>
      <c r="BW119" s="2">
        <f ca="1">AY119-AVERAGE(AY$92:AY$121)+Sheet2!Z$19</f>
        <v>6.1624283045257586</v>
      </c>
      <c r="BZ119" s="2">
        <f ca="1">BA119-AVERAGE(AH$92:AH$121)+Sheet2!AB$19</f>
        <v>13.925137142276933</v>
      </c>
      <c r="CA119" s="2">
        <f ca="1">BB119-AVERAGE(AI$92:AI$121)+Sheet2!AC$19</f>
        <v>19.271863095295735</v>
      </c>
      <c r="CB119" s="2">
        <f ca="1">BC119-AVERAGE(AJ$92:AJ$121)+Sheet2!AD$19</f>
        <v>14.78236184044234</v>
      </c>
      <c r="CC119" s="2">
        <f ca="1">BD119-AVERAGE(AK$92:AK$121)+Sheet2!AE$19</f>
        <v>16.91551004327755</v>
      </c>
    </row>
    <row r="120" spans="2:81" x14ac:dyDescent="0.3">
      <c r="B120">
        <v>119</v>
      </c>
      <c r="C120" s="1">
        <v>4</v>
      </c>
      <c r="D120" s="2">
        <f t="shared" ca="1" si="11"/>
        <v>0.62966238426387999</v>
      </c>
      <c r="E120" s="2">
        <f t="shared" ca="1" si="11"/>
        <v>0.31384945274333409</v>
      </c>
      <c r="F120" s="2">
        <f t="shared" ca="1" si="11"/>
        <v>0.1621151619643556</v>
      </c>
      <c r="G120" s="2">
        <f t="shared" ca="1" si="11"/>
        <v>0.63941245356177467</v>
      </c>
      <c r="H120" s="2">
        <f t="shared" ca="1" si="11"/>
        <v>0.78382854499989474</v>
      </c>
      <c r="I120" s="2">
        <f t="shared" ca="1" si="11"/>
        <v>0.17840157335836548</v>
      </c>
      <c r="J120" s="2">
        <f t="shared" ca="1" si="11"/>
        <v>0.37949979560757485</v>
      </c>
      <c r="K120" s="2">
        <f t="shared" ca="1" si="11"/>
        <v>0.93444846642217405</v>
      </c>
      <c r="L120" s="2">
        <f t="shared" ca="1" si="11"/>
        <v>0.24255271578146365</v>
      </c>
      <c r="M120" s="2">
        <f t="shared" ca="1" si="11"/>
        <v>0.90655982622365516</v>
      </c>
      <c r="N120" s="2">
        <f t="shared" ca="1" si="11"/>
        <v>0.45301485922174822</v>
      </c>
      <c r="O120" s="2">
        <f t="shared" ca="1" si="11"/>
        <v>0.68756707879712131</v>
      </c>
      <c r="P120" s="2">
        <f t="shared" ca="1" si="11"/>
        <v>0.93503520367957926</v>
      </c>
      <c r="Q120" s="2">
        <f t="shared" ca="1" si="12"/>
        <v>9.2560118736849106E-2</v>
      </c>
      <c r="R120" s="2">
        <f t="shared" ca="1" si="12"/>
        <v>0.75689191674783063</v>
      </c>
      <c r="S120" s="2">
        <f t="shared" ca="1" si="12"/>
        <v>8.0711091435818894E-2</v>
      </c>
      <c r="T120" s="2">
        <f t="shared" ca="1" si="12"/>
        <v>1.20754095555069E-2</v>
      </c>
      <c r="U120" s="2">
        <f t="shared" ca="1" si="12"/>
        <v>0.23612152413101728</v>
      </c>
      <c r="V120" s="2">
        <f t="shared" ca="1" si="12"/>
        <v>9.0388778908854439E-2</v>
      </c>
      <c r="W120" s="2">
        <f t="shared" ca="1" si="12"/>
        <v>9.3250404706939349E-3</v>
      </c>
      <c r="X120" s="2">
        <f t="shared" ca="1" si="12"/>
        <v>0.4706531549425228</v>
      </c>
      <c r="Y120" s="2">
        <f t="shared" ca="1" si="12"/>
        <v>0.79775702869902354</v>
      </c>
      <c r="Z120" s="2">
        <f t="shared" ca="1" si="12"/>
        <v>0.65163742192737506</v>
      </c>
      <c r="AA120" s="2">
        <f t="shared" ca="1" si="12"/>
        <v>7.4590449892241839E-2</v>
      </c>
      <c r="AB120" s="2">
        <f ca="1">D120*Sheet2!C$20/_xlfn.STDEV.S(D$92:D$121)</f>
        <v>2.273692364594913</v>
      </c>
      <c r="AC120" s="2">
        <f ca="1">E120*Sheet2!D$20/_xlfn.STDEV.S(E$92:E$121)</f>
        <v>4.7713757885951296</v>
      </c>
      <c r="AD120" s="2">
        <f ca="1">F120*Sheet2!E$20/_xlfn.STDEV.S(F$92:F$121)</f>
        <v>0.85201243987036301</v>
      </c>
      <c r="AE120" s="2">
        <f ca="1">G120*Sheet2!F$20/_xlfn.STDEV.S(G$92:G$121)</f>
        <v>4.8386410441037198</v>
      </c>
      <c r="AF120" s="2">
        <f ca="1">H120*Sheet2!G$20/_xlfn.STDEV.S(H$92:H$121)</f>
        <v>8.1188876525268903</v>
      </c>
      <c r="AG120" s="2">
        <f ca="1">I120*Sheet2!H$20/_xlfn.STDEV.S(I$92:I$121)</f>
        <v>3.4306827811799367</v>
      </c>
      <c r="AH120" s="2">
        <f ca="1">J120*Sheet2!I$20/_xlfn.STDEV.S(J$92:J$121)</f>
        <v>0.89845157316079338</v>
      </c>
      <c r="AI120" s="2">
        <f ca="1">K120*Sheet2!J$20/_xlfn.STDEV.S(K$92:K$121)</f>
        <v>6.0108312012540779</v>
      </c>
      <c r="AJ120" s="2">
        <f ca="1">L120*Sheet2!K$20/_xlfn.STDEV.S(L$92:L$121)</f>
        <v>1.3873215081060519</v>
      </c>
      <c r="AK120" s="2">
        <f ca="1">M120*Sheet2!L$20/_xlfn.STDEV.S(M$92:M$121)</f>
        <v>4.5203987211492107</v>
      </c>
      <c r="AL120" s="2">
        <f ca="1">N120*Sheet2!M$20/_xlfn.STDEV.S(N$92:N$121)</f>
        <v>1.2898105640938562</v>
      </c>
      <c r="AM120" s="2">
        <f ca="1">O120*Sheet2!N$20/_xlfn.STDEV.S(O$92:O$121)</f>
        <v>5.6156042978879706</v>
      </c>
      <c r="AN120" s="2">
        <f ca="1">P120*Sheet2!O$20/_xlfn.STDEV.S(P$92:P$121)</f>
        <v>4.5714028432327893</v>
      </c>
      <c r="AO120" s="2">
        <f ca="1">Q120*Sheet2!P$20/_xlfn.STDEV.S(Q$92:Q$121)</f>
        <v>0.55057634344909445</v>
      </c>
      <c r="AP120" s="2">
        <f ca="1">R120*Sheet2!Q$20/_xlfn.STDEV.S(R$92:R$121)</f>
        <v>3.5171432939953338</v>
      </c>
      <c r="AQ120" s="2">
        <f ca="1">S120*Sheet2!R$20/_xlfn.STDEV.S(S$92:S$121)</f>
        <v>0.3295073005337435</v>
      </c>
      <c r="AR120" s="2">
        <f ca="1">T120*Sheet2!S$20/_xlfn.STDEV.S(T$92:T$121)</f>
        <v>4.0031935443304308E-2</v>
      </c>
      <c r="AS120" s="2">
        <f ca="1">U120*Sheet2!T$20/_xlfn.STDEV.S(U$92:U$121)</f>
        <v>3.1196540744684982</v>
      </c>
      <c r="AT120" s="2">
        <f ca="1">V120*Sheet2!U$20/_xlfn.STDEV.S(V$92:V$121)</f>
        <v>0.61019018425512428</v>
      </c>
      <c r="AU120" s="2">
        <f ca="1">W120*Sheet2!V$20/_xlfn.STDEV.S(W$92:W$121)</f>
        <v>6.277963944094446E-2</v>
      </c>
      <c r="AV120" s="2">
        <f ca="1">X120*Sheet2!W$20/_xlfn.STDEV.S(X$92:X$121)</f>
        <v>1.8559005451888591</v>
      </c>
      <c r="AW120" s="2">
        <f ca="1">Y120*Sheet2!X$20/_xlfn.STDEV.S(Y$92:Y$121)</f>
        <v>4.0218306075307053</v>
      </c>
      <c r="AX120" s="2">
        <f ca="1">Z120*Sheet2!Y$20/_xlfn.STDEV.S(Z$92:Z$121)</f>
        <v>2.709678042416404</v>
      </c>
      <c r="AY120" s="2">
        <f ca="1">AA120*Sheet2!Z$20/_xlfn.STDEV.S(AA$92:AA$121)</f>
        <v>0.16310675543348926</v>
      </c>
      <c r="AZ120" s="2">
        <f ca="1">AB120-AVERAGE(AB$92:AB$121)+Sheet2!C$19</f>
        <v>4.4523685267647846</v>
      </c>
      <c r="BA120" s="2">
        <f ca="1">AC120-AVERAGE(AC$92:AC$121)+Sheet2!D$19</f>
        <v>6.8234597460444082</v>
      </c>
      <c r="BB120" s="2">
        <f ca="1">AD120-AVERAGE(AD$92:AD$121)+Sheet2!E$19</f>
        <v>20.351520005763263</v>
      </c>
      <c r="BC120" s="2">
        <f ca="1">AE120-AVERAGE(AE$92:AE$121)+Sheet2!F$19</f>
        <v>17.61915670168645</v>
      </c>
      <c r="BD120" s="2">
        <f ca="1">AF120-AVERAGE(AF$92:AF$121)+Sheet2!G$19</f>
        <v>21.109159756107658</v>
      </c>
      <c r="BE120" s="2">
        <f ca="1">AG120-AVERAGE(AG$92:AG$121)+Sheet2!H$19</f>
        <v>22.700545202522736</v>
      </c>
      <c r="BF120" s="2">
        <f ca="1">AH120-AVERAGE(AH$92:AH$121)+Sheet2!I$19</f>
        <v>11.682019018881178</v>
      </c>
      <c r="BG120" s="2">
        <f ca="1">AI120-AVERAGE(AI$92:AI$121)+Sheet2!J$19</f>
        <v>27.375808659694222</v>
      </c>
      <c r="BH120" s="2">
        <f ca="1">AJ120-AVERAGE(AJ$92:AJ$121)+Sheet2!K$19</f>
        <v>21.027287898974002</v>
      </c>
      <c r="BI120" s="2">
        <f ca="1">AK120-AVERAGE(AK$92:AK$121)+Sheet2!L$19</f>
        <v>24.891968449154845</v>
      </c>
      <c r="BJ120" s="2">
        <f ca="1">AL120-AVERAGE(AL$92:AL$121)+Sheet2!M$19</f>
        <v>17.353565532337335</v>
      </c>
      <c r="BK120" s="2">
        <f ca="1">AM120-AVERAGE(AM$92:AM$121)+Sheet2!N$19</f>
        <v>8.3695279882081</v>
      </c>
      <c r="BL120" s="2">
        <f ca="1">AN120-AVERAGE(AN$92:AN$121)+Sheet2!O$19</f>
        <v>6.6194466188031962</v>
      </c>
      <c r="BM120" s="2">
        <f ca="1">AO120-AVERAGE(AO$92:AO$121)+Sheet2!P$19</f>
        <v>23.275734933253407</v>
      </c>
      <c r="BN120" s="2">
        <f ca="1">AP120-AVERAGE(AP$92:AP$121)+Sheet2!Q$19</f>
        <v>11.413458048207396</v>
      </c>
      <c r="BO120" s="2">
        <f ca="1">AQ120-AVERAGE(AQ$92:AQ$121)+Sheet2!R$19</f>
        <v>5.3430593397109609</v>
      </c>
      <c r="BP120" s="2">
        <f ca="1">AR120-AVERAGE(AR$92:AR$121)+Sheet2!S$19</f>
        <v>1.3634614953912709</v>
      </c>
      <c r="BQ120" s="2">
        <f ca="1">AS120-AVERAGE(AS$92:AS$121)+Sheet2!T$19</f>
        <v>21.939840798353444</v>
      </c>
      <c r="BR120" s="2">
        <f ca="1">AT120-AVERAGE(AT$92:AT$121)+Sheet2!U$19</f>
        <v>14.979523670727053</v>
      </c>
      <c r="BS120" s="2">
        <f ca="1">AU120-AVERAGE(AU$92:AU$121)+Sheet2!V$19</f>
        <v>20.778444862654396</v>
      </c>
      <c r="BT120" s="2">
        <f ca="1">AV120-AVERAGE(AV$92:AV$121)+Sheet2!W$19</f>
        <v>23.821987015465474</v>
      </c>
      <c r="BU120" s="2">
        <f ca="1">AW120-AVERAGE(AW$92:AW$121)+Sheet2!X$19</f>
        <v>25.607181158706592</v>
      </c>
      <c r="BV120" s="2">
        <f ca="1">AX120-AVERAGE(AX$92:AX$121)+Sheet2!Y$19</f>
        <v>21.995953165793484</v>
      </c>
      <c r="BW120" s="2">
        <f ca="1">AY120-AVERAGE(AY$92:AY$121)+Sheet2!Z$19</f>
        <v>6.2025673589060402</v>
      </c>
      <c r="BZ120" s="2">
        <f ca="1">BA120-AVERAGE(AH$92:AH$121)+Sheet2!AB$19</f>
        <v>5.7478723141527963</v>
      </c>
      <c r="CA120" s="2">
        <f ca="1">BB120-AVERAGE(AI$92:AI$121)+Sheet2!AC$19</f>
        <v>16.726889686873687</v>
      </c>
      <c r="CB120" s="2">
        <f ca="1">BC120-AVERAGE(AJ$92:AJ$121)+Sheet2!AD$19</f>
        <v>14.906401671335827</v>
      </c>
      <c r="CC120" s="2">
        <f ca="1">BD120-AVERAGE(AK$92:AK$121)+Sheet2!AE$19</f>
        <v>18.667292340426069</v>
      </c>
    </row>
    <row r="121" spans="2:81" x14ac:dyDescent="0.3">
      <c r="B121">
        <v>120</v>
      </c>
      <c r="C121" s="1">
        <v>4</v>
      </c>
      <c r="D121" s="2">
        <f t="shared" ca="1" si="11"/>
        <v>0.45739213086647013</v>
      </c>
      <c r="E121" s="2">
        <f t="shared" ca="1" si="11"/>
        <v>0.2551121538392741</v>
      </c>
      <c r="F121" s="2">
        <f t="shared" ca="1" si="11"/>
        <v>2.9902347459508372E-2</v>
      </c>
      <c r="G121" s="2">
        <f t="shared" ca="1" si="11"/>
        <v>2.8424852576464876E-2</v>
      </c>
      <c r="H121" s="2">
        <f t="shared" ca="1" si="11"/>
        <v>0.18945862290015592</v>
      </c>
      <c r="I121" s="2">
        <f t="shared" ca="1" si="11"/>
        <v>0.54917947610442308</v>
      </c>
      <c r="J121" s="2">
        <f t="shared" ca="1" si="11"/>
        <v>0.10141276234299912</v>
      </c>
      <c r="K121" s="2">
        <f t="shared" ca="1" si="11"/>
        <v>0.55119915770869177</v>
      </c>
      <c r="L121" s="2">
        <f t="shared" ca="1" si="11"/>
        <v>0.26852672843235048</v>
      </c>
      <c r="M121" s="2">
        <f t="shared" ca="1" si="11"/>
        <v>0.66220867965998675</v>
      </c>
      <c r="N121" s="2">
        <f t="shared" ca="1" si="11"/>
        <v>0.38742421071523636</v>
      </c>
      <c r="O121" s="2">
        <f t="shared" ca="1" si="11"/>
        <v>0.80968934251915969</v>
      </c>
      <c r="P121" s="2">
        <f t="shared" ca="1" si="11"/>
        <v>0.88317298787256537</v>
      </c>
      <c r="Q121" s="2">
        <f t="shared" ca="1" si="12"/>
        <v>0.36154577827608392</v>
      </c>
      <c r="R121" s="2">
        <f t="shared" ca="1" si="12"/>
        <v>0.24442468796160755</v>
      </c>
      <c r="S121" s="2">
        <f t="shared" ca="1" si="12"/>
        <v>3.6637986091385355E-2</v>
      </c>
      <c r="T121" s="2">
        <f t="shared" ca="1" si="12"/>
        <v>8.1201159710487358E-2</v>
      </c>
      <c r="U121" s="2">
        <f t="shared" ca="1" si="12"/>
        <v>2.3672899755283416E-2</v>
      </c>
      <c r="V121" s="2">
        <f t="shared" ca="1" si="12"/>
        <v>0.60425876953838142</v>
      </c>
      <c r="W121" s="2">
        <f t="shared" ca="1" si="12"/>
        <v>0.18258789031594747</v>
      </c>
      <c r="X121" s="2">
        <f t="shared" ca="1" si="12"/>
        <v>0.18205961541965354</v>
      </c>
      <c r="Y121" s="2">
        <f t="shared" ca="1" si="12"/>
        <v>0.83152678633406429</v>
      </c>
      <c r="Z121" s="2">
        <f t="shared" ca="1" si="12"/>
        <v>0.47206637079300673</v>
      </c>
      <c r="AA121" s="2">
        <f t="shared" ca="1" si="12"/>
        <v>0.46761456290546188</v>
      </c>
      <c r="AB121" s="2">
        <f ca="1">D121*Sheet2!C$20/_xlfn.STDEV.S(D$92:D$121)</f>
        <v>1.6516295423819671</v>
      </c>
      <c r="AC121" s="2">
        <f ca="1">E121*Sheet2!D$20/_xlfn.STDEV.S(E$92:E$121)</f>
        <v>3.8784071266185172</v>
      </c>
      <c r="AD121" s="2">
        <f ca="1">F121*Sheet2!E$20/_xlfn.STDEV.S(F$92:F$121)</f>
        <v>0.15715477632146935</v>
      </c>
      <c r="AE121" s="2">
        <f ca="1">G121*Sheet2!F$20/_xlfn.STDEV.S(G$92:G$121)</f>
        <v>0.21510006191299896</v>
      </c>
      <c r="AF121" s="2">
        <f ca="1">H121*Sheet2!G$20/_xlfn.STDEV.S(H$92:H$121)</f>
        <v>1.9624103816339462</v>
      </c>
      <c r="AG121" s="2">
        <f ca="1">I121*Sheet2!H$20/_xlfn.STDEV.S(I$92:I$121)</f>
        <v>10.560784509810585</v>
      </c>
      <c r="AH121" s="2">
        <f ca="1">J121*Sheet2!I$20/_xlfn.STDEV.S(J$92:J$121)</f>
        <v>0.24009092210386049</v>
      </c>
      <c r="AI121" s="2">
        <f ca="1">K121*Sheet2!J$20/_xlfn.STDEV.S(K$92:K$121)</f>
        <v>3.5455835332962264</v>
      </c>
      <c r="AJ121" s="2">
        <f ca="1">L121*Sheet2!K$20/_xlfn.STDEV.S(L$92:L$121)</f>
        <v>1.5358842907832013</v>
      </c>
      <c r="AK121" s="2">
        <f ca="1">M121*Sheet2!L$20/_xlfn.STDEV.S(M$92:M$121)</f>
        <v>3.3019853539488362</v>
      </c>
      <c r="AL121" s="2">
        <f ca="1">N121*Sheet2!M$20/_xlfn.STDEV.S(N$92:N$121)</f>
        <v>1.1030628015705635</v>
      </c>
      <c r="AM121" s="2">
        <f ca="1">O121*Sheet2!N$20/_xlfn.STDEV.S(O$92:O$121)</f>
        <v>6.6130201576249688</v>
      </c>
      <c r="AN121" s="2">
        <f ca="1">P121*Sheet2!O$20/_xlfn.STDEV.S(P$92:P$121)</f>
        <v>4.3178475975441142</v>
      </c>
      <c r="AO121" s="2">
        <f ca="1">Q121*Sheet2!P$20/_xlfn.STDEV.S(Q$92:Q$121)</f>
        <v>2.1505866166683743</v>
      </c>
      <c r="AP121" s="2">
        <f ca="1">R121*Sheet2!Q$20/_xlfn.STDEV.S(R$92:R$121)</f>
        <v>1.1357984318882397</v>
      </c>
      <c r="AQ121" s="2">
        <f ca="1">S121*Sheet2!R$20/_xlfn.STDEV.S(S$92:S$121)</f>
        <v>0.1495765164266824</v>
      </c>
      <c r="AR121" s="2">
        <f ca="1">T121*Sheet2!S$20/_xlfn.STDEV.S(T$92:T$121)</f>
        <v>0.26919497583162655</v>
      </c>
      <c r="AS121" s="2">
        <f ca="1">U121*Sheet2!T$20/_xlfn.STDEV.S(U$92:U$121)</f>
        <v>0.31276800557612955</v>
      </c>
      <c r="AT121" s="2">
        <f ca="1">V121*Sheet2!U$20/_xlfn.STDEV.S(V$92:V$121)</f>
        <v>4.0791874209762193</v>
      </c>
      <c r="AU121" s="2">
        <f ca="1">W121*Sheet2!V$20/_xlfn.STDEV.S(W$92:W$121)</f>
        <v>1.2292495626525552</v>
      </c>
      <c r="AV121" s="2">
        <f ca="1">X121*Sheet2!W$20/_xlfn.STDEV.S(X$92:X$121)</f>
        <v>0.71790560833587158</v>
      </c>
      <c r="AW121" s="2">
        <f ca="1">Y121*Sheet2!X$20/_xlfn.STDEV.S(Y$92:Y$121)</f>
        <v>4.1920782393027363</v>
      </c>
      <c r="AX121" s="2">
        <f ca="1">Z121*Sheet2!Y$20/_xlfn.STDEV.S(Z$92:Z$121)</f>
        <v>1.9629748637173445</v>
      </c>
      <c r="AY121" s="2">
        <f ca="1">AA121*Sheet2!Z$20/_xlfn.STDEV.S(AA$92:AA$121)</f>
        <v>1.0225316278309793</v>
      </c>
      <c r="AZ121" s="2">
        <f ca="1">AB121-AVERAGE(AB$92:AB$121)+Sheet2!C$19</f>
        <v>3.8303057045518387</v>
      </c>
      <c r="BA121" s="2">
        <f ca="1">AC121-AVERAGE(AC$92:AC$121)+Sheet2!D$19</f>
        <v>5.9304910840677962</v>
      </c>
      <c r="BB121" s="2">
        <f ca="1">AD121-AVERAGE(AD$92:AD$121)+Sheet2!E$19</f>
        <v>19.656662342214368</v>
      </c>
      <c r="BC121" s="2">
        <f ca="1">AE121-AVERAGE(AE$92:AE$121)+Sheet2!F$19</f>
        <v>12.995615719495728</v>
      </c>
      <c r="BD121" s="2">
        <f ca="1">AF121-AVERAGE(AF$92:AF$121)+Sheet2!G$19</f>
        <v>14.952682485214712</v>
      </c>
      <c r="BE121" s="2">
        <f ca="1">AG121-AVERAGE(AG$92:AG$121)+Sheet2!H$19</f>
        <v>29.830646931153385</v>
      </c>
      <c r="BF121" s="2">
        <f ca="1">AH121-AVERAGE(AH$92:AH$121)+Sheet2!I$19</f>
        <v>11.023658367824245</v>
      </c>
      <c r="BG121" s="2">
        <f ca="1">AI121-AVERAGE(AI$92:AI$121)+Sheet2!J$19</f>
        <v>24.910560991736368</v>
      </c>
      <c r="BH121" s="2">
        <f ca="1">AJ121-AVERAGE(AJ$92:AJ$121)+Sheet2!K$19</f>
        <v>21.175850681651152</v>
      </c>
      <c r="BI121" s="2">
        <f ca="1">AK121-AVERAGE(AK$92:AK$121)+Sheet2!L$19</f>
        <v>23.673555081954472</v>
      </c>
      <c r="BJ121" s="2">
        <f ca="1">AL121-AVERAGE(AL$92:AL$121)+Sheet2!M$19</f>
        <v>17.166817769814042</v>
      </c>
      <c r="BK121" s="2">
        <f ca="1">AM121-AVERAGE(AM$92:AM$121)+Sheet2!N$19</f>
        <v>9.3669438479450982</v>
      </c>
      <c r="BL121" s="2">
        <f ca="1">AN121-AVERAGE(AN$92:AN$121)+Sheet2!O$19</f>
        <v>6.365891373114521</v>
      </c>
      <c r="BM121" s="2">
        <f ca="1">AO121-AVERAGE(AO$92:AO$121)+Sheet2!P$19</f>
        <v>24.875745206472686</v>
      </c>
      <c r="BN121" s="2">
        <f ca="1">AP121-AVERAGE(AP$92:AP$121)+Sheet2!Q$19</f>
        <v>9.0321131861003003</v>
      </c>
      <c r="BO121" s="2">
        <f ca="1">AQ121-AVERAGE(AQ$92:AQ$121)+Sheet2!R$19</f>
        <v>5.1631285556038993</v>
      </c>
      <c r="BP121" s="2">
        <f ca="1">AR121-AVERAGE(AR$92:AR$121)+Sheet2!S$19</f>
        <v>1.5926245357795932</v>
      </c>
      <c r="BQ121" s="2">
        <f ca="1">AS121-AVERAGE(AS$92:AS$121)+Sheet2!T$19</f>
        <v>19.132954729461076</v>
      </c>
      <c r="BR121" s="2">
        <f ca="1">AT121-AVERAGE(AT$92:AT$121)+Sheet2!U$19</f>
        <v>18.448520907448149</v>
      </c>
      <c r="BS121" s="2">
        <f ca="1">AU121-AVERAGE(AU$92:AU$121)+Sheet2!V$19</f>
        <v>21.944914785866004</v>
      </c>
      <c r="BT121" s="2">
        <f ca="1">AV121-AVERAGE(AV$92:AV$121)+Sheet2!W$19</f>
        <v>22.683992078612487</v>
      </c>
      <c r="BU121" s="2">
        <f ca="1">AW121-AVERAGE(AW$92:AW$121)+Sheet2!X$19</f>
        <v>25.777428790478623</v>
      </c>
      <c r="BV121" s="2">
        <f ca="1">AX121-AVERAGE(AX$92:AX$121)+Sheet2!Y$19</f>
        <v>21.249249987094423</v>
      </c>
      <c r="BW121" s="2">
        <f ca="1">AY121-AVERAGE(AY$92:AY$121)+Sheet2!Z$19</f>
        <v>7.0619922313035302</v>
      </c>
      <c r="BZ121" s="2">
        <f ca="1">BA121-AVERAGE(AH$92:AH$121)+Sheet2!AB$19</f>
        <v>4.8549036521761844</v>
      </c>
      <c r="CA121" s="2">
        <f ca="1">BB121-AVERAGE(AI$92:AI$121)+Sheet2!AC$19</f>
        <v>16.032032023324788</v>
      </c>
      <c r="CB121" s="2">
        <f ca="1">BC121-AVERAGE(AJ$92:AJ$121)+Sheet2!AD$19</f>
        <v>10.282860689145105</v>
      </c>
      <c r="CC121" s="2">
        <f ca="1">BD121-AVERAGE(AK$92:AK$121)+Sheet2!AE$19</f>
        <v>12.510815069533122</v>
      </c>
    </row>
    <row r="122" spans="2:81" x14ac:dyDescent="0.3">
      <c r="B122">
        <v>121</v>
      </c>
      <c r="C122" s="1">
        <v>5</v>
      </c>
      <c r="D122" s="2">
        <f t="shared" ca="1" si="11"/>
        <v>0.25541635044821576</v>
      </c>
      <c r="E122" s="2">
        <f t="shared" ca="1" si="11"/>
        <v>0.27795647475896323</v>
      </c>
      <c r="F122" s="2">
        <f t="shared" ca="1" si="11"/>
        <v>0.74264910869315204</v>
      </c>
      <c r="G122" s="2">
        <f t="shared" ca="1" si="11"/>
        <v>0.6897927483970252</v>
      </c>
      <c r="H122" s="2">
        <f t="shared" ca="1" si="11"/>
        <v>0.47157421865945626</v>
      </c>
      <c r="I122" s="2">
        <f t="shared" ca="1" si="11"/>
        <v>0.28742683949353021</v>
      </c>
      <c r="J122" s="2">
        <f t="shared" ca="1" si="11"/>
        <v>0.51507906840573026</v>
      </c>
      <c r="K122" s="2">
        <f t="shared" ca="1" si="11"/>
        <v>0.53660181616460578</v>
      </c>
      <c r="L122" s="2">
        <f t="shared" ca="1" si="11"/>
        <v>5.1826581567578467E-2</v>
      </c>
      <c r="M122" s="2">
        <f t="shared" ca="1" si="11"/>
        <v>0.82627111028351075</v>
      </c>
      <c r="N122" s="2">
        <f t="shared" ca="1" si="11"/>
        <v>0.71992202700023422</v>
      </c>
      <c r="O122" s="2">
        <f t="shared" ca="1" si="11"/>
        <v>0.50653305110094959</v>
      </c>
      <c r="P122" s="2">
        <f t="shared" ca="1" si="11"/>
        <v>0.97330336501206416</v>
      </c>
      <c r="Q122" s="2">
        <f t="shared" ca="1" si="11"/>
        <v>0.90080065639183537</v>
      </c>
      <c r="R122" s="2">
        <f t="shared" ca="1" si="11"/>
        <v>0.18500313909610921</v>
      </c>
      <c r="S122" s="2">
        <f t="shared" ca="1" si="11"/>
        <v>0.56540796328518439</v>
      </c>
      <c r="T122" s="2">
        <f t="shared" ca="1" si="12"/>
        <v>0.43937634948414095</v>
      </c>
      <c r="U122" s="2">
        <f t="shared" ca="1" si="12"/>
        <v>6.260974808002584E-2</v>
      </c>
      <c r="V122" s="2">
        <f t="shared" ca="1" si="12"/>
        <v>0.75366452304246778</v>
      </c>
      <c r="W122" s="2">
        <f t="shared" ca="1" si="12"/>
        <v>0.50018749717145383</v>
      </c>
      <c r="X122" s="2">
        <f t="shared" ca="1" si="12"/>
        <v>0.25355822104474779</v>
      </c>
      <c r="Y122" s="2">
        <f t="shared" ca="1" si="12"/>
        <v>2.4561697397731952E-2</v>
      </c>
      <c r="Z122" s="2">
        <f t="shared" ca="1" si="12"/>
        <v>0.63625742619125658</v>
      </c>
      <c r="AA122" s="2">
        <f t="shared" ca="1" si="12"/>
        <v>0.24380158978810618</v>
      </c>
      <c r="AB122" s="2">
        <f ca="1">D122*Sheet2!C$22/_xlfn.STDEV.S(D$122:D$151)</f>
        <v>0.85320067353849327</v>
      </c>
      <c r="AC122" s="2">
        <f ca="1">E122*Sheet2!D$22/_xlfn.STDEV.S(E$122:E$151)</f>
        <v>1.1490825672587159</v>
      </c>
      <c r="AD122" s="2">
        <f ca="1">F122*Sheet2!E$22/_xlfn.STDEV.S(F$122:F$151)</f>
        <v>6.2471652791879695</v>
      </c>
      <c r="AE122" s="2">
        <f ca="1">G122*Sheet2!F$22/_xlfn.STDEV.S(G$122:G$151)</f>
        <v>8.6944061436336675</v>
      </c>
      <c r="AF122" s="2">
        <f ca="1">H122*Sheet2!G$22/_xlfn.STDEV.S(H$122:H$151)</f>
        <v>14.817401036826405</v>
      </c>
      <c r="AG122" s="2">
        <f ca="1">I122*Sheet2!H$22/_xlfn.STDEV.S(I$122:I$151)</f>
        <v>5.4217170052235062</v>
      </c>
      <c r="AH122" s="2">
        <f ca="1">J122*Sheet2!I$22/_xlfn.STDEV.S(J$122:J$151)</f>
        <v>0.82028916658908479</v>
      </c>
      <c r="AI122" s="2">
        <f ca="1">K122*Sheet2!J$22/_xlfn.STDEV.S(K$122:K$151)</f>
        <v>2.5838656248003193</v>
      </c>
      <c r="AJ122" s="2">
        <f ca="1">L122*Sheet2!K$22/_xlfn.STDEV.S(L$122:L$151)</f>
        <v>0.2100684735812573</v>
      </c>
      <c r="AK122" s="2">
        <f ca="1">M122*Sheet2!L$22/_xlfn.STDEV.S(M$122:M$151)</f>
        <v>5.7395745568241558</v>
      </c>
      <c r="AL122" s="2">
        <f ca="1">N122*Sheet2!M$22/_xlfn.STDEV.S(N$122:N$151)</f>
        <v>4.6817098067589953</v>
      </c>
      <c r="AM122" s="2">
        <f ca="1">O122*Sheet2!N$22/_xlfn.STDEV.S(O$122:O$151)</f>
        <v>0.98651967704822663</v>
      </c>
      <c r="AN122" s="2">
        <f ca="1">P122*Sheet2!O$22/_xlfn.STDEV.S(P$122:P$151)</f>
        <v>3.1049706165275137</v>
      </c>
      <c r="AO122" s="2">
        <f ca="1">Q122*Sheet2!P$22/_xlfn.STDEV.S(Q$122:Q$151)</f>
        <v>5.3665205692675606</v>
      </c>
      <c r="AP122" s="2">
        <f ca="1">R122*Sheet2!Q$22/_xlfn.STDEV.S(R$122:R$151)</f>
        <v>1.4663992622242203</v>
      </c>
      <c r="AQ122" s="2">
        <f ca="1">S122*Sheet2!R$22/_xlfn.STDEV.S(S$122:S$151)</f>
        <v>3.8870152251336463</v>
      </c>
      <c r="AR122" s="2">
        <f ca="1">T122*Sheet2!S$22/_xlfn.STDEV.S(T$122:T$151)</f>
        <v>1.7358668419056271</v>
      </c>
      <c r="AS122" s="2">
        <f ca="1">U122*Sheet2!T$22/_xlfn.STDEV.S(U$122:U$151)</f>
        <v>0.16544987969391009</v>
      </c>
      <c r="AT122" s="2">
        <f ca="1">V122*Sheet2!U$22/_xlfn.STDEV.S(V$122:V$151)</f>
        <v>3.744686488392837</v>
      </c>
      <c r="AU122" s="2">
        <f ca="1">W122*Sheet2!V$22/_xlfn.STDEV.S(W$122:W$151)</f>
        <v>2.4662013806065257</v>
      </c>
      <c r="AV122" s="2">
        <f ca="1">X122*Sheet2!W$22/_xlfn.STDEV.S(X$122:X$151)</f>
        <v>1.0531121228736868</v>
      </c>
      <c r="AW122" s="2">
        <f ca="1">Y122*Sheet2!X$22/_xlfn.STDEV.S(Y$122:Y$151)</f>
        <v>0.10450247564717942</v>
      </c>
      <c r="AX122" s="2">
        <f ca="1">Z122*Sheet2!Y$22/_xlfn.STDEV.S(Z$122:Z$151)</f>
        <v>1.548770765704929</v>
      </c>
      <c r="AY122" s="2">
        <f ca="1">AA122*Sheet2!Z$22/_xlfn.STDEV.S(AA$122:AA$151)</f>
        <v>0.44830896491749694</v>
      </c>
      <c r="AZ122" s="2">
        <f ca="1">AB122-AVERAGE(AB$122:AB$151)+Sheet2!C$21</f>
        <v>4.3331676463912343</v>
      </c>
      <c r="BA122" s="2">
        <f ca="1">AC122-AVERAGE(AC$122:AC$151)+Sheet2!D$21</f>
        <v>6.3373955292834534</v>
      </c>
      <c r="BB122" s="2">
        <f ca="1">AD122-AVERAGE(AD$122:AD$151)+Sheet2!E$21</f>
        <v>24.7180252211697</v>
      </c>
      <c r="BC122" s="2">
        <f ca="1">AE122-AVERAGE(AE$122:AE$151)+Sheet2!F$21</f>
        <v>5.9786106874473033</v>
      </c>
      <c r="BD122" s="2">
        <f ca="1">AF122-AVERAGE(AF$122:AF$151)+Sheet2!G$21</f>
        <v>40.074753083732446</v>
      </c>
      <c r="BE122" s="2">
        <f ca="1">AG122-AVERAGE(AG$122:AG$151)+Sheet2!H$21</f>
        <v>18.399244663007899</v>
      </c>
      <c r="BF122" s="2">
        <f ca="1">AH122-AVERAGE(AH$122:AH$151)+Sheet2!I$21</f>
        <v>9.9842044871478866</v>
      </c>
      <c r="BG122" s="2">
        <f ca="1">AI122-AVERAGE(AI$122:AI$151)+Sheet2!J$21</f>
        <v>28.682745535931243</v>
      </c>
      <c r="BH122" s="2">
        <f ca="1">AJ122-AVERAGE(AJ$122:AJ$151)+Sheet2!K$21</f>
        <v>16.985173347156174</v>
      </c>
      <c r="BI122" s="2">
        <f ca="1">AK122-AVERAGE(AK$122:AK$151)+Sheet2!L$21</f>
        <v>28.52376241567881</v>
      </c>
      <c r="BJ122" s="2">
        <f ca="1">AL122-AVERAGE(AL$122:AL$151)+Sheet2!M$21</f>
        <v>16.837770502574372</v>
      </c>
      <c r="BK122" s="2">
        <f ca="1">AM122-AVERAGE(AM$122:AM$151)+Sheet2!N$21</f>
        <v>7.948943448079528</v>
      </c>
      <c r="BL122" s="2">
        <f ca="1">AN122-AVERAGE(AN$122:AN$151)+Sheet2!O$21</f>
        <v>9.8547015500895245</v>
      </c>
      <c r="BM122" s="2">
        <f ca="1">AO122-AVERAGE(AO$122:AO$151)+Sheet2!P$21</f>
        <v>21.19125048921693</v>
      </c>
      <c r="BN122" s="2">
        <f ca="1">AP122-AVERAGE(AP$122:AP$151)+Sheet2!Q$21</f>
        <v>18.751426101677762</v>
      </c>
      <c r="BO122" s="2">
        <f ca="1">AQ122-AVERAGE(AQ$122:AQ$151)+Sheet2!R$21</f>
        <v>6.7407863127126593</v>
      </c>
      <c r="BP122" s="2">
        <f ca="1">AR122-AVERAGE(AR$122:AR$151)+Sheet2!S$21</f>
        <v>4.9340419369503694</v>
      </c>
      <c r="BQ122" s="2">
        <f ca="1">AS122-AVERAGE(AS$122:AS$151)+Sheet2!T$21</f>
        <v>7.6933504711869443</v>
      </c>
      <c r="BR122" s="2">
        <f ca="1">AT122-AVERAGE(AT$122:AT$151)+Sheet2!U$21</f>
        <v>24.696768765759259</v>
      </c>
      <c r="BS122" s="2">
        <f ca="1">AU122-AVERAGE(AU$122:AU$151)+Sheet2!V$21</f>
        <v>22.247316602613697</v>
      </c>
      <c r="BT122" s="2">
        <f ca="1">AV122-AVERAGE(AV$122:AV$151)+Sheet2!W$21</f>
        <v>31.583802297572237</v>
      </c>
      <c r="BU122" s="2">
        <f ca="1">AW122-AVERAGE(AW$122:AW$151)+Sheet2!X$21</f>
        <v>18.320641364492481</v>
      </c>
      <c r="BV122" s="2">
        <f ca="1">AX122-AVERAGE(AX$122:AX$151)+Sheet2!Y$21</f>
        <v>14.559290077810562</v>
      </c>
      <c r="BW122" s="2">
        <f ca="1">AY122-AVERAGE(AY$122:AY$151)+Sheet2!Z$21</f>
        <v>10.157026336873669</v>
      </c>
      <c r="BZ122" s="2">
        <f ca="1">BA122-AVERAGE(AH$122:AH$151)+Sheet2!AB$21</f>
        <v>5.5559398842435535</v>
      </c>
      <c r="CA122" s="2">
        <f ca="1">BB122-AVERAGE(AI$122:AI$151)+Sheet2!AC$21</f>
        <v>22.097241947596647</v>
      </c>
      <c r="CB122" s="2">
        <f ca="1">BC122-AVERAGE(AJ$122:AJ$151)+Sheet2!AD$21</f>
        <v>4.1915125342984556</v>
      </c>
      <c r="CC122" s="2">
        <f ca="1">BD122-AVERAGE(AK$122:AK$151)+Sheet2!AE$21</f>
        <v>36.713569976988396</v>
      </c>
    </row>
    <row r="123" spans="2:81" x14ac:dyDescent="0.3">
      <c r="B123">
        <v>122</v>
      </c>
      <c r="C123" s="1">
        <v>5</v>
      </c>
      <c r="D123" s="2">
        <f t="shared" ca="1" si="11"/>
        <v>0.57407139982733835</v>
      </c>
      <c r="E123" s="2">
        <f t="shared" ca="1" si="11"/>
        <v>0.70932605485132427</v>
      </c>
      <c r="F123" s="2">
        <f t="shared" ca="1" si="11"/>
        <v>0.28736461763295473</v>
      </c>
      <c r="G123" s="2">
        <f t="shared" ca="1" si="11"/>
        <v>0.68063675977443738</v>
      </c>
      <c r="H123" s="2">
        <f t="shared" ca="1" si="11"/>
        <v>0.38058401974475176</v>
      </c>
      <c r="I123" s="2">
        <f t="shared" ca="1" si="11"/>
        <v>0.5876859273428493</v>
      </c>
      <c r="J123" s="2">
        <f t="shared" ca="1" si="11"/>
        <v>0.6705913854316885</v>
      </c>
      <c r="K123" s="2">
        <f t="shared" ca="1" si="11"/>
        <v>0.44403768173849767</v>
      </c>
      <c r="L123" s="2">
        <f t="shared" ca="1" si="11"/>
        <v>0.21690804610816317</v>
      </c>
      <c r="M123" s="2">
        <f t="shared" ca="1" si="11"/>
        <v>0.59401128643812751</v>
      </c>
      <c r="N123" s="2">
        <f t="shared" ca="1" si="11"/>
        <v>0.76363802122959179</v>
      </c>
      <c r="O123" s="2">
        <f t="shared" ca="1" si="11"/>
        <v>0.91587101048105224</v>
      </c>
      <c r="P123" s="2">
        <f t="shared" ca="1" si="11"/>
        <v>0.65042106292097102</v>
      </c>
      <c r="Q123" s="2">
        <f t="shared" ca="1" si="11"/>
        <v>0.92169421545887065</v>
      </c>
      <c r="R123" s="2">
        <f t="shared" ca="1" si="11"/>
        <v>0.56760524569116422</v>
      </c>
      <c r="S123" s="2">
        <f t="shared" ca="1" si="11"/>
        <v>0.48738281289492502</v>
      </c>
      <c r="T123" s="2">
        <f t="shared" ca="1" si="12"/>
        <v>0.96899436289655938</v>
      </c>
      <c r="U123" s="2">
        <f t="shared" ca="1" si="12"/>
        <v>0.86161531926639678</v>
      </c>
      <c r="V123" s="2">
        <f t="shared" ca="1" si="12"/>
        <v>0.631555155624692</v>
      </c>
      <c r="W123" s="2">
        <f t="shared" ca="1" si="12"/>
        <v>0.10210559433834665</v>
      </c>
      <c r="X123" s="2">
        <f t="shared" ca="1" si="12"/>
        <v>0.65035215079553954</v>
      </c>
      <c r="Y123" s="2">
        <f t="shared" ca="1" si="12"/>
        <v>0.2747820629711677</v>
      </c>
      <c r="Z123" s="2">
        <f t="shared" ca="1" si="12"/>
        <v>0.74864402425040744</v>
      </c>
      <c r="AA123" s="2">
        <f t="shared" ca="1" si="12"/>
        <v>0.83724293681153494</v>
      </c>
      <c r="AB123" s="2">
        <f ca="1">D123*Sheet2!C$22/_xlfn.STDEV.S(D$122:D$151)</f>
        <v>1.9176458520856305</v>
      </c>
      <c r="AC123" s="2">
        <f ca="1">E123*Sheet2!D$22/_xlfn.STDEV.S(E$122:E$151)</f>
        <v>2.932380707586927</v>
      </c>
      <c r="AD123" s="2">
        <f ca="1">F123*Sheet2!E$22/_xlfn.STDEV.S(F$122:F$151)</f>
        <v>2.4173115415203021</v>
      </c>
      <c r="AE123" s="2">
        <f ca="1">G123*Sheet2!F$22/_xlfn.STDEV.S(G$122:G$151)</f>
        <v>8.5790006339117113</v>
      </c>
      <c r="AF123" s="2">
        <f ca="1">H123*Sheet2!G$22/_xlfn.STDEV.S(H$122:H$151)</f>
        <v>11.958384970230528</v>
      </c>
      <c r="AG123" s="2">
        <f ca="1">I123*Sheet2!H$22/_xlfn.STDEV.S(I$122:I$151)</f>
        <v>11.085488020602869</v>
      </c>
      <c r="AH123" s="2">
        <f ca="1">J123*Sheet2!I$22/_xlfn.STDEV.S(J$122:J$151)</f>
        <v>1.067950305921342</v>
      </c>
      <c r="AI123" s="2">
        <f ca="1">K123*Sheet2!J$22/_xlfn.STDEV.S(K$122:K$151)</f>
        <v>2.1381472581676411</v>
      </c>
      <c r="AJ123" s="2">
        <f ca="1">L123*Sheet2!K$22/_xlfn.STDEV.S(L$122:L$151)</f>
        <v>0.87919250653297143</v>
      </c>
      <c r="AK123" s="2">
        <f ca="1">M123*Sheet2!L$22/_xlfn.STDEV.S(M$122:M$151)</f>
        <v>4.1262147782667071</v>
      </c>
      <c r="AL123" s="2">
        <f ca="1">N123*Sheet2!M$22/_xlfn.STDEV.S(N$122:N$151)</f>
        <v>4.9659983702699657</v>
      </c>
      <c r="AM123" s="2">
        <f ca="1">O123*Sheet2!N$22/_xlfn.STDEV.S(O$122:O$151)</f>
        <v>1.7837429788910901</v>
      </c>
      <c r="AN123" s="2">
        <f ca="1">P123*Sheet2!O$22/_xlfn.STDEV.S(P$122:P$151)</f>
        <v>2.0749319907212853</v>
      </c>
      <c r="AO123" s="2">
        <f ca="1">Q123*Sheet2!P$22/_xlfn.STDEV.S(Q$122:Q$151)</f>
        <v>5.4909939626902213</v>
      </c>
      <c r="AP123" s="2">
        <f ca="1">R123*Sheet2!Q$22/_xlfn.STDEV.S(R$122:R$151)</f>
        <v>4.4990367059864953</v>
      </c>
      <c r="AQ123" s="2">
        <f ca="1">S123*Sheet2!R$22/_xlfn.STDEV.S(S$122:S$151)</f>
        <v>3.3506150199647853</v>
      </c>
      <c r="AR123" s="2">
        <f ca="1">T123*Sheet2!S$22/_xlfn.STDEV.S(T$122:T$151)</f>
        <v>3.8282560873393527</v>
      </c>
      <c r="AS123" s="2">
        <f ca="1">U123*Sheet2!T$22/_xlfn.STDEV.S(U$122:U$151)</f>
        <v>2.2768683038437874</v>
      </c>
      <c r="AT123" s="2">
        <f ca="1">V123*Sheet2!U$22/_xlfn.STDEV.S(V$122:V$151)</f>
        <v>3.1379691966864112</v>
      </c>
      <c r="AU123" s="2">
        <f ca="1">W123*Sheet2!V$22/_xlfn.STDEV.S(W$122:W$151)</f>
        <v>0.50343712937423579</v>
      </c>
      <c r="AV123" s="2">
        <f ca="1">X123*Sheet2!W$22/_xlfn.STDEV.S(X$122:X$151)</f>
        <v>2.7011300651888117</v>
      </c>
      <c r="AW123" s="2">
        <f ca="1">Y123*Sheet2!X$22/_xlfn.STDEV.S(Y$122:Y$151)</f>
        <v>1.1691132489311498</v>
      </c>
      <c r="AX123" s="2">
        <f ca="1">Z123*Sheet2!Y$22/_xlfn.STDEV.S(Z$122:Z$151)</f>
        <v>1.8223409754437792</v>
      </c>
      <c r="AY123" s="2">
        <f ca="1">AA123*Sheet2!Z$22/_xlfn.STDEV.S(AA$122:AA$151)</f>
        <v>1.5395449829210901</v>
      </c>
      <c r="AZ123" s="2">
        <f ca="1">AB123-AVERAGE(AB$122:AB$151)+Sheet2!C$21</f>
        <v>5.3976128249383715</v>
      </c>
      <c r="BA123" s="2">
        <f ca="1">AC123-AVERAGE(AC$122:AC$151)+Sheet2!D$21</f>
        <v>8.1206936696116649</v>
      </c>
      <c r="BB123" s="2">
        <f ca="1">AD123-AVERAGE(AD$122:AD$151)+Sheet2!E$21</f>
        <v>20.888171483502035</v>
      </c>
      <c r="BC123" s="2">
        <f ca="1">AE123-AVERAGE(AE$122:AE$151)+Sheet2!F$21</f>
        <v>5.8632051777253471</v>
      </c>
      <c r="BD123" s="2">
        <f ca="1">AF123-AVERAGE(AF$122:AF$151)+Sheet2!G$21</f>
        <v>37.215737017136576</v>
      </c>
      <c r="BE123" s="2">
        <f ca="1">AG123-AVERAGE(AG$122:AG$151)+Sheet2!H$21</f>
        <v>24.063015678387259</v>
      </c>
      <c r="BF123" s="2">
        <f ca="1">AH123-AVERAGE(AH$122:AH$151)+Sheet2!I$21</f>
        <v>10.231865626480145</v>
      </c>
      <c r="BG123" s="2">
        <f ca="1">AI123-AVERAGE(AI$122:AI$151)+Sheet2!J$21</f>
        <v>28.237027169298564</v>
      </c>
      <c r="BH123" s="2">
        <f ca="1">AJ123-AVERAGE(AJ$122:AJ$151)+Sheet2!K$21</f>
        <v>17.654297380107888</v>
      </c>
      <c r="BI123" s="2">
        <f ca="1">AK123-AVERAGE(AK$122:AK$151)+Sheet2!L$21</f>
        <v>26.910402637121358</v>
      </c>
      <c r="BJ123" s="2">
        <f ca="1">AL123-AVERAGE(AL$122:AL$151)+Sheet2!M$21</f>
        <v>17.122059066085342</v>
      </c>
      <c r="BK123" s="2">
        <f ca="1">AM123-AVERAGE(AM$122:AM$151)+Sheet2!N$21</f>
        <v>8.7461667499223914</v>
      </c>
      <c r="BL123" s="2">
        <f ca="1">AN123-AVERAGE(AN$122:AN$151)+Sheet2!O$21</f>
        <v>8.8246629242832952</v>
      </c>
      <c r="BM123" s="2">
        <f ca="1">AO123-AVERAGE(AO$122:AO$151)+Sheet2!P$21</f>
        <v>21.315723882639592</v>
      </c>
      <c r="BN123" s="2">
        <f ca="1">AP123-AVERAGE(AP$122:AP$151)+Sheet2!Q$21</f>
        <v>21.784063545440038</v>
      </c>
      <c r="BO123" s="2">
        <f ca="1">AQ123-AVERAGE(AQ$122:AQ$151)+Sheet2!R$21</f>
        <v>6.2043861075437992</v>
      </c>
      <c r="BP123" s="2">
        <f ca="1">AR123-AVERAGE(AR$122:AR$151)+Sheet2!S$21</f>
        <v>7.026431182384095</v>
      </c>
      <c r="BQ123" s="2">
        <f ca="1">AS123-AVERAGE(AS$122:AS$151)+Sheet2!T$21</f>
        <v>9.8047688953368208</v>
      </c>
      <c r="BR123" s="2">
        <f ca="1">AT123-AVERAGE(AT$122:AT$151)+Sheet2!U$21</f>
        <v>24.090051474052832</v>
      </c>
      <c r="BS123" s="2">
        <f ca="1">AU123-AVERAGE(AU$122:AU$151)+Sheet2!V$21</f>
        <v>20.284552351381407</v>
      </c>
      <c r="BT123" s="2">
        <f ca="1">AV123-AVERAGE(AV$122:AV$151)+Sheet2!W$21</f>
        <v>33.231820239887362</v>
      </c>
      <c r="BU123" s="2">
        <f ca="1">AW123-AVERAGE(AW$122:AW$151)+Sheet2!X$21</f>
        <v>19.385252137776451</v>
      </c>
      <c r="BV123" s="2">
        <f ca="1">AX123-AVERAGE(AX$122:AX$151)+Sheet2!Y$21</f>
        <v>14.832860287549412</v>
      </c>
      <c r="BW123" s="2">
        <f ca="1">AY123-AVERAGE(AY$122:AY$151)+Sheet2!Z$21</f>
        <v>11.248262354877262</v>
      </c>
      <c r="BZ123" s="2">
        <f ca="1">BA123-AVERAGE(AH$122:AH$151)+Sheet2!AB$21</f>
        <v>7.339238024571765</v>
      </c>
      <c r="CA123" s="2">
        <f ca="1">BB123-AVERAGE(AI$122:AI$151)+Sheet2!AC$21</f>
        <v>18.267388209928985</v>
      </c>
      <c r="CB123" s="2">
        <f ca="1">BC123-AVERAGE(AJ$122:AJ$151)+Sheet2!AD$21</f>
        <v>4.0761070245764994</v>
      </c>
      <c r="CC123" s="2">
        <f ca="1">BD123-AVERAGE(AK$122:AK$151)+Sheet2!AE$21</f>
        <v>33.854553910392525</v>
      </c>
    </row>
    <row r="124" spans="2:81" x14ac:dyDescent="0.3">
      <c r="B124">
        <v>123</v>
      </c>
      <c r="C124" s="1">
        <v>5</v>
      </c>
      <c r="D124" s="2">
        <f t="shared" ca="1" si="11"/>
        <v>0.15131358732160671</v>
      </c>
      <c r="E124" s="2">
        <f t="shared" ca="1" si="11"/>
        <v>0.95068655775278832</v>
      </c>
      <c r="F124" s="2">
        <f t="shared" ca="1" si="11"/>
        <v>0.89956601212367071</v>
      </c>
      <c r="G124" s="2">
        <f t="shared" ca="1" si="11"/>
        <v>0.19473348682426783</v>
      </c>
      <c r="H124" s="2">
        <f t="shared" ca="1" si="11"/>
        <v>0.59032430453703377</v>
      </c>
      <c r="I124" s="2">
        <f t="shared" ca="1" si="11"/>
        <v>0.4791165774076489</v>
      </c>
      <c r="J124" s="2">
        <f t="shared" ca="1" si="11"/>
        <v>0.71531250709978855</v>
      </c>
      <c r="K124" s="2">
        <f t="shared" ca="1" si="11"/>
        <v>0.92780485396833878</v>
      </c>
      <c r="L124" s="2">
        <f t="shared" ca="1" si="11"/>
        <v>0.77795033913684042</v>
      </c>
      <c r="M124" s="2">
        <f t="shared" ca="1" si="11"/>
        <v>0.46731704622707371</v>
      </c>
      <c r="N124" s="2">
        <f t="shared" ref="D124:S142" ca="1" si="13">RAND()</f>
        <v>0.56489519797436005</v>
      </c>
      <c r="O124" s="2">
        <f t="shared" ca="1" si="13"/>
        <v>0.39778297584403843</v>
      </c>
      <c r="P124" s="2">
        <f t="shared" ca="1" si="13"/>
        <v>0.35448384865867488</v>
      </c>
      <c r="Q124" s="2">
        <f t="shared" ca="1" si="12"/>
        <v>0.28783415120928924</v>
      </c>
      <c r="R124" s="2">
        <f t="shared" ca="1" si="12"/>
        <v>0.54395644022589551</v>
      </c>
      <c r="S124" s="2">
        <f t="shared" ca="1" si="12"/>
        <v>0.15213871350049457</v>
      </c>
      <c r="T124" s="2">
        <f t="shared" ca="1" si="12"/>
        <v>0.31623225298775115</v>
      </c>
      <c r="U124" s="2">
        <f t="shared" ca="1" si="12"/>
        <v>0.14175320691275117</v>
      </c>
      <c r="V124" s="2">
        <f t="shared" ca="1" si="12"/>
        <v>0.88509465205599958</v>
      </c>
      <c r="W124" s="2">
        <f t="shared" ca="1" si="12"/>
        <v>0.10535167071590701</v>
      </c>
      <c r="X124" s="2">
        <f t="shared" ca="1" si="12"/>
        <v>0.97516911514145088</v>
      </c>
      <c r="Y124" s="2">
        <f t="shared" ca="1" si="12"/>
        <v>0.14934075487739962</v>
      </c>
      <c r="Z124" s="2">
        <f t="shared" ca="1" si="12"/>
        <v>0.73869020951513298</v>
      </c>
      <c r="AA124" s="2">
        <f t="shared" ca="1" si="12"/>
        <v>0.90036569271467193</v>
      </c>
      <c r="AB124" s="2">
        <f ca="1">D124*Sheet2!C$22/_xlfn.STDEV.S(D$122:D$151)</f>
        <v>0.50545258512921609</v>
      </c>
      <c r="AC124" s="2">
        <f ca="1">E124*Sheet2!D$22/_xlfn.STDEV.S(E$122:E$151)</f>
        <v>3.9301741446686638</v>
      </c>
      <c r="AD124" s="2">
        <f ca="1">F124*Sheet2!E$22/_xlfn.STDEV.S(F$122:F$151)</f>
        <v>7.5671504772498741</v>
      </c>
      <c r="AE124" s="2">
        <f ca="1">G124*Sheet2!F$22/_xlfn.STDEV.S(G$122:G$151)</f>
        <v>2.4544937999864627</v>
      </c>
      <c r="AF124" s="2">
        <f ca="1">H124*Sheet2!G$22/_xlfn.STDEV.S(H$122:H$151)</f>
        <v>18.548664485891884</v>
      </c>
      <c r="AG124" s="2">
        <f ca="1">I124*Sheet2!H$22/_xlfn.STDEV.S(I$122:I$151)</f>
        <v>9.0375502155358234</v>
      </c>
      <c r="AH124" s="2">
        <f ca="1">J124*Sheet2!I$22/_xlfn.STDEV.S(J$122:J$151)</f>
        <v>1.1391709279039044</v>
      </c>
      <c r="AI124" s="2">
        <f ca="1">K124*Sheet2!J$22/_xlfn.STDEV.S(K$122:K$151)</f>
        <v>4.4676014811628546</v>
      </c>
      <c r="AJ124" s="2">
        <f ca="1">L124*Sheet2!K$22/_xlfn.STDEV.S(L$122:L$151)</f>
        <v>3.1532629650945587</v>
      </c>
      <c r="AK124" s="2">
        <f ca="1">M124*Sheet2!L$22/_xlfn.STDEV.S(M$122:M$151)</f>
        <v>3.246151287529357</v>
      </c>
      <c r="AL124" s="2">
        <f ca="1">N124*Sheet2!M$22/_xlfn.STDEV.S(N$122:N$151)</f>
        <v>3.6735580923498605</v>
      </c>
      <c r="AM124" s="2">
        <f ca="1">O124*Sheet2!N$22/_xlfn.STDEV.S(O$122:O$151)</f>
        <v>0.77471890928344511</v>
      </c>
      <c r="AN124" s="2">
        <f ca="1">P124*Sheet2!O$22/_xlfn.STDEV.S(P$122:P$151)</f>
        <v>1.1308518738195554</v>
      </c>
      <c r="AO124" s="2">
        <f ca="1">Q124*Sheet2!P$22/_xlfn.STDEV.S(Q$122:Q$151)</f>
        <v>1.7147721663408864</v>
      </c>
      <c r="AP124" s="2">
        <f ca="1">R124*Sheet2!Q$22/_xlfn.STDEV.S(R$122:R$151)</f>
        <v>4.3115880440006107</v>
      </c>
      <c r="AQ124" s="2">
        <f ca="1">S124*Sheet2!R$22/_xlfn.STDEV.S(S$122:S$151)</f>
        <v>1.0459093859815185</v>
      </c>
      <c r="AR124" s="2">
        <f ca="1">T124*Sheet2!S$22/_xlfn.STDEV.S(T$122:T$151)</f>
        <v>1.2493550983047677</v>
      </c>
      <c r="AS124" s="2">
        <f ca="1">U124*Sheet2!T$22/_xlfn.STDEV.S(U$122:U$151)</f>
        <v>0.374591046109364</v>
      </c>
      <c r="AT124" s="2">
        <f ca="1">V124*Sheet2!U$22/_xlfn.STDEV.S(V$122:V$151)</f>
        <v>4.3977152740624632</v>
      </c>
      <c r="AU124" s="2">
        <f ca="1">W124*Sheet2!V$22/_xlfn.STDEV.S(W$122:W$151)</f>
        <v>0.51944208369469413</v>
      </c>
      <c r="AV124" s="2">
        <f ca="1">X124*Sheet2!W$22/_xlfn.STDEV.S(X$122:X$151)</f>
        <v>4.0502035894400379</v>
      </c>
      <c r="AW124" s="2">
        <f ca="1">Y124*Sheet2!X$22/_xlfn.STDEV.S(Y$122:Y$151)</f>
        <v>0.63539902584859453</v>
      </c>
      <c r="AX124" s="2">
        <f ca="1">Z124*Sheet2!Y$22/_xlfn.STDEV.S(Z$122:Z$151)</f>
        <v>1.7981115100817482</v>
      </c>
      <c r="AY124" s="2">
        <f ca="1">AA124*Sheet2!Z$22/_xlfn.STDEV.S(AA$122:AA$151)</f>
        <v>1.6556168157022877</v>
      </c>
      <c r="AZ124" s="2">
        <f ca="1">AB124-AVERAGE(AB$122:AB$151)+Sheet2!C$21</f>
        <v>3.9854195579819569</v>
      </c>
      <c r="BA124" s="2">
        <f ca="1">AC124-AVERAGE(AC$122:AC$151)+Sheet2!D$21</f>
        <v>9.1184871066934008</v>
      </c>
      <c r="BB124" s="2">
        <f ca="1">AD124-AVERAGE(AD$122:AD$151)+Sheet2!E$21</f>
        <v>26.038010419231604</v>
      </c>
      <c r="BC124" s="2">
        <f ca="1">AE124-AVERAGE(AE$122:AE$151)+Sheet2!F$21</f>
        <v>-0.26130165619990109</v>
      </c>
      <c r="BD124" s="2">
        <f ca="1">AF124-AVERAGE(AF$122:AF$151)+Sheet2!G$21</f>
        <v>43.806016532797926</v>
      </c>
      <c r="BE124" s="2">
        <f ca="1">AG124-AVERAGE(AG$122:AG$151)+Sheet2!H$21</f>
        <v>22.015077873320216</v>
      </c>
      <c r="BF124" s="2">
        <f ca="1">AH124-AVERAGE(AH$122:AH$151)+Sheet2!I$21</f>
        <v>10.303086248462707</v>
      </c>
      <c r="BG124" s="2">
        <f ca="1">AI124-AVERAGE(AI$122:AI$151)+Sheet2!J$21</f>
        <v>30.566481392293777</v>
      </c>
      <c r="BH124" s="2">
        <f ca="1">AJ124-AVERAGE(AJ$122:AJ$151)+Sheet2!K$21</f>
        <v>19.928367838669477</v>
      </c>
      <c r="BI124" s="2">
        <f ca="1">AK124-AVERAGE(AK$122:AK$151)+Sheet2!L$21</f>
        <v>26.030339146384009</v>
      </c>
      <c r="BJ124" s="2">
        <f ca="1">AL124-AVERAGE(AL$122:AL$151)+Sheet2!M$21</f>
        <v>15.829618788165238</v>
      </c>
      <c r="BK124" s="2">
        <f ca="1">AM124-AVERAGE(AM$122:AM$151)+Sheet2!N$21</f>
        <v>7.7371426803147472</v>
      </c>
      <c r="BL124" s="2">
        <f ca="1">AN124-AVERAGE(AN$122:AN$151)+Sheet2!O$21</f>
        <v>7.8805828073815656</v>
      </c>
      <c r="BM124" s="2">
        <f ca="1">AO124-AVERAGE(AO$122:AO$151)+Sheet2!P$21</f>
        <v>17.539502086290256</v>
      </c>
      <c r="BN124" s="2">
        <f ca="1">AP124-AVERAGE(AP$122:AP$151)+Sheet2!Q$21</f>
        <v>21.596614883454151</v>
      </c>
      <c r="BO124" s="2">
        <f ca="1">AQ124-AVERAGE(AQ$122:AQ$151)+Sheet2!R$21</f>
        <v>3.8996804735605322</v>
      </c>
      <c r="BP124" s="2">
        <f ca="1">AR124-AVERAGE(AR$122:AR$151)+Sheet2!S$21</f>
        <v>4.4475301933495102</v>
      </c>
      <c r="BQ124" s="2">
        <f ca="1">AS124-AVERAGE(AS$122:AS$151)+Sheet2!T$21</f>
        <v>7.9024916376023988</v>
      </c>
      <c r="BR124" s="2">
        <f ca="1">AT124-AVERAGE(AT$122:AT$151)+Sheet2!U$21</f>
        <v>25.349797551428885</v>
      </c>
      <c r="BS124" s="2">
        <f ca="1">AU124-AVERAGE(AU$122:AU$151)+Sheet2!V$21</f>
        <v>20.300557305701865</v>
      </c>
      <c r="BT124" s="2">
        <f ca="1">AV124-AVERAGE(AV$122:AV$151)+Sheet2!W$21</f>
        <v>34.580893764138587</v>
      </c>
      <c r="BU124" s="2">
        <f ca="1">AW124-AVERAGE(AW$122:AW$151)+Sheet2!X$21</f>
        <v>18.851537914693893</v>
      </c>
      <c r="BV124" s="2">
        <f ca="1">AX124-AVERAGE(AX$122:AX$151)+Sheet2!Y$21</f>
        <v>14.808630822187382</v>
      </c>
      <c r="BW124" s="2">
        <f ca="1">AY124-AVERAGE(AY$122:AY$151)+Sheet2!Z$21</f>
        <v>11.364334187658459</v>
      </c>
      <c r="BZ124" s="2">
        <f ca="1">BA124-AVERAGE(AH$122:AH$151)+Sheet2!AB$21</f>
        <v>8.3370314616535008</v>
      </c>
      <c r="CA124" s="2">
        <f ca="1">BB124-AVERAGE(AI$122:AI$151)+Sheet2!AC$21</f>
        <v>23.417227145658554</v>
      </c>
      <c r="CB124" s="2">
        <f ca="1">BC124-AVERAGE(AJ$122:AJ$151)+Sheet2!AD$21</f>
        <v>-2.0483998093487488</v>
      </c>
      <c r="CC124" s="2">
        <f ca="1">BD124-AVERAGE(AK$122:AK$151)+Sheet2!AE$21</f>
        <v>40.444833426053876</v>
      </c>
    </row>
    <row r="125" spans="2:81" x14ac:dyDescent="0.3">
      <c r="B125">
        <v>124</v>
      </c>
      <c r="C125" s="1">
        <v>5</v>
      </c>
      <c r="D125" s="2">
        <f t="shared" ca="1" si="13"/>
        <v>0.39343314675151553</v>
      </c>
      <c r="E125" s="2">
        <f t="shared" ca="1" si="13"/>
        <v>0.1123874097478772</v>
      </c>
      <c r="F125" s="2">
        <f t="shared" ca="1" si="13"/>
        <v>0.23913222757225516</v>
      </c>
      <c r="G125" s="2">
        <f t="shared" ca="1" si="13"/>
        <v>0.96341201899966</v>
      </c>
      <c r="H125" s="2">
        <f t="shared" ca="1" si="13"/>
        <v>0.24296024005452144</v>
      </c>
      <c r="I125" s="2">
        <f t="shared" ca="1" si="13"/>
        <v>0.19650757733979141</v>
      </c>
      <c r="J125" s="2">
        <f t="shared" ca="1" si="13"/>
        <v>0.28026358694335041</v>
      </c>
      <c r="K125" s="2">
        <f t="shared" ca="1" si="13"/>
        <v>0.41005651283359634</v>
      </c>
      <c r="L125" s="2">
        <f t="shared" ca="1" si="13"/>
        <v>0.9414092051696914</v>
      </c>
      <c r="M125" s="2">
        <f t="shared" ca="1" si="13"/>
        <v>0.11950532592774232</v>
      </c>
      <c r="N125" s="2">
        <f t="shared" ca="1" si="13"/>
        <v>0.92079934187483903</v>
      </c>
      <c r="O125" s="2">
        <f t="shared" ca="1" si="13"/>
        <v>0.34074393838674877</v>
      </c>
      <c r="P125" s="2">
        <f t="shared" ca="1" si="13"/>
        <v>0.55159723097609836</v>
      </c>
      <c r="Q125" s="2">
        <f t="shared" ca="1" si="12"/>
        <v>0.3701636049475423</v>
      </c>
      <c r="R125" s="2">
        <f t="shared" ca="1" si="12"/>
        <v>0.51618184444660609</v>
      </c>
      <c r="S125" s="2">
        <f t="shared" ca="1" si="12"/>
        <v>0.47847510261999171</v>
      </c>
      <c r="T125" s="2">
        <f t="shared" ca="1" si="12"/>
        <v>0.66442694710441896</v>
      </c>
      <c r="U125" s="2">
        <f t="shared" ca="1" si="12"/>
        <v>0.28525485280691232</v>
      </c>
      <c r="V125" s="2">
        <f t="shared" ca="1" si="12"/>
        <v>0.20969071322481481</v>
      </c>
      <c r="W125" s="2">
        <f t="shared" ca="1" si="12"/>
        <v>0.30323527789279947</v>
      </c>
      <c r="X125" s="2">
        <f t="shared" ca="1" si="12"/>
        <v>0.26989843186629947</v>
      </c>
      <c r="Y125" s="2">
        <f t="shared" ca="1" si="12"/>
        <v>0.58017452230855615</v>
      </c>
      <c r="Z125" s="2">
        <f t="shared" ca="1" si="12"/>
        <v>0.65890673539378808</v>
      </c>
      <c r="AA125" s="2">
        <f t="shared" ca="1" si="12"/>
        <v>0.25184055907164382</v>
      </c>
      <c r="AB125" s="2">
        <f ca="1">D125*Sheet2!C$22/_xlfn.STDEV.S(D$122:D$151)</f>
        <v>1.3142362468639948</v>
      </c>
      <c r="AC125" s="2">
        <f ca="1">E125*Sheet2!D$22/_xlfn.STDEV.S(E$122:E$151)</f>
        <v>0.46461379765532346</v>
      </c>
      <c r="AD125" s="2">
        <f ca="1">F125*Sheet2!E$22/_xlfn.STDEV.S(F$122:F$151)</f>
        <v>2.0115806128860756</v>
      </c>
      <c r="AE125" s="2">
        <f ca="1">G125*Sheet2!F$22/_xlfn.STDEV.S(G$122:G$151)</f>
        <v>12.143205906855956</v>
      </c>
      <c r="AF125" s="2">
        <f ca="1">H125*Sheet2!G$22/_xlfn.STDEV.S(H$122:H$151)</f>
        <v>7.6340884858491371</v>
      </c>
      <c r="AG125" s="2">
        <f ca="1">I125*Sheet2!H$22/_xlfn.STDEV.S(I$122:I$151)</f>
        <v>3.7067118561222676</v>
      </c>
      <c r="AH125" s="2">
        <f ca="1">J125*Sheet2!I$22/_xlfn.STDEV.S(J$122:J$151)</f>
        <v>0.44633377331873503</v>
      </c>
      <c r="AI125" s="2">
        <f ca="1">K125*Sheet2!J$22/_xlfn.STDEV.S(K$122:K$151)</f>
        <v>1.9745198316868968</v>
      </c>
      <c r="AJ125" s="2">
        <f ca="1">L125*Sheet2!K$22/_xlfn.STDEV.S(L$122:L$151)</f>
        <v>3.8158101260735307</v>
      </c>
      <c r="AK125" s="2">
        <f ca="1">M125*Sheet2!L$22/_xlfn.STDEV.S(M$122:M$151)</f>
        <v>0.83012672180260305</v>
      </c>
      <c r="AL125" s="2">
        <f ca="1">N125*Sheet2!M$22/_xlfn.STDEV.S(N$122:N$151)</f>
        <v>5.9880308522790342</v>
      </c>
      <c r="AM125" s="2">
        <f ca="1">O125*Sheet2!N$22/_xlfn.STDEV.S(O$122:O$151)</f>
        <v>0.66363014086210725</v>
      </c>
      <c r="AN125" s="2">
        <f ca="1">P125*Sheet2!O$22/_xlfn.STDEV.S(P$122:P$151)</f>
        <v>1.7596704747008622</v>
      </c>
      <c r="AO125" s="2">
        <f ca="1">Q125*Sheet2!P$22/_xlfn.STDEV.S(Q$122:Q$151)</f>
        <v>2.2052499471993303</v>
      </c>
      <c r="AP125" s="2">
        <f ca="1">R125*Sheet2!Q$22/_xlfn.STDEV.S(R$122:R$151)</f>
        <v>4.0914369321961379</v>
      </c>
      <c r="AQ125" s="2">
        <f ca="1">S125*Sheet2!R$22/_xlfn.STDEV.S(S$122:S$151)</f>
        <v>3.2893771037908297</v>
      </c>
      <c r="AR125" s="2">
        <f ca="1">T125*Sheet2!S$22/_xlfn.STDEV.S(T$122:T$151)</f>
        <v>2.6249858639439005</v>
      </c>
      <c r="AS125" s="2">
        <f ca="1">U125*Sheet2!T$22/_xlfn.STDEV.S(U$122:U$151)</f>
        <v>0.75380244333013446</v>
      </c>
      <c r="AT125" s="2">
        <f ca="1">V125*Sheet2!U$22/_xlfn.STDEV.S(V$122:V$151)</f>
        <v>1.0418773294310619</v>
      </c>
      <c r="AU125" s="2">
        <f ca="1">W125*Sheet2!V$22/_xlfn.STDEV.S(W$122:W$151)</f>
        <v>1.4951178612357074</v>
      </c>
      <c r="AV125" s="2">
        <f ca="1">X125*Sheet2!W$22/_xlfn.STDEV.S(X$122:X$151)</f>
        <v>1.1209784852246476</v>
      </c>
      <c r="AW125" s="2">
        <f ca="1">Y125*Sheet2!X$22/_xlfn.STDEV.S(Y$122:Y$151)</f>
        <v>2.4684643291087216</v>
      </c>
      <c r="AX125" s="2">
        <f ca="1">Z125*Sheet2!Y$22/_xlfn.STDEV.S(Z$122:Z$151)</f>
        <v>1.6039034628056585</v>
      </c>
      <c r="AY125" s="2">
        <f ca="1">AA125*Sheet2!Z$22/_xlfn.STDEV.S(AA$122:AA$151)</f>
        <v>0.46309123931381485</v>
      </c>
      <c r="AZ125" s="2">
        <f ca="1">AB125-AVERAGE(AB$122:AB$151)+Sheet2!C$21</f>
        <v>4.794203219716735</v>
      </c>
      <c r="BA125" s="2">
        <f ca="1">AC125-AVERAGE(AC$122:AC$151)+Sheet2!D$21</f>
        <v>5.6529267596800601</v>
      </c>
      <c r="BB125" s="2">
        <f ca="1">AD125-AVERAGE(AD$122:AD$151)+Sheet2!E$21</f>
        <v>20.482440554867807</v>
      </c>
      <c r="BC125" s="2">
        <f ca="1">AE125-AVERAGE(AE$122:AE$151)+Sheet2!F$21</f>
        <v>9.4274104506695906</v>
      </c>
      <c r="BD125" s="2">
        <f ca="1">AF125-AVERAGE(AF$122:AF$151)+Sheet2!G$21</f>
        <v>32.891440532755183</v>
      </c>
      <c r="BE125" s="2">
        <f ca="1">AG125-AVERAGE(AG$122:AG$151)+Sheet2!H$21</f>
        <v>16.684239513906657</v>
      </c>
      <c r="BF125" s="2">
        <f ca="1">AH125-AVERAGE(AH$122:AH$151)+Sheet2!I$21</f>
        <v>9.6102490938775382</v>
      </c>
      <c r="BG125" s="2">
        <f ca="1">AI125-AVERAGE(AI$122:AI$151)+Sheet2!J$21</f>
        <v>28.07339974281782</v>
      </c>
      <c r="BH125" s="2">
        <f ca="1">AJ125-AVERAGE(AJ$122:AJ$151)+Sheet2!K$21</f>
        <v>20.590914999648447</v>
      </c>
      <c r="BI125" s="2">
        <f ca="1">AK125-AVERAGE(AK$122:AK$151)+Sheet2!L$21</f>
        <v>23.614314580657254</v>
      </c>
      <c r="BJ125" s="2">
        <f ca="1">AL125-AVERAGE(AL$122:AL$151)+Sheet2!M$21</f>
        <v>18.144091548094412</v>
      </c>
      <c r="BK125" s="2">
        <f ca="1">AM125-AVERAGE(AM$122:AM$151)+Sheet2!N$21</f>
        <v>7.6260539118934094</v>
      </c>
      <c r="BL125" s="2">
        <f ca="1">AN125-AVERAGE(AN$122:AN$151)+Sheet2!O$21</f>
        <v>8.5094014082628728</v>
      </c>
      <c r="BM125" s="2">
        <f ca="1">AO125-AVERAGE(AO$122:AO$151)+Sheet2!P$21</f>
        <v>18.0299798671487</v>
      </c>
      <c r="BN125" s="2">
        <f ca="1">AP125-AVERAGE(AP$122:AP$151)+Sheet2!Q$21</f>
        <v>21.376463771649682</v>
      </c>
      <c r="BO125" s="2">
        <f ca="1">AQ125-AVERAGE(AQ$122:AQ$151)+Sheet2!R$21</f>
        <v>6.1431481913698427</v>
      </c>
      <c r="BP125" s="2">
        <f ca="1">AR125-AVERAGE(AR$122:AR$151)+Sheet2!S$21</f>
        <v>5.8231609589886428</v>
      </c>
      <c r="BQ125" s="2">
        <f ca="1">AS125-AVERAGE(AS$122:AS$151)+Sheet2!T$21</f>
        <v>8.2817030348231686</v>
      </c>
      <c r="BR125" s="2">
        <f ca="1">AT125-AVERAGE(AT$122:AT$151)+Sheet2!U$21</f>
        <v>21.993959606797482</v>
      </c>
      <c r="BS125" s="2">
        <f ca="1">AU125-AVERAGE(AU$122:AU$151)+Sheet2!V$21</f>
        <v>21.276233083242879</v>
      </c>
      <c r="BT125" s="2">
        <f ca="1">AV125-AVERAGE(AV$122:AV$151)+Sheet2!W$21</f>
        <v>31.6516686599232</v>
      </c>
      <c r="BU125" s="2">
        <f ca="1">AW125-AVERAGE(AW$122:AW$151)+Sheet2!X$21</f>
        <v>20.68460321795402</v>
      </c>
      <c r="BV125" s="2">
        <f ca="1">AX125-AVERAGE(AX$122:AX$151)+Sheet2!Y$21</f>
        <v>14.614422774911292</v>
      </c>
      <c r="BW125" s="2">
        <f ca="1">AY125-AVERAGE(AY$122:AY$151)+Sheet2!Z$21</f>
        <v>10.171808611269986</v>
      </c>
      <c r="BZ125" s="2">
        <f ca="1">BA125-AVERAGE(AH$122:AH$151)+Sheet2!AB$21</f>
        <v>4.8714711146401601</v>
      </c>
      <c r="CA125" s="2">
        <f ca="1">BB125-AVERAGE(AI$122:AI$151)+Sheet2!AC$21</f>
        <v>17.861657281294757</v>
      </c>
      <c r="CB125" s="2">
        <f ca="1">BC125-AVERAGE(AJ$122:AJ$151)+Sheet2!AD$21</f>
        <v>7.6403122975207429</v>
      </c>
      <c r="CC125" s="2">
        <f ca="1">BD125-AVERAGE(AK$122:AK$151)+Sheet2!AE$21</f>
        <v>29.530257426011136</v>
      </c>
    </row>
    <row r="126" spans="2:81" x14ac:dyDescent="0.3">
      <c r="B126">
        <v>125</v>
      </c>
      <c r="C126" s="1">
        <v>5</v>
      </c>
      <c r="D126" s="2">
        <f t="shared" ca="1" si="13"/>
        <v>0.1265115507717125</v>
      </c>
      <c r="E126" s="2">
        <f t="shared" ca="1" si="13"/>
        <v>0.73118003620291794</v>
      </c>
      <c r="F126" s="2">
        <f t="shared" ca="1" si="13"/>
        <v>0.66702787768818006</v>
      </c>
      <c r="G126" s="2">
        <f t="shared" ca="1" si="13"/>
        <v>0.10910233040962991</v>
      </c>
      <c r="H126" s="2">
        <f t="shared" ca="1" si="13"/>
        <v>0.58179200938893572</v>
      </c>
      <c r="I126" s="2">
        <f t="shared" ca="1" si="13"/>
        <v>0.12948752466720914</v>
      </c>
      <c r="J126" s="2">
        <f t="shared" ca="1" si="13"/>
        <v>0.61137902289235679</v>
      </c>
      <c r="K126" s="2">
        <f t="shared" ca="1" si="13"/>
        <v>0.34509756071242426</v>
      </c>
      <c r="L126" s="2">
        <f t="shared" ca="1" si="13"/>
        <v>0.5004973019434521</v>
      </c>
      <c r="M126" s="2">
        <f t="shared" ca="1" si="13"/>
        <v>0.87272618866985996</v>
      </c>
      <c r="N126" s="2">
        <f t="shared" ca="1" si="13"/>
        <v>0.92673944198239555</v>
      </c>
      <c r="O126" s="2">
        <f t="shared" ca="1" si="13"/>
        <v>0.1201671300817353</v>
      </c>
      <c r="P126" s="2">
        <f t="shared" ca="1" si="13"/>
        <v>0.43211408705784138</v>
      </c>
      <c r="Q126" s="2">
        <f t="shared" ca="1" si="12"/>
        <v>3.1524260991193653E-2</v>
      </c>
      <c r="R126" s="2">
        <f t="shared" ca="1" si="12"/>
        <v>0.34197852661746075</v>
      </c>
      <c r="S126" s="2">
        <f t="shared" ca="1" si="12"/>
        <v>0.19059047394866069</v>
      </c>
      <c r="T126" s="2">
        <f t="shared" ca="1" si="12"/>
        <v>0.18966240222557318</v>
      </c>
      <c r="U126" s="2">
        <f t="shared" ca="1" si="12"/>
        <v>0.38929924137535887</v>
      </c>
      <c r="V126" s="2">
        <f t="shared" ca="1" si="12"/>
        <v>0.58489216909357189</v>
      </c>
      <c r="W126" s="2">
        <f t="shared" ca="1" si="12"/>
        <v>0.74337529840784344</v>
      </c>
      <c r="X126" s="2">
        <f t="shared" ca="1" si="12"/>
        <v>0.43254711844132721</v>
      </c>
      <c r="Y126" s="2">
        <f t="shared" ca="1" si="12"/>
        <v>0.54967518341038157</v>
      </c>
      <c r="Z126" s="2">
        <f t="shared" ca="1" si="12"/>
        <v>0.86184803309903546</v>
      </c>
      <c r="AA126" s="2">
        <f t="shared" ca="1" si="12"/>
        <v>0.57395751459212396</v>
      </c>
      <c r="AB126" s="2">
        <f ca="1">D126*Sheet2!C$22/_xlfn.STDEV.S(D$122:D$151)</f>
        <v>0.4226030954533922</v>
      </c>
      <c r="AC126" s="2">
        <f ca="1">E126*Sheet2!D$22/_xlfn.STDEV.S(E$122:E$151)</f>
        <v>3.0227258920914069</v>
      </c>
      <c r="AD126" s="2">
        <f ca="1">F126*Sheet2!E$22/_xlfn.STDEV.S(F$122:F$151)</f>
        <v>5.6110393845039601</v>
      </c>
      <c r="AE126" s="2">
        <f ca="1">G126*Sheet2!F$22/_xlfn.STDEV.S(G$122:G$151)</f>
        <v>1.3751666337499113</v>
      </c>
      <c r="AF126" s="2">
        <f ca="1">H126*Sheet2!G$22/_xlfn.STDEV.S(H$122:H$151)</f>
        <v>18.280570018528234</v>
      </c>
      <c r="AG126" s="2">
        <f ca="1">I126*Sheet2!H$22/_xlfn.STDEV.S(I$122:I$151)</f>
        <v>2.4425162093058765</v>
      </c>
      <c r="AH126" s="2">
        <f ca="1">J126*Sheet2!I$22/_xlfn.STDEV.S(J$122:J$151)</f>
        <v>0.97365165839622203</v>
      </c>
      <c r="AI126" s="2">
        <f ca="1">K126*Sheet2!J$22/_xlfn.STDEV.S(K$122:K$151)</f>
        <v>1.6617269965663781</v>
      </c>
      <c r="AJ126" s="2">
        <f ca="1">L126*Sheet2!K$22/_xlfn.STDEV.S(L$122:L$151)</f>
        <v>2.0286636909228641</v>
      </c>
      <c r="AK126" s="2">
        <f ca="1">M126*Sheet2!L$22/_xlfn.STDEV.S(M$122:M$151)</f>
        <v>6.0622681408344627</v>
      </c>
      <c r="AL126" s="2">
        <f ca="1">N126*Sheet2!M$22/_xlfn.STDEV.S(N$122:N$151)</f>
        <v>6.0266597924748986</v>
      </c>
      <c r="AM126" s="2">
        <f ca="1">O126*Sheet2!N$22/_xlfn.STDEV.S(O$122:O$151)</f>
        <v>0.23403653148078551</v>
      </c>
      <c r="AN126" s="2">
        <f ca="1">P126*Sheet2!O$22/_xlfn.STDEV.S(P$122:P$151)</f>
        <v>1.3785029329325078</v>
      </c>
      <c r="AO126" s="2">
        <f ca="1">Q126*Sheet2!P$22/_xlfn.STDEV.S(Q$122:Q$151)</f>
        <v>0.18780580791074686</v>
      </c>
      <c r="AP126" s="2">
        <f ca="1">R126*Sheet2!Q$22/_xlfn.STDEV.S(R$122:R$151)</f>
        <v>2.7106408117099723</v>
      </c>
      <c r="AQ126" s="2">
        <f ca="1">S126*Sheet2!R$22/_xlfn.STDEV.S(S$122:S$151)</f>
        <v>1.3102540503664921</v>
      </c>
      <c r="AR126" s="2">
        <f ca="1">T126*Sheet2!S$22/_xlfn.STDEV.S(T$122:T$151)</f>
        <v>0.74930905035302497</v>
      </c>
      <c r="AS126" s="2">
        <f ca="1">U126*Sheet2!T$22/_xlfn.STDEV.S(U$122:U$151)</f>
        <v>1.0287457564620344</v>
      </c>
      <c r="AT126" s="2">
        <f ca="1">V126*Sheet2!U$22/_xlfn.STDEV.S(V$122:V$151)</f>
        <v>2.9061176900429224</v>
      </c>
      <c r="AU126" s="2">
        <f ca="1">W126*Sheet2!V$22/_xlfn.STDEV.S(W$122:W$151)</f>
        <v>3.6652519257469365</v>
      </c>
      <c r="AV126" s="2">
        <f ca="1">X126*Sheet2!W$22/_xlfn.STDEV.S(X$122:X$151)</f>
        <v>1.7965128965952641</v>
      </c>
      <c r="AW126" s="2">
        <f ca="1">Y126*Sheet2!X$22/_xlfn.STDEV.S(Y$122:Y$151)</f>
        <v>2.338699013265531</v>
      </c>
      <c r="AX126" s="2">
        <f ca="1">Z126*Sheet2!Y$22/_xlfn.STDEV.S(Z$122:Z$151)</f>
        <v>2.0979009174548207</v>
      </c>
      <c r="AY126" s="2">
        <f ca="1">AA126*Sheet2!Z$22/_xlfn.STDEV.S(AA$122:AA$151)</f>
        <v>1.0554086193492374</v>
      </c>
      <c r="AZ126" s="2">
        <f ca="1">AB126-AVERAGE(AB$122:AB$151)+Sheet2!C$21</f>
        <v>3.9025700683061331</v>
      </c>
      <c r="BA126" s="2">
        <f ca="1">AC126-AVERAGE(AC$122:AC$151)+Sheet2!D$21</f>
        <v>8.2110388541161434</v>
      </c>
      <c r="BB126" s="2">
        <f ca="1">AD126-AVERAGE(AD$122:AD$151)+Sheet2!E$21</f>
        <v>24.08189932648569</v>
      </c>
      <c r="BC126" s="2">
        <f ca="1">AE126-AVERAGE(AE$122:AE$151)+Sheet2!F$21</f>
        <v>-1.3406288224364529</v>
      </c>
      <c r="BD126" s="2">
        <f ca="1">AF126-AVERAGE(AF$122:AF$151)+Sheet2!G$21</f>
        <v>43.53792206543428</v>
      </c>
      <c r="BE126" s="2">
        <f ca="1">AG126-AVERAGE(AG$122:AG$151)+Sheet2!H$21</f>
        <v>15.420043867090268</v>
      </c>
      <c r="BF126" s="2">
        <f ca="1">AH126-AVERAGE(AH$122:AH$151)+Sheet2!I$21</f>
        <v>10.137566978955025</v>
      </c>
      <c r="BG126" s="2">
        <f ca="1">AI126-AVERAGE(AI$122:AI$151)+Sheet2!J$21</f>
        <v>27.760606907697301</v>
      </c>
      <c r="BH126" s="2">
        <f ca="1">AJ126-AVERAGE(AJ$122:AJ$151)+Sheet2!K$21</f>
        <v>18.80376856449778</v>
      </c>
      <c r="BI126" s="2">
        <f ca="1">AK126-AVERAGE(AK$122:AK$151)+Sheet2!L$21</f>
        <v>28.846455999689116</v>
      </c>
      <c r="BJ126" s="2">
        <f ca="1">AL126-AVERAGE(AL$122:AL$151)+Sheet2!M$21</f>
        <v>18.182720488290276</v>
      </c>
      <c r="BK126" s="2">
        <f ca="1">AM126-AVERAGE(AM$122:AM$151)+Sheet2!N$21</f>
        <v>7.1964603025120875</v>
      </c>
      <c r="BL126" s="2">
        <f ca="1">AN126-AVERAGE(AN$122:AN$151)+Sheet2!O$21</f>
        <v>8.1282338664945186</v>
      </c>
      <c r="BM126" s="2">
        <f ca="1">AO126-AVERAGE(AO$122:AO$151)+Sheet2!P$21</f>
        <v>16.012535727860115</v>
      </c>
      <c r="BN126" s="2">
        <f ca="1">AP126-AVERAGE(AP$122:AP$151)+Sheet2!Q$21</f>
        <v>19.995667651163515</v>
      </c>
      <c r="BO126" s="2">
        <f ca="1">AQ126-AVERAGE(AQ$122:AQ$151)+Sheet2!R$21</f>
        <v>4.1640251379455053</v>
      </c>
      <c r="BP126" s="2">
        <f ca="1">AR126-AVERAGE(AR$122:AR$151)+Sheet2!S$21</f>
        <v>3.9474841453977674</v>
      </c>
      <c r="BQ126" s="2">
        <f ca="1">AS126-AVERAGE(AS$122:AS$151)+Sheet2!T$21</f>
        <v>8.5566463479550681</v>
      </c>
      <c r="BR126" s="2">
        <f ca="1">AT126-AVERAGE(AT$122:AT$151)+Sheet2!U$21</f>
        <v>23.858199967409345</v>
      </c>
      <c r="BS126" s="2">
        <f ca="1">AU126-AVERAGE(AU$122:AU$151)+Sheet2!V$21</f>
        <v>23.44636714775411</v>
      </c>
      <c r="BT126" s="2">
        <f ca="1">AV126-AVERAGE(AV$122:AV$151)+Sheet2!W$21</f>
        <v>32.327203071293816</v>
      </c>
      <c r="BU126" s="2">
        <f ca="1">AW126-AVERAGE(AW$122:AW$151)+Sheet2!X$21</f>
        <v>20.55483790211083</v>
      </c>
      <c r="BV126" s="2">
        <f ca="1">AX126-AVERAGE(AX$122:AX$151)+Sheet2!Y$21</f>
        <v>15.108420229560455</v>
      </c>
      <c r="BW126" s="2">
        <f ca="1">AY126-AVERAGE(AY$122:AY$151)+Sheet2!Z$21</f>
        <v>10.764125991305409</v>
      </c>
      <c r="BZ126" s="2">
        <f ca="1">BA126-AVERAGE(AH$122:AH$151)+Sheet2!AB$21</f>
        <v>7.4295832090762435</v>
      </c>
      <c r="CA126" s="2">
        <f ca="1">BB126-AVERAGE(AI$122:AI$151)+Sheet2!AC$21</f>
        <v>21.46111605291264</v>
      </c>
      <c r="CB126" s="2">
        <f ca="1">BC126-AVERAGE(AJ$122:AJ$151)+Sheet2!AD$21</f>
        <v>-3.1277269755853006</v>
      </c>
      <c r="CC126" s="2">
        <f ca="1">BD126-AVERAGE(AK$122:AK$151)+Sheet2!AE$21</f>
        <v>40.17673895869023</v>
      </c>
    </row>
    <row r="127" spans="2:81" x14ac:dyDescent="0.3">
      <c r="B127">
        <v>126</v>
      </c>
      <c r="C127" s="1">
        <v>5</v>
      </c>
      <c r="D127" s="2">
        <f t="shared" ca="1" si="13"/>
        <v>0.7976183775213509</v>
      </c>
      <c r="E127" s="2">
        <f t="shared" ca="1" si="13"/>
        <v>0.67496775828651545</v>
      </c>
      <c r="F127" s="2">
        <f t="shared" ca="1" si="13"/>
        <v>0.17011402644357998</v>
      </c>
      <c r="G127" s="2">
        <f t="shared" ca="1" si="13"/>
        <v>1.3408545473054811E-3</v>
      </c>
      <c r="H127" s="2">
        <f t="shared" ca="1" si="13"/>
        <v>0.6615975582215049</v>
      </c>
      <c r="I127" s="2">
        <f t="shared" ca="1" si="13"/>
        <v>0.74347710110374354</v>
      </c>
      <c r="J127" s="2">
        <f t="shared" ca="1" si="13"/>
        <v>0.92221504703112045</v>
      </c>
      <c r="K127" s="2">
        <f t="shared" ca="1" si="13"/>
        <v>0.63659428282920616</v>
      </c>
      <c r="L127" s="2">
        <f t="shared" ca="1" si="13"/>
        <v>0.8843261779434769</v>
      </c>
      <c r="M127" s="2">
        <f t="shared" ca="1" si="13"/>
        <v>0.92038797357564672</v>
      </c>
      <c r="N127" s="2">
        <f t="shared" ca="1" si="13"/>
        <v>5.9172738944868408E-2</v>
      </c>
      <c r="O127" s="2">
        <f t="shared" ca="1" si="13"/>
        <v>0.86475845187423594</v>
      </c>
      <c r="P127" s="2">
        <f t="shared" ca="1" si="13"/>
        <v>6.87271594327582E-2</v>
      </c>
      <c r="Q127" s="2">
        <f t="shared" ca="1" si="13"/>
        <v>0.55666619144525997</v>
      </c>
      <c r="R127" s="2">
        <f t="shared" ca="1" si="13"/>
        <v>0.38688660035169387</v>
      </c>
      <c r="S127" s="2">
        <f t="shared" ca="1" si="13"/>
        <v>0.42363045932667576</v>
      </c>
      <c r="T127" s="2">
        <f t="shared" ca="1" si="12"/>
        <v>0.47324891127691193</v>
      </c>
      <c r="U127" s="2">
        <f t="shared" ca="1" si="12"/>
        <v>0.28514989159332726</v>
      </c>
      <c r="V127" s="2">
        <f t="shared" ca="1" si="12"/>
        <v>1.2490266603467082E-2</v>
      </c>
      <c r="W127" s="2">
        <f t="shared" ca="1" si="12"/>
        <v>0.77341140618412063</v>
      </c>
      <c r="X127" s="2">
        <f t="shared" ca="1" si="12"/>
        <v>0.80243113557471002</v>
      </c>
      <c r="Y127" s="2">
        <f t="shared" ca="1" si="12"/>
        <v>0.79526737838280182</v>
      </c>
      <c r="Z127" s="2">
        <f t="shared" ca="1" si="12"/>
        <v>0.10864627884298084</v>
      </c>
      <c r="AA127" s="2">
        <f t="shared" ca="1" si="12"/>
        <v>0.40833693810982463</v>
      </c>
      <c r="AB127" s="2">
        <f ca="1">D127*Sheet2!C$22/_xlfn.STDEV.S(D$122:D$151)</f>
        <v>2.6643890875962937</v>
      </c>
      <c r="AC127" s="2">
        <f ca="1">E127*Sheet2!D$22/_xlfn.STDEV.S(E$122:E$151)</f>
        <v>2.7903422116045493</v>
      </c>
      <c r="AD127" s="2">
        <f ca="1">F127*Sheet2!E$22/_xlfn.STDEV.S(F$122:F$151)</f>
        <v>1.4309994142069269</v>
      </c>
      <c r="AE127" s="2">
        <f ca="1">G127*Sheet2!F$22/_xlfn.STDEV.S(G$122:G$151)</f>
        <v>1.6900632894305143E-2</v>
      </c>
      <c r="AF127" s="2">
        <f ca="1">H127*Sheet2!G$22/_xlfn.STDEV.S(H$122:H$151)</f>
        <v>20.78815159365703</v>
      </c>
      <c r="AG127" s="2">
        <f ca="1">I127*Sheet2!H$22/_xlfn.STDEV.S(I$122:I$151)</f>
        <v>14.024168547207562</v>
      </c>
      <c r="AH127" s="2">
        <f ca="1">J127*Sheet2!I$22/_xlfn.STDEV.S(J$122:J$151)</f>
        <v>1.4686735663449366</v>
      </c>
      <c r="AI127" s="2">
        <f ca="1">K127*Sheet2!J$22/_xlfn.STDEV.S(K$122:K$151)</f>
        <v>3.0653531814402637</v>
      </c>
      <c r="AJ127" s="2">
        <f ca="1">L127*Sheet2!K$22/_xlfn.STDEV.S(L$122:L$151)</f>
        <v>3.5844357225510395</v>
      </c>
      <c r="AK127" s="2">
        <f ca="1">M127*Sheet2!L$22/_xlfn.STDEV.S(M$122:M$151)</f>
        <v>6.3933439397743719</v>
      </c>
      <c r="AL127" s="2">
        <f ca="1">N127*Sheet2!M$22/_xlfn.STDEV.S(N$122:N$151)</f>
        <v>0.38480499529276135</v>
      </c>
      <c r="AM127" s="2">
        <f ca="1">O127*Sheet2!N$22/_xlfn.STDEV.S(O$122:O$151)</f>
        <v>1.6841965727872643</v>
      </c>
      <c r="AN127" s="2">
        <f ca="1">P127*Sheet2!O$22/_xlfn.STDEV.S(P$122:P$151)</f>
        <v>0.21924902169990021</v>
      </c>
      <c r="AO127" s="2">
        <f ca="1">Q127*Sheet2!P$22/_xlfn.STDEV.S(Q$122:Q$151)</f>
        <v>3.3163392426607672</v>
      </c>
      <c r="AP127" s="2">
        <f ca="1">R127*Sheet2!Q$22/_xlfn.STDEV.S(R$122:R$151)</f>
        <v>3.0665978322964156</v>
      </c>
      <c r="AQ127" s="2">
        <f ca="1">S127*Sheet2!R$22/_xlfn.STDEV.S(S$122:S$151)</f>
        <v>2.9123361398477434</v>
      </c>
      <c r="AR127" s="2">
        <f ca="1">T127*Sheet2!S$22/_xlfn.STDEV.S(T$122:T$151)</f>
        <v>1.8696889216227166</v>
      </c>
      <c r="AS127" s="2">
        <f ca="1">U127*Sheet2!T$22/_xlfn.STDEV.S(U$122:U$151)</f>
        <v>0.75352507725388096</v>
      </c>
      <c r="AT127" s="2">
        <f ca="1">V127*Sheet2!U$22/_xlfn.STDEV.S(V$122:V$151)</f>
        <v>6.2059618247138786E-2</v>
      </c>
      <c r="AU127" s="2">
        <f ca="1">W127*Sheet2!V$22/_xlfn.STDEV.S(W$122:W$151)</f>
        <v>3.8133465720241699</v>
      </c>
      <c r="AV127" s="2">
        <f ca="1">X127*Sheet2!W$22/_xlfn.STDEV.S(X$122:X$151)</f>
        <v>3.3327649687836081</v>
      </c>
      <c r="AW127" s="2">
        <f ca="1">Y127*Sheet2!X$22/_xlfn.STDEV.S(Y$122:Y$151)</f>
        <v>3.3836183426850281</v>
      </c>
      <c r="AX127" s="2">
        <f ca="1">Z127*Sheet2!Y$22/_xlfn.STDEV.S(Z$122:Z$151)</f>
        <v>0.2644655662125881</v>
      </c>
      <c r="AY127" s="2">
        <f ca="1">AA127*Sheet2!Z$22/_xlfn.STDEV.S(AA$122:AA$151)</f>
        <v>0.75086101866972366</v>
      </c>
      <c r="AZ127" s="2">
        <f ca="1">AB127-AVERAGE(AB$122:AB$151)+Sheet2!C$21</f>
        <v>6.1443560604490344</v>
      </c>
      <c r="BA127" s="2">
        <f ca="1">AC127-AVERAGE(AC$122:AC$151)+Sheet2!D$21</f>
        <v>7.9786551736292868</v>
      </c>
      <c r="BB127" s="2">
        <f ca="1">AD127-AVERAGE(AD$122:AD$151)+Sheet2!E$21</f>
        <v>19.901859356188659</v>
      </c>
      <c r="BC127" s="2">
        <f ca="1">AE127-AVERAGE(AE$122:AE$151)+Sheet2!F$21</f>
        <v>-2.6988948232920587</v>
      </c>
      <c r="BD127" s="2">
        <f ca="1">AF127-AVERAGE(AF$122:AF$151)+Sheet2!G$21</f>
        <v>46.045503640563076</v>
      </c>
      <c r="BE127" s="2">
        <f ca="1">AG127-AVERAGE(AG$122:AG$151)+Sheet2!H$21</f>
        <v>27.001696204991951</v>
      </c>
      <c r="BF127" s="2">
        <f ca="1">AH127-AVERAGE(AH$122:AH$151)+Sheet2!I$21</f>
        <v>10.63258888690374</v>
      </c>
      <c r="BG127" s="2">
        <f ca="1">AI127-AVERAGE(AI$122:AI$151)+Sheet2!J$21</f>
        <v>29.164233092571187</v>
      </c>
      <c r="BH127" s="2">
        <f ca="1">AJ127-AVERAGE(AJ$122:AJ$151)+Sheet2!K$21</f>
        <v>20.359540596125957</v>
      </c>
      <c r="BI127" s="2">
        <f ca="1">AK127-AVERAGE(AK$122:AK$151)+Sheet2!L$21</f>
        <v>29.177531798629026</v>
      </c>
      <c r="BJ127" s="2">
        <f ca="1">AL127-AVERAGE(AL$122:AL$151)+Sheet2!M$21</f>
        <v>12.54086569110814</v>
      </c>
      <c r="BK127" s="2">
        <f ca="1">AM127-AVERAGE(AM$122:AM$151)+Sheet2!N$21</f>
        <v>8.6466203438185651</v>
      </c>
      <c r="BL127" s="2">
        <f ca="1">AN127-AVERAGE(AN$122:AN$151)+Sheet2!O$21</f>
        <v>6.9689799552619105</v>
      </c>
      <c r="BM127" s="2">
        <f ca="1">AO127-AVERAGE(AO$122:AO$151)+Sheet2!P$21</f>
        <v>19.141069162610137</v>
      </c>
      <c r="BN127" s="2">
        <f ca="1">AP127-AVERAGE(AP$122:AP$151)+Sheet2!Q$21</f>
        <v>20.35162467174996</v>
      </c>
      <c r="BO127" s="2">
        <f ca="1">AQ127-AVERAGE(AQ$122:AQ$151)+Sheet2!R$21</f>
        <v>5.7661072274267564</v>
      </c>
      <c r="BP127" s="2">
        <f ca="1">AR127-AVERAGE(AR$122:AR$151)+Sheet2!S$21</f>
        <v>5.0678640166674587</v>
      </c>
      <c r="BQ127" s="2">
        <f ca="1">AS127-AVERAGE(AS$122:AS$151)+Sheet2!T$21</f>
        <v>8.2814256687469161</v>
      </c>
      <c r="BR127" s="2">
        <f ca="1">AT127-AVERAGE(AT$122:AT$151)+Sheet2!U$21</f>
        <v>21.014141895613559</v>
      </c>
      <c r="BS127" s="2">
        <f ca="1">AU127-AVERAGE(AU$122:AU$151)+Sheet2!V$21</f>
        <v>23.594461794031343</v>
      </c>
      <c r="BT127" s="2">
        <f ca="1">AV127-AVERAGE(AV$122:AV$151)+Sheet2!W$21</f>
        <v>33.863455143482163</v>
      </c>
      <c r="BU127" s="2">
        <f ca="1">AW127-AVERAGE(AW$122:AW$151)+Sheet2!X$21</f>
        <v>21.599757231530329</v>
      </c>
      <c r="BV127" s="2">
        <f ca="1">AX127-AVERAGE(AX$122:AX$151)+Sheet2!Y$21</f>
        <v>13.274984878318222</v>
      </c>
      <c r="BW127" s="2">
        <f ca="1">AY127-AVERAGE(AY$122:AY$151)+Sheet2!Z$21</f>
        <v>10.459578390625895</v>
      </c>
      <c r="BZ127" s="2">
        <f ca="1">BA127-AVERAGE(AH$122:AH$151)+Sheet2!AB$21</f>
        <v>7.1971995285893868</v>
      </c>
      <c r="CA127" s="2">
        <f ca="1">BB127-AVERAGE(AI$122:AI$151)+Sheet2!AC$21</f>
        <v>17.281076082615609</v>
      </c>
      <c r="CB127" s="2">
        <f ca="1">BC127-AVERAGE(AJ$122:AJ$151)+Sheet2!AD$21</f>
        <v>-4.4859929764409054</v>
      </c>
      <c r="CC127" s="2">
        <f ca="1">BD127-AVERAGE(AK$122:AK$151)+Sheet2!AE$21</f>
        <v>42.684320533819026</v>
      </c>
    </row>
    <row r="128" spans="2:81" x14ac:dyDescent="0.3">
      <c r="B128">
        <v>127</v>
      </c>
      <c r="C128" s="1">
        <v>5</v>
      </c>
      <c r="D128" s="2">
        <f t="shared" ca="1" si="13"/>
        <v>0.54533723505192266</v>
      </c>
      <c r="E128" s="2">
        <f t="shared" ca="1" si="13"/>
        <v>0.84451406823570963</v>
      </c>
      <c r="F128" s="2">
        <f t="shared" ca="1" si="13"/>
        <v>0.3021286726979352</v>
      </c>
      <c r="G128" s="2">
        <f t="shared" ca="1" si="13"/>
        <v>0.65179995422658166</v>
      </c>
      <c r="H128" s="2">
        <f t="shared" ca="1" si="13"/>
        <v>0.58120975513482609</v>
      </c>
      <c r="I128" s="2">
        <f t="shared" ca="1" si="13"/>
        <v>0.68990555043174628</v>
      </c>
      <c r="J128" s="2">
        <f t="shared" ca="1" si="13"/>
        <v>0.54343558026753291</v>
      </c>
      <c r="K128" s="2">
        <f t="shared" ca="1" si="13"/>
        <v>0.43716423545879246</v>
      </c>
      <c r="L128" s="2">
        <f t="shared" ca="1" si="13"/>
        <v>0.85898017589901621</v>
      </c>
      <c r="M128" s="2">
        <f t="shared" ca="1" si="13"/>
        <v>0.17026071030302825</v>
      </c>
      <c r="N128" s="2">
        <f t="shared" ca="1" si="13"/>
        <v>0.60200804451886325</v>
      </c>
      <c r="O128" s="2">
        <f t="shared" ca="1" si="13"/>
        <v>0.53649028102173335</v>
      </c>
      <c r="P128" s="2">
        <f t="shared" ca="1" si="13"/>
        <v>0.40049661110622792</v>
      </c>
      <c r="Q128" s="2">
        <f t="shared" ca="1" si="13"/>
        <v>9.1560203648400895E-3</v>
      </c>
      <c r="R128" s="2">
        <f t="shared" ca="1" si="13"/>
        <v>0.8804912497386419</v>
      </c>
      <c r="S128" s="2">
        <f t="shared" ca="1" si="13"/>
        <v>0.8207147163976608</v>
      </c>
      <c r="T128" s="2">
        <f t="shared" ca="1" si="12"/>
        <v>0.39541827143510566</v>
      </c>
      <c r="U128" s="2">
        <f t="shared" ca="1" si="12"/>
        <v>0.54983222878561744</v>
      </c>
      <c r="V128" s="2">
        <f t="shared" ca="1" si="12"/>
        <v>0.58073573222070207</v>
      </c>
      <c r="W128" s="2">
        <f t="shared" ca="1" si="12"/>
        <v>0.28521961557481312</v>
      </c>
      <c r="X128" s="2">
        <f t="shared" ca="1" si="12"/>
        <v>7.951409220246175E-2</v>
      </c>
      <c r="Y128" s="2">
        <f t="shared" ca="1" si="12"/>
        <v>1.9239761918474763E-3</v>
      </c>
      <c r="Z128" s="2">
        <f t="shared" ca="1" si="12"/>
        <v>5.0729745035951845E-2</v>
      </c>
      <c r="AA128" s="2">
        <f t="shared" ca="1" si="12"/>
        <v>8.0734561492955992E-2</v>
      </c>
      <c r="AB128" s="2">
        <f ca="1">D128*Sheet2!C$22/_xlfn.STDEV.S(D$122:D$151)</f>
        <v>1.8216613597188382</v>
      </c>
      <c r="AC128" s="2">
        <f ca="1">E128*Sheet2!D$22/_xlfn.STDEV.S(E$122:E$151)</f>
        <v>3.4912530620339459</v>
      </c>
      <c r="AD128" s="2">
        <f ca="1">F128*Sheet2!E$22/_xlfn.STDEV.S(F$122:F$151)</f>
        <v>2.5415067921471688</v>
      </c>
      <c r="AE128" s="2">
        <f ca="1">G128*Sheet2!F$22/_xlfn.STDEV.S(G$122:G$151)</f>
        <v>8.2155307367568362</v>
      </c>
      <c r="AF128" s="2">
        <f ca="1">H128*Sheet2!G$22/_xlfn.STDEV.S(H$122:H$151)</f>
        <v>18.262274924252161</v>
      </c>
      <c r="AG128" s="2">
        <f ca="1">I128*Sheet2!H$22/_xlfn.STDEV.S(I$122:I$151)</f>
        <v>13.013651269884551</v>
      </c>
      <c r="AH128" s="2">
        <f ca="1">J128*Sheet2!I$22/_xlfn.STDEV.S(J$122:J$151)</f>
        <v>0.86544832934537286</v>
      </c>
      <c r="AI128" s="2">
        <f ca="1">K128*Sheet2!J$22/_xlfn.STDEV.S(K$122:K$151)</f>
        <v>2.1050499762892771</v>
      </c>
      <c r="AJ128" s="2">
        <f ca="1">L128*Sheet2!K$22/_xlfn.STDEV.S(L$122:L$151)</f>
        <v>3.4817008749145106</v>
      </c>
      <c r="AK128" s="2">
        <f ca="1">M128*Sheet2!L$22/_xlfn.STDEV.S(M$122:M$151)</f>
        <v>1.182691768742542</v>
      </c>
      <c r="AL128" s="2">
        <f ca="1">N128*Sheet2!M$22/_xlfn.STDEV.S(N$122:N$151)</f>
        <v>3.9149058648970194</v>
      </c>
      <c r="AM128" s="2">
        <f ca="1">O128*Sheet2!N$22/_xlfn.STDEV.S(O$122:O$151)</f>
        <v>1.0448641359586111</v>
      </c>
      <c r="AN128" s="2">
        <f ca="1">P128*Sheet2!O$22/_xlfn.STDEV.S(P$122:P$151)</f>
        <v>1.2776388680093289</v>
      </c>
      <c r="AO128" s="2">
        <f ca="1">Q128*Sheet2!P$22/_xlfn.STDEV.S(Q$122:Q$151)</f>
        <v>5.4546998019918823E-2</v>
      </c>
      <c r="AP128" s="2">
        <f ca="1">R128*Sheet2!Q$22/_xlfn.STDEV.S(R$122:R$151)</f>
        <v>6.97908005950576</v>
      </c>
      <c r="AQ128" s="2">
        <f ca="1">S128*Sheet2!R$22/_xlfn.STDEV.S(S$122:S$151)</f>
        <v>5.6421748636035565</v>
      </c>
      <c r="AR128" s="2">
        <f ca="1">T128*Sheet2!S$22/_xlfn.STDEV.S(T$122:T$151)</f>
        <v>1.5621993921013579</v>
      </c>
      <c r="AS128" s="2">
        <f ca="1">U128*Sheet2!T$22/_xlfn.STDEV.S(U$122:U$151)</f>
        <v>1.4529634584719975</v>
      </c>
      <c r="AT128" s="2">
        <f ca="1">V128*Sheet2!U$22/_xlfn.STDEV.S(V$122:V$151)</f>
        <v>2.8854658581975534</v>
      </c>
      <c r="AU128" s="2">
        <f ca="1">W128*Sheet2!V$22/_xlfn.STDEV.S(W$122:W$151)</f>
        <v>1.4062906683682115</v>
      </c>
      <c r="AV128" s="2">
        <f ca="1">X128*Sheet2!W$22/_xlfn.STDEV.S(X$122:X$151)</f>
        <v>0.33024862728836807</v>
      </c>
      <c r="AW128" s="2">
        <f ca="1">Y128*Sheet2!X$22/_xlfn.STDEV.S(Y$122:Y$151)</f>
        <v>8.1859275390657633E-3</v>
      </c>
      <c r="AX128" s="2">
        <f ca="1">Z128*Sheet2!Y$22/_xlfn.STDEV.S(Z$122:Z$151)</f>
        <v>0.12348578237219582</v>
      </c>
      <c r="AY128" s="2">
        <f ca="1">AA128*Sheet2!Z$22/_xlfn.STDEV.S(AA$122:AA$151)</f>
        <v>0.14845689778902676</v>
      </c>
      <c r="AZ128" s="2">
        <f ca="1">AB128-AVERAGE(AB$122:AB$151)+Sheet2!C$21</f>
        <v>5.3016283325715792</v>
      </c>
      <c r="BA128" s="2">
        <f ca="1">AC128-AVERAGE(AC$122:AC$151)+Sheet2!D$21</f>
        <v>8.6795660240586834</v>
      </c>
      <c r="BB128" s="2">
        <f ca="1">AD128-AVERAGE(AD$122:AD$151)+Sheet2!E$21</f>
        <v>21.0123667341289</v>
      </c>
      <c r="BC128" s="2">
        <f ca="1">AE128-AVERAGE(AE$122:AE$151)+Sheet2!F$21</f>
        <v>5.499735280570472</v>
      </c>
      <c r="BD128" s="2">
        <f ca="1">AF128-AVERAGE(AF$122:AF$151)+Sheet2!G$21</f>
        <v>43.519626971158203</v>
      </c>
      <c r="BE128" s="2">
        <f ca="1">AG128-AVERAGE(AG$122:AG$151)+Sheet2!H$21</f>
        <v>25.99117892766894</v>
      </c>
      <c r="BF128" s="2">
        <f ca="1">AH128-AVERAGE(AH$122:AH$151)+Sheet2!I$21</f>
        <v>10.029363649904175</v>
      </c>
      <c r="BG128" s="2">
        <f ca="1">AI128-AVERAGE(AI$122:AI$151)+Sheet2!J$21</f>
        <v>28.203929887420202</v>
      </c>
      <c r="BH128" s="2">
        <f ca="1">AJ128-AVERAGE(AJ$122:AJ$151)+Sheet2!K$21</f>
        <v>20.256805748489427</v>
      </c>
      <c r="BI128" s="2">
        <f ca="1">AK128-AVERAGE(AK$122:AK$151)+Sheet2!L$21</f>
        <v>23.966879627597194</v>
      </c>
      <c r="BJ128" s="2">
        <f ca="1">AL128-AVERAGE(AL$122:AL$151)+Sheet2!M$21</f>
        <v>16.070966560712396</v>
      </c>
      <c r="BK128" s="2">
        <f ca="1">AM128-AVERAGE(AM$122:AM$151)+Sheet2!N$21</f>
        <v>8.0072879069899123</v>
      </c>
      <c r="BL128" s="2">
        <f ca="1">AN128-AVERAGE(AN$122:AN$151)+Sheet2!O$21</f>
        <v>8.0273698015713393</v>
      </c>
      <c r="BM128" s="2">
        <f ca="1">AO128-AVERAGE(AO$122:AO$151)+Sheet2!P$21</f>
        <v>15.879276917969289</v>
      </c>
      <c r="BN128" s="2">
        <f ca="1">AP128-AVERAGE(AP$122:AP$151)+Sheet2!Q$21</f>
        <v>24.264106898959302</v>
      </c>
      <c r="BO128" s="2">
        <f ca="1">AQ128-AVERAGE(AQ$122:AQ$151)+Sheet2!R$21</f>
        <v>8.4959459511825699</v>
      </c>
      <c r="BP128" s="2">
        <f ca="1">AR128-AVERAGE(AR$122:AR$151)+Sheet2!S$21</f>
        <v>4.7603744871461</v>
      </c>
      <c r="BQ128" s="2">
        <f ca="1">AS128-AVERAGE(AS$122:AS$151)+Sheet2!T$21</f>
        <v>8.9808640499650316</v>
      </c>
      <c r="BR128" s="2">
        <f ca="1">AT128-AVERAGE(AT$122:AT$151)+Sheet2!U$21</f>
        <v>23.837548135563974</v>
      </c>
      <c r="BS128" s="2">
        <f ca="1">AU128-AVERAGE(AU$122:AU$151)+Sheet2!V$21</f>
        <v>21.187405890375384</v>
      </c>
      <c r="BT128" s="2">
        <f ca="1">AV128-AVERAGE(AV$122:AV$151)+Sheet2!W$21</f>
        <v>30.860938801986919</v>
      </c>
      <c r="BU128" s="2">
        <f ca="1">AW128-AVERAGE(AW$122:AW$151)+Sheet2!X$21</f>
        <v>18.224324816384364</v>
      </c>
      <c r="BV128" s="2">
        <f ca="1">AX128-AVERAGE(AX$122:AX$151)+Sheet2!Y$21</f>
        <v>13.134005094477828</v>
      </c>
      <c r="BW128" s="2">
        <f ca="1">AY128-AVERAGE(AY$122:AY$151)+Sheet2!Z$21</f>
        <v>9.8571742697451992</v>
      </c>
      <c r="BZ128" s="2">
        <f ca="1">BA128-AVERAGE(AH$122:AH$151)+Sheet2!AB$21</f>
        <v>7.8981103790187834</v>
      </c>
      <c r="CA128" s="2">
        <f ca="1">BB128-AVERAGE(AI$122:AI$151)+Sheet2!AC$21</f>
        <v>18.391583460555847</v>
      </c>
      <c r="CB128" s="2">
        <f ca="1">BC128-AVERAGE(AJ$122:AJ$151)+Sheet2!AD$21</f>
        <v>3.7126371274216243</v>
      </c>
      <c r="CC128" s="2">
        <f ca="1">BD128-AVERAGE(AK$122:AK$151)+Sheet2!AE$21</f>
        <v>40.158443864414153</v>
      </c>
    </row>
    <row r="129" spans="2:81" x14ac:dyDescent="0.3">
      <c r="B129">
        <v>128</v>
      </c>
      <c r="C129" s="1">
        <v>5</v>
      </c>
      <c r="D129" s="2">
        <f t="shared" ca="1" si="13"/>
        <v>6.4124689946722935E-3</v>
      </c>
      <c r="E129" s="2">
        <f t="shared" ca="1" si="13"/>
        <v>0.69489772684026996</v>
      </c>
      <c r="F129" s="2">
        <f t="shared" ca="1" si="13"/>
        <v>7.9290793314332753E-2</v>
      </c>
      <c r="G129" s="2">
        <f t="shared" ca="1" si="13"/>
        <v>0.29097346691855697</v>
      </c>
      <c r="H129" s="2">
        <f t="shared" ca="1" si="13"/>
        <v>1.613242564553885E-2</v>
      </c>
      <c r="I129" s="2">
        <f t="shared" ca="1" si="13"/>
        <v>0.13766276463744243</v>
      </c>
      <c r="J129" s="2">
        <f t="shared" ca="1" si="13"/>
        <v>8.9993263916636201E-2</v>
      </c>
      <c r="K129" s="2">
        <f t="shared" ca="1" si="13"/>
        <v>0.54745607344968272</v>
      </c>
      <c r="L129" s="2">
        <f t="shared" ca="1" si="13"/>
        <v>0.96015823404628775</v>
      </c>
      <c r="M129" s="2">
        <f t="shared" ca="1" si="13"/>
        <v>0.90315403575829079</v>
      </c>
      <c r="N129" s="2">
        <f t="shared" ca="1" si="13"/>
        <v>0.71025689318772056</v>
      </c>
      <c r="O129" s="2">
        <f t="shared" ca="1" si="13"/>
        <v>0.45625751434945894</v>
      </c>
      <c r="P129" s="2">
        <f t="shared" ca="1" si="13"/>
        <v>0.2541191109086276</v>
      </c>
      <c r="Q129" s="2">
        <f t="shared" ca="1" si="12"/>
        <v>0.14900859121104493</v>
      </c>
      <c r="R129" s="2">
        <f t="shared" ca="1" si="12"/>
        <v>0.37182042932230397</v>
      </c>
      <c r="S129" s="2">
        <f t="shared" ca="1" si="12"/>
        <v>8.8688629959596366E-2</v>
      </c>
      <c r="T129" s="2">
        <f t="shared" ca="1" si="12"/>
        <v>0.72873953421270454</v>
      </c>
      <c r="U129" s="2">
        <f t="shared" ca="1" si="12"/>
        <v>0.78843952706320497</v>
      </c>
      <c r="V129" s="2">
        <f t="shared" ca="1" si="12"/>
        <v>0.73088160414449532</v>
      </c>
      <c r="W129" s="2">
        <f t="shared" ca="1" si="12"/>
        <v>0.47928441401073729</v>
      </c>
      <c r="X129" s="2">
        <f t="shared" ca="1" si="12"/>
        <v>0.75304520145166265</v>
      </c>
      <c r="Y129" s="2">
        <f t="shared" ca="1" si="12"/>
        <v>0.11005761878809317</v>
      </c>
      <c r="Z129" s="2">
        <f t="shared" ca="1" si="12"/>
        <v>0.92939230075775692</v>
      </c>
      <c r="AA129" s="2">
        <f t="shared" ca="1" si="12"/>
        <v>0.76673295687641607</v>
      </c>
      <c r="AB129" s="2">
        <f ca="1">D129*Sheet2!C$22/_xlfn.STDEV.S(D$122:D$151)</f>
        <v>2.1420409678934573E-2</v>
      </c>
      <c r="AC129" s="2">
        <f ca="1">E129*Sheet2!D$22/_xlfn.STDEV.S(E$122:E$151)</f>
        <v>2.8727334545176459</v>
      </c>
      <c r="AD129" s="2">
        <f ca="1">F129*Sheet2!E$22/_xlfn.STDEV.S(F$122:F$151)</f>
        <v>0.66699425765719855</v>
      </c>
      <c r="AE129" s="2">
        <f ca="1">G129*Sheet2!F$22/_xlfn.STDEV.S(G$122:G$151)</f>
        <v>3.6675385531234723</v>
      </c>
      <c r="AF129" s="2">
        <f ca="1">H129*Sheet2!G$22/_xlfn.STDEV.S(H$122:H$151)</f>
        <v>0.50689925578682582</v>
      </c>
      <c r="AG129" s="2">
        <f ca="1">I129*Sheet2!H$22/_xlfn.STDEV.S(I$122:I$151)</f>
        <v>2.5967253209062373</v>
      </c>
      <c r="AH129" s="2">
        <f ca="1">J129*Sheet2!I$22/_xlfn.STDEV.S(J$122:J$151)</f>
        <v>0.14331877178643243</v>
      </c>
      <c r="AI129" s="2">
        <f ca="1">K129*Sheet2!J$22/_xlfn.STDEV.S(K$122:K$151)</f>
        <v>2.6361314603543411</v>
      </c>
      <c r="AJ129" s="2">
        <f ca="1">L129*Sheet2!K$22/_xlfn.STDEV.S(L$122:L$151)</f>
        <v>3.8918054890341747</v>
      </c>
      <c r="AK129" s="2">
        <f ca="1">M129*Sheet2!L$22/_xlfn.STDEV.S(M$122:M$151)</f>
        <v>6.2736308458765997</v>
      </c>
      <c r="AL129" s="2">
        <f ca="1">N129*Sheet2!M$22/_xlfn.STDEV.S(N$122:N$151)</f>
        <v>4.6188566781469591</v>
      </c>
      <c r="AM129" s="2">
        <f ca="1">O129*Sheet2!N$22/_xlfn.STDEV.S(O$122:O$151)</f>
        <v>0.88860344794588864</v>
      </c>
      <c r="AN129" s="2">
        <f ca="1">P129*Sheet2!O$22/_xlfn.STDEV.S(P$122:P$151)</f>
        <v>0.81067465790545679</v>
      </c>
      <c r="AO129" s="2">
        <f ca="1">Q129*Sheet2!P$22/_xlfn.STDEV.S(Q$122:Q$151)</f>
        <v>0.8877187911193245</v>
      </c>
      <c r="AP129" s="2">
        <f ca="1">R129*Sheet2!Q$22/_xlfn.STDEV.S(R$122:R$151)</f>
        <v>2.947178117636525</v>
      </c>
      <c r="AQ129" s="2">
        <f ca="1">S129*Sheet2!R$22/_xlfn.STDEV.S(S$122:S$151)</f>
        <v>0.60970852434795964</v>
      </c>
      <c r="AR129" s="2">
        <f ca="1">T129*Sheet2!S$22/_xlfn.STDEV.S(T$122:T$151)</f>
        <v>2.8790689241939824</v>
      </c>
      <c r="AS129" s="2">
        <f ca="1">U129*Sheet2!T$22/_xlfn.STDEV.S(U$122:U$151)</f>
        <v>2.0834970415756509</v>
      </c>
      <c r="AT129" s="2">
        <f ca="1">V129*Sheet2!U$22/_xlfn.STDEV.S(V$122:V$151)</f>
        <v>3.6314864027380427</v>
      </c>
      <c r="AU129" s="2">
        <f ca="1">W129*Sheet2!V$22/_xlfn.STDEV.S(W$122:W$151)</f>
        <v>2.3631376038399874</v>
      </c>
      <c r="AV129" s="2">
        <f ca="1">X129*Sheet2!W$22/_xlfn.STDEV.S(X$122:X$151)</f>
        <v>3.1276486617274708</v>
      </c>
      <c r="AW129" s="2">
        <f ca="1">Y129*Sheet2!X$22/_xlfn.STDEV.S(Y$122:Y$151)</f>
        <v>0.46826135184986439</v>
      </c>
      <c r="AX129" s="2">
        <f ca="1">Z129*Sheet2!Y$22/_xlfn.STDEV.S(Z$122:Z$151)</f>
        <v>2.2623164241892462</v>
      </c>
      <c r="AY129" s="2">
        <f ca="1">AA129*Sheet2!Z$22/_xlfn.STDEV.S(AA$122:AA$151)</f>
        <v>1.4098893225599749</v>
      </c>
      <c r="AZ129" s="2">
        <f ca="1">AB129-AVERAGE(AB$122:AB$151)+Sheet2!C$21</f>
        <v>3.501387382531675</v>
      </c>
      <c r="BA129" s="2">
        <f ca="1">AC129-AVERAGE(AC$122:AC$151)+Sheet2!D$21</f>
        <v>8.0610464165423821</v>
      </c>
      <c r="BB129" s="2">
        <f ca="1">AD129-AVERAGE(AD$122:AD$151)+Sheet2!E$21</f>
        <v>19.13785419963893</v>
      </c>
      <c r="BC129" s="2">
        <f ca="1">AE129-AVERAGE(AE$122:AE$151)+Sheet2!F$21</f>
        <v>0.95174309693710768</v>
      </c>
      <c r="BD129" s="2">
        <f ca="1">AF129-AVERAGE(AF$122:AF$151)+Sheet2!G$21</f>
        <v>25.76425130269287</v>
      </c>
      <c r="BE129" s="2">
        <f ca="1">AG129-AVERAGE(AG$122:AG$151)+Sheet2!H$21</f>
        <v>15.574252978690629</v>
      </c>
      <c r="BF129" s="2">
        <f ca="1">AH129-AVERAGE(AH$122:AH$151)+Sheet2!I$21</f>
        <v>9.3072340923452348</v>
      </c>
      <c r="BG129" s="2">
        <f ca="1">AI129-AVERAGE(AI$122:AI$151)+Sheet2!J$21</f>
        <v>28.735011371485264</v>
      </c>
      <c r="BH129" s="2">
        <f ca="1">AJ129-AVERAGE(AJ$122:AJ$151)+Sheet2!K$21</f>
        <v>20.666910362609091</v>
      </c>
      <c r="BI129" s="2">
        <f ca="1">AK129-AVERAGE(AK$122:AK$151)+Sheet2!L$21</f>
        <v>29.057818704731254</v>
      </c>
      <c r="BJ129" s="2">
        <f ca="1">AL129-AVERAGE(AL$122:AL$151)+Sheet2!M$21</f>
        <v>16.774917373962339</v>
      </c>
      <c r="BK129" s="2">
        <f ca="1">AM129-AVERAGE(AM$122:AM$151)+Sheet2!N$21</f>
        <v>7.8510272189771904</v>
      </c>
      <c r="BL129" s="2">
        <f ca="1">AN129-AVERAGE(AN$122:AN$151)+Sheet2!O$21</f>
        <v>7.5604055914674673</v>
      </c>
      <c r="BM129" s="2">
        <f ca="1">AO129-AVERAGE(AO$122:AO$151)+Sheet2!P$21</f>
        <v>16.712448711068696</v>
      </c>
      <c r="BN129" s="2">
        <f ca="1">AP129-AVERAGE(AP$122:AP$151)+Sheet2!Q$21</f>
        <v>20.232204957090069</v>
      </c>
      <c r="BO129" s="2">
        <f ca="1">AQ129-AVERAGE(AQ$122:AQ$151)+Sheet2!R$21</f>
        <v>3.4634796119269731</v>
      </c>
      <c r="BP129" s="2">
        <f ca="1">AR129-AVERAGE(AR$122:AR$151)+Sheet2!S$21</f>
        <v>6.0772440192387247</v>
      </c>
      <c r="BQ129" s="2">
        <f ca="1">AS129-AVERAGE(AS$122:AS$151)+Sheet2!T$21</f>
        <v>9.6113976330686857</v>
      </c>
      <c r="BR129" s="2">
        <f ca="1">AT129-AVERAGE(AT$122:AT$151)+Sheet2!U$21</f>
        <v>24.583568680104463</v>
      </c>
      <c r="BS129" s="2">
        <f ca="1">AU129-AVERAGE(AU$122:AU$151)+Sheet2!V$21</f>
        <v>22.144252825847158</v>
      </c>
      <c r="BT129" s="2">
        <f ca="1">AV129-AVERAGE(AV$122:AV$151)+Sheet2!W$21</f>
        <v>33.658338836426026</v>
      </c>
      <c r="BU129" s="2">
        <f ca="1">AW129-AVERAGE(AW$122:AW$151)+Sheet2!X$21</f>
        <v>18.684400240695165</v>
      </c>
      <c r="BV129" s="2">
        <f ca="1">AX129-AVERAGE(AX$122:AX$151)+Sheet2!Y$21</f>
        <v>15.27283573629488</v>
      </c>
      <c r="BW129" s="2">
        <f ca="1">AY129-AVERAGE(AY$122:AY$151)+Sheet2!Z$21</f>
        <v>11.118606694516147</v>
      </c>
      <c r="BZ129" s="2">
        <f ca="1">BA129-AVERAGE(AH$122:AH$151)+Sheet2!AB$21</f>
        <v>7.2795907715024821</v>
      </c>
      <c r="CA129" s="2">
        <f ca="1">BB129-AVERAGE(AI$122:AI$151)+Sheet2!AC$21</f>
        <v>16.51707092606588</v>
      </c>
      <c r="CB129" s="2">
        <f ca="1">BC129-AVERAGE(AJ$122:AJ$151)+Sheet2!AD$21</f>
        <v>-0.83535505621174</v>
      </c>
      <c r="CC129" s="2">
        <f ca="1">BD129-AVERAGE(AK$122:AK$151)+Sheet2!AE$21</f>
        <v>22.403068195948823</v>
      </c>
    </row>
    <row r="130" spans="2:81" x14ac:dyDescent="0.3">
      <c r="B130">
        <v>129</v>
      </c>
      <c r="C130" s="1">
        <v>5</v>
      </c>
      <c r="D130" s="2">
        <f t="shared" ca="1" si="13"/>
        <v>0.85425812438468329</v>
      </c>
      <c r="E130" s="2">
        <f t="shared" ca="1" si="13"/>
        <v>0.88134632114653633</v>
      </c>
      <c r="F130" s="2">
        <f t="shared" ca="1" si="13"/>
        <v>0.42699238338964574</v>
      </c>
      <c r="G130" s="2">
        <f t="shared" ca="1" si="13"/>
        <v>0.66417524162603181</v>
      </c>
      <c r="H130" s="2">
        <f t="shared" ca="1" si="13"/>
        <v>0.54039743119995198</v>
      </c>
      <c r="I130" s="2">
        <f t="shared" ca="1" si="13"/>
        <v>0.4329032977482915</v>
      </c>
      <c r="J130" s="2">
        <f t="shared" ca="1" si="13"/>
        <v>5.8315810206833296E-2</v>
      </c>
      <c r="K130" s="2">
        <f t="shared" ca="1" si="13"/>
        <v>6.7897785740047234E-2</v>
      </c>
      <c r="L130" s="2">
        <f t="shared" ca="1" si="13"/>
        <v>0.26691342158877196</v>
      </c>
      <c r="M130" s="2">
        <f t="shared" ca="1" si="13"/>
        <v>5.4837129258333839E-4</v>
      </c>
      <c r="N130" s="2">
        <f t="shared" ca="1" si="13"/>
        <v>0.93791569311135192</v>
      </c>
      <c r="O130" s="2">
        <f t="shared" ca="1" si="13"/>
        <v>0.41435648752766518</v>
      </c>
      <c r="P130" s="2">
        <f t="shared" ca="1" si="13"/>
        <v>0.56010504703131481</v>
      </c>
      <c r="Q130" s="2">
        <f t="shared" ca="1" si="12"/>
        <v>0.70906915510482371</v>
      </c>
      <c r="R130" s="2">
        <f t="shared" ca="1" si="12"/>
        <v>0.5213448549737788</v>
      </c>
      <c r="S130" s="2">
        <f t="shared" ca="1" si="12"/>
        <v>0.79654278209473428</v>
      </c>
      <c r="T130" s="2">
        <f t="shared" ca="1" si="12"/>
        <v>0.40211102956238487</v>
      </c>
      <c r="U130" s="2">
        <f t="shared" ca="1" si="12"/>
        <v>0.86982422609004706</v>
      </c>
      <c r="V130" s="2">
        <f t="shared" ca="1" si="12"/>
        <v>0.19394197458203499</v>
      </c>
      <c r="W130" s="2">
        <f t="shared" ca="1" si="12"/>
        <v>0.60325678700940888</v>
      </c>
      <c r="X130" s="2">
        <f t="shared" ca="1" si="12"/>
        <v>0.14668800528936143</v>
      </c>
      <c r="Y130" s="2">
        <f t="shared" ca="1" si="12"/>
        <v>0.8879932019496678</v>
      </c>
      <c r="Z130" s="2">
        <f t="shared" ca="1" si="12"/>
        <v>0.67162671356517989</v>
      </c>
      <c r="AA130" s="2">
        <f t="shared" ca="1" si="12"/>
        <v>0.20078912294963969</v>
      </c>
      <c r="AB130" s="2">
        <f ca="1">D130*Sheet2!C$22/_xlfn.STDEV.S(D$122:D$151)</f>
        <v>2.853590249103934</v>
      </c>
      <c r="AC130" s="2">
        <f ca="1">E130*Sheet2!D$22/_xlfn.STDEV.S(E$122:E$151)</f>
        <v>3.6435189870115767</v>
      </c>
      <c r="AD130" s="2">
        <f ca="1">F130*Sheet2!E$22/_xlfn.STDEV.S(F$122:F$151)</f>
        <v>3.5918604907282905</v>
      </c>
      <c r="AE130" s="2">
        <f ca="1">G130*Sheet2!F$22/_xlfn.STDEV.S(G$122:G$151)</f>
        <v>8.3715134939618778</v>
      </c>
      <c r="AF130" s="2">
        <f ca="1">H130*Sheet2!G$22/_xlfn.STDEV.S(H$122:H$151)</f>
        <v>16.979905051049652</v>
      </c>
      <c r="AG130" s="2">
        <f ca="1">I130*Sheet2!H$22/_xlfn.STDEV.S(I$122:I$151)</f>
        <v>8.1658316083320326</v>
      </c>
      <c r="AH130" s="2">
        <f ca="1">J130*Sheet2!I$22/_xlfn.STDEV.S(J$122:J$151)</f>
        <v>9.2870843114614826E-2</v>
      </c>
      <c r="AI130" s="2">
        <f ca="1">K130*Sheet2!J$22/_xlfn.STDEV.S(K$122:K$151)</f>
        <v>0.32694401936192569</v>
      </c>
      <c r="AJ130" s="2">
        <f ca="1">L130*Sheet2!K$22/_xlfn.STDEV.S(L$122:L$151)</f>
        <v>1.0818790928433548</v>
      </c>
      <c r="AK130" s="2">
        <f ca="1">M130*Sheet2!L$22/_xlfn.STDEV.S(M$122:M$151)</f>
        <v>3.8091830628377648E-3</v>
      </c>
      <c r="AL130" s="2">
        <f ca="1">N130*Sheet2!M$22/_xlfn.STDEV.S(N$122:N$151)</f>
        <v>6.0993398363558438</v>
      </c>
      <c r="AM130" s="2">
        <f ca="1">O130*Sheet2!N$22/_xlfn.STDEV.S(O$122:O$151)</f>
        <v>0.80699734670850465</v>
      </c>
      <c r="AN130" s="2">
        <f ca="1">P130*Sheet2!O$22/_xlfn.STDEV.S(P$122:P$151)</f>
        <v>1.7868115694631725</v>
      </c>
      <c r="AO130" s="2">
        <f ca="1">Q130*Sheet2!P$22/_xlfn.STDEV.S(Q$122:Q$151)</f>
        <v>4.2242800101246649</v>
      </c>
      <c r="AP130" s="2">
        <f ca="1">R130*Sheet2!Q$22/_xlfn.STDEV.S(R$122:R$151)</f>
        <v>4.1323607503804816</v>
      </c>
      <c r="AQ130" s="2">
        <f ca="1">S130*Sheet2!R$22/_xlfn.STDEV.S(S$122:S$151)</f>
        <v>5.4759998488222115</v>
      </c>
      <c r="AR130" s="2">
        <f ca="1">T130*Sheet2!S$22/_xlfn.STDEV.S(T$122:T$151)</f>
        <v>1.5886408173798885</v>
      </c>
      <c r="AS130" s="2">
        <f ca="1">U130*Sheet2!T$22/_xlfn.STDEV.S(U$122:U$151)</f>
        <v>2.2985608148031913</v>
      </c>
      <c r="AT130" s="2">
        <f ca="1">V130*Sheet2!U$22/_xlfn.STDEV.S(V$122:V$151)</f>
        <v>0.96362754189061173</v>
      </c>
      <c r="AU130" s="2">
        <f ca="1">W130*Sheet2!V$22/_xlfn.STDEV.S(W$122:W$151)</f>
        <v>2.9743900625186765</v>
      </c>
      <c r="AV130" s="2">
        <f ca="1">X130*Sheet2!W$22/_xlfn.STDEV.S(X$122:X$151)</f>
        <v>0.60924436215824251</v>
      </c>
      <c r="AW130" s="2">
        <f ca="1">Y130*Sheet2!X$22/_xlfn.STDEV.S(Y$122:Y$151)</f>
        <v>3.7781382312028247</v>
      </c>
      <c r="AX130" s="2">
        <f ca="1">Z130*Sheet2!Y$22/_xlfn.STDEV.S(Z$122:Z$151)</f>
        <v>1.634866292505244</v>
      </c>
      <c r="AY130" s="2">
        <f ca="1">AA130*Sheet2!Z$22/_xlfn.STDEV.S(AA$122:AA$151)</f>
        <v>0.36921647621116699</v>
      </c>
      <c r="AZ130" s="2">
        <f ca="1">AB130-AVERAGE(AB$122:AB$151)+Sheet2!C$21</f>
        <v>6.3335572219566743</v>
      </c>
      <c r="BA130" s="2">
        <f ca="1">AC130-AVERAGE(AC$122:AC$151)+Sheet2!D$21</f>
        <v>8.8318319490363137</v>
      </c>
      <c r="BB130" s="2">
        <f ca="1">AD130-AVERAGE(AD$122:AD$151)+Sheet2!E$21</f>
        <v>22.062720432710023</v>
      </c>
      <c r="BC130" s="2">
        <f ca="1">AE130-AVERAGE(AE$122:AE$151)+Sheet2!F$21</f>
        <v>5.6557180377755136</v>
      </c>
      <c r="BD130" s="2">
        <f ca="1">AF130-AVERAGE(AF$122:AF$151)+Sheet2!G$21</f>
        <v>42.237257097955698</v>
      </c>
      <c r="BE130" s="2">
        <f ca="1">AG130-AVERAGE(AG$122:AG$151)+Sheet2!H$21</f>
        <v>21.143359266116423</v>
      </c>
      <c r="BF130" s="2">
        <f ca="1">AH130-AVERAGE(AH$122:AH$151)+Sheet2!I$21</f>
        <v>9.2567861636734179</v>
      </c>
      <c r="BG130" s="2">
        <f ca="1">AI130-AVERAGE(AI$122:AI$151)+Sheet2!J$21</f>
        <v>26.42582393049285</v>
      </c>
      <c r="BH130" s="2">
        <f ca="1">AJ130-AVERAGE(AJ$122:AJ$151)+Sheet2!K$21</f>
        <v>17.856983966418273</v>
      </c>
      <c r="BI130" s="2">
        <f ca="1">AK130-AVERAGE(AK$122:AK$151)+Sheet2!L$21</f>
        <v>22.787997041917489</v>
      </c>
      <c r="BJ130" s="2">
        <f ca="1">AL130-AVERAGE(AL$122:AL$151)+Sheet2!M$21</f>
        <v>18.255400532171222</v>
      </c>
      <c r="BK130" s="2">
        <f ca="1">AM130-AVERAGE(AM$122:AM$151)+Sheet2!N$21</f>
        <v>7.7694211177398067</v>
      </c>
      <c r="BL130" s="2">
        <f ca="1">AN130-AVERAGE(AN$122:AN$151)+Sheet2!O$21</f>
        <v>8.5365425030251831</v>
      </c>
      <c r="BM130" s="2">
        <f ca="1">AO130-AVERAGE(AO$122:AO$151)+Sheet2!P$21</f>
        <v>20.049009930074035</v>
      </c>
      <c r="BN130" s="2">
        <f ca="1">AP130-AVERAGE(AP$122:AP$151)+Sheet2!Q$21</f>
        <v>21.417387589834025</v>
      </c>
      <c r="BO130" s="2">
        <f ca="1">AQ130-AVERAGE(AQ$122:AQ$151)+Sheet2!R$21</f>
        <v>8.3297709364012249</v>
      </c>
      <c r="BP130" s="2">
        <f ca="1">AR130-AVERAGE(AR$122:AR$151)+Sheet2!S$21</f>
        <v>4.7868159124246308</v>
      </c>
      <c r="BQ130" s="2">
        <f ca="1">AS130-AVERAGE(AS$122:AS$151)+Sheet2!T$21</f>
        <v>9.8264614062962252</v>
      </c>
      <c r="BR130" s="2">
        <f ca="1">AT130-AVERAGE(AT$122:AT$151)+Sheet2!U$21</f>
        <v>21.915709819257032</v>
      </c>
      <c r="BS130" s="2">
        <f ca="1">AU130-AVERAGE(AU$122:AU$151)+Sheet2!V$21</f>
        <v>22.755505284525849</v>
      </c>
      <c r="BT130" s="2">
        <f ca="1">AV130-AVERAGE(AV$122:AV$151)+Sheet2!W$21</f>
        <v>31.139934536856796</v>
      </c>
      <c r="BU130" s="2">
        <f ca="1">AW130-AVERAGE(AW$122:AW$151)+Sheet2!X$21</f>
        <v>21.994277120048125</v>
      </c>
      <c r="BV130" s="2">
        <f ca="1">AX130-AVERAGE(AX$122:AX$151)+Sheet2!Y$21</f>
        <v>14.645385604610878</v>
      </c>
      <c r="BW130" s="2">
        <f ca="1">AY130-AVERAGE(AY$122:AY$151)+Sheet2!Z$21</f>
        <v>10.077933848167339</v>
      </c>
      <c r="BZ130" s="2">
        <f ca="1">BA130-AVERAGE(AH$122:AH$151)+Sheet2!AB$21</f>
        <v>8.0503763039964138</v>
      </c>
      <c r="CA130" s="2">
        <f ca="1">BB130-AVERAGE(AI$122:AI$151)+Sheet2!AC$21</f>
        <v>19.441937159136973</v>
      </c>
      <c r="CB130" s="2">
        <f ca="1">BC130-AVERAGE(AJ$122:AJ$151)+Sheet2!AD$21</f>
        <v>3.868619884626666</v>
      </c>
      <c r="CC130" s="2">
        <f ca="1">BD130-AVERAGE(AK$122:AK$151)+Sheet2!AE$21</f>
        <v>38.876073991211648</v>
      </c>
    </row>
    <row r="131" spans="2:81" x14ac:dyDescent="0.3">
      <c r="B131">
        <v>130</v>
      </c>
      <c r="C131" s="1">
        <v>5</v>
      </c>
      <c r="D131" s="2">
        <f t="shared" ca="1" si="13"/>
        <v>0.62709489867781476</v>
      </c>
      <c r="E131" s="2">
        <f t="shared" ca="1" si="13"/>
        <v>0.34599199734956321</v>
      </c>
      <c r="F131" s="2">
        <f t="shared" ca="1" si="13"/>
        <v>9.4952221966873029E-3</v>
      </c>
      <c r="G131" s="2">
        <f t="shared" ca="1" si="13"/>
        <v>0.18044137217066092</v>
      </c>
      <c r="H131" s="2">
        <f t="shared" ca="1" si="13"/>
        <v>0.65637464825803615</v>
      </c>
      <c r="I131" s="2">
        <f t="shared" ca="1" si="13"/>
        <v>0.78891937220842201</v>
      </c>
      <c r="J131" s="2">
        <f t="shared" ca="1" si="13"/>
        <v>0.79062455856618563</v>
      </c>
      <c r="K131" s="2">
        <f t="shared" ca="1" si="13"/>
        <v>0.9369254999507971</v>
      </c>
      <c r="L131" s="2">
        <f t="shared" ca="1" si="13"/>
        <v>0.63095239042419082</v>
      </c>
      <c r="M131" s="2">
        <f t="shared" ca="1" si="13"/>
        <v>0.57865632749579499</v>
      </c>
      <c r="N131" s="2">
        <f t="shared" ca="1" si="13"/>
        <v>0.52894618532187954</v>
      </c>
      <c r="O131" s="2">
        <f t="shared" ca="1" si="13"/>
        <v>4.5413991660749109E-2</v>
      </c>
      <c r="P131" s="2">
        <f t="shared" ca="1" si="13"/>
        <v>0.67976258693456015</v>
      </c>
      <c r="Q131" s="2">
        <f t="shared" ca="1" si="12"/>
        <v>0.13228883888654897</v>
      </c>
      <c r="R131" s="2">
        <f t="shared" ca="1" si="12"/>
        <v>0.36808858192787786</v>
      </c>
      <c r="S131" s="2">
        <f t="shared" ca="1" si="12"/>
        <v>9.5357563601351392E-2</v>
      </c>
      <c r="T131" s="2">
        <f t="shared" ca="1" si="12"/>
        <v>0.51786888831910882</v>
      </c>
      <c r="U131" s="2">
        <f t="shared" ca="1" si="12"/>
        <v>0.51215504948124702</v>
      </c>
      <c r="V131" s="2">
        <f t="shared" ca="1" si="12"/>
        <v>0.52949389231267796</v>
      </c>
      <c r="W131" s="2">
        <f t="shared" ca="1" si="12"/>
        <v>0.70149873120108119</v>
      </c>
      <c r="X131" s="2">
        <f t="shared" ca="1" si="12"/>
        <v>0.47648912089999385</v>
      </c>
      <c r="Y131" s="2">
        <f t="shared" ca="1" si="12"/>
        <v>5.0885033166129356E-2</v>
      </c>
      <c r="Z131" s="2">
        <f t="shared" ca="1" si="12"/>
        <v>0.90773637240806115</v>
      </c>
      <c r="AA131" s="2">
        <f t="shared" ca="1" si="12"/>
        <v>0.9313509381748909</v>
      </c>
      <c r="AB131" s="2">
        <f ca="1">D131*Sheet2!C$22/_xlfn.STDEV.S(D$122:D$151)</f>
        <v>2.094767186930504</v>
      </c>
      <c r="AC131" s="2">
        <f ca="1">E131*Sheet2!D$22/_xlfn.STDEV.S(E$122:E$151)</f>
        <v>1.4303439878857738</v>
      </c>
      <c r="AD131" s="2">
        <f ca="1">F131*Sheet2!E$22/_xlfn.STDEV.S(F$122:F$151)</f>
        <v>7.9873821608300019E-2</v>
      </c>
      <c r="AE131" s="2">
        <f ca="1">G131*Sheet2!F$22/_xlfn.STDEV.S(G$122:G$151)</f>
        <v>2.2743506341752799</v>
      </c>
      <c r="AF131" s="2">
        <f ca="1">H131*Sheet2!G$22/_xlfn.STDEV.S(H$122:H$151)</f>
        <v>20.624041791963567</v>
      </c>
      <c r="AG131" s="2">
        <f ca="1">I131*Sheet2!H$22/_xlfn.STDEV.S(I$122:I$151)</f>
        <v>14.881343661536986</v>
      </c>
      <c r="AH131" s="2">
        <f ca="1">J131*Sheet2!I$22/_xlfn.STDEV.S(J$122:J$151)</f>
        <v>1.2591091349110324</v>
      </c>
      <c r="AI131" s="2">
        <f ca="1">K131*Sheet2!J$22/_xlfn.STDEV.S(K$122:K$151)</f>
        <v>4.5115195651501399</v>
      </c>
      <c r="AJ131" s="2">
        <f ca="1">L131*Sheet2!K$22/_xlfn.STDEV.S(L$122:L$151)</f>
        <v>2.5574367737533992</v>
      </c>
      <c r="AK131" s="2">
        <f ca="1">M131*Sheet2!L$22/_xlfn.STDEV.S(M$122:M$151)</f>
        <v>4.0195537434445505</v>
      </c>
      <c r="AL131" s="2">
        <f ca="1">N131*Sheet2!M$22/_xlfn.STDEV.S(N$122:N$151)</f>
        <v>3.4397788235313964</v>
      </c>
      <c r="AM131" s="2">
        <f ca="1">O131*Sheet2!N$22/_xlfn.STDEV.S(O$122:O$151)</f>
        <v>8.8447923169586579E-2</v>
      </c>
      <c r="AN131" s="2">
        <f ca="1">P131*Sheet2!O$22/_xlfn.STDEV.S(P$122:P$151)</f>
        <v>2.168535458233392</v>
      </c>
      <c r="AO131" s="2">
        <f ca="1">Q131*Sheet2!P$22/_xlfn.STDEV.S(Q$122:Q$151)</f>
        <v>0.78811085441791418</v>
      </c>
      <c r="AP131" s="2">
        <f ca="1">R131*Sheet2!Q$22/_xlfn.STDEV.S(R$122:R$151)</f>
        <v>2.9175981964921771</v>
      </c>
      <c r="AQ131" s="2">
        <f ca="1">S131*Sheet2!R$22/_xlfn.STDEV.S(S$122:S$151)</f>
        <v>0.65555550260820905</v>
      </c>
      <c r="AR131" s="2">
        <f ca="1">T131*Sheet2!S$22/_xlfn.STDEV.S(T$122:T$151)</f>
        <v>2.0459713699726945</v>
      </c>
      <c r="AS131" s="2">
        <f ca="1">U131*Sheet2!T$22/_xlfn.STDEV.S(U$122:U$151)</f>
        <v>1.3533993334870789</v>
      </c>
      <c r="AT131" s="2">
        <f ca="1">V131*Sheet2!U$22/_xlfn.STDEV.S(V$122:V$151)</f>
        <v>2.6308636848468061</v>
      </c>
      <c r="AU131" s="2">
        <f ca="1">W131*Sheet2!V$22/_xlfn.STDEV.S(W$122:W$151)</f>
        <v>3.4587772568589652</v>
      </c>
      <c r="AV131" s="2">
        <f ca="1">X131*Sheet2!W$22/_xlfn.STDEV.S(X$122:X$151)</f>
        <v>1.9790187341180809</v>
      </c>
      <c r="AW131" s="2">
        <f ca="1">Y131*Sheet2!X$22/_xlfn.STDEV.S(Y$122:Y$151)</f>
        <v>0.21650018128390355</v>
      </c>
      <c r="AX131" s="2">
        <f ca="1">Z131*Sheet2!Y$22/_xlfn.STDEV.S(Z$122:Z$151)</f>
        <v>2.2096018037360343</v>
      </c>
      <c r="AY131" s="2">
        <f ca="1">AA131*Sheet2!Z$22/_xlfn.STDEV.S(AA$122:AA$151)</f>
        <v>1.7125933240673819</v>
      </c>
      <c r="AZ131" s="2">
        <f ca="1">AB131-AVERAGE(AB$122:AB$151)+Sheet2!C$21</f>
        <v>5.5747341597832447</v>
      </c>
      <c r="BA131" s="2">
        <f ca="1">AC131-AVERAGE(AC$122:AC$151)+Sheet2!D$21</f>
        <v>6.6186569499105108</v>
      </c>
      <c r="BB131" s="2">
        <f ca="1">AD131-AVERAGE(AD$122:AD$151)+Sheet2!E$21</f>
        <v>18.550733763590031</v>
      </c>
      <c r="BC131" s="2">
        <f ca="1">AE131-AVERAGE(AE$122:AE$151)+Sheet2!F$21</f>
        <v>-0.44144482201108382</v>
      </c>
      <c r="BD131" s="2">
        <f ca="1">AF131-AVERAGE(AF$122:AF$151)+Sheet2!G$21</f>
        <v>45.881393838869613</v>
      </c>
      <c r="BE131" s="2">
        <f ca="1">AG131-AVERAGE(AG$122:AG$151)+Sheet2!H$21</f>
        <v>27.858871319321377</v>
      </c>
      <c r="BF131" s="2">
        <f ca="1">AH131-AVERAGE(AH$122:AH$151)+Sheet2!I$21</f>
        <v>10.423024455469834</v>
      </c>
      <c r="BG131" s="2">
        <f ca="1">AI131-AVERAGE(AI$122:AI$151)+Sheet2!J$21</f>
        <v>30.610399476281064</v>
      </c>
      <c r="BH131" s="2">
        <f ca="1">AJ131-AVERAGE(AJ$122:AJ$151)+Sheet2!K$21</f>
        <v>19.332541647328316</v>
      </c>
      <c r="BI131" s="2">
        <f ca="1">AK131-AVERAGE(AK$122:AK$151)+Sheet2!L$21</f>
        <v>26.803741602299205</v>
      </c>
      <c r="BJ131" s="2">
        <f ca="1">AL131-AVERAGE(AL$122:AL$151)+Sheet2!M$21</f>
        <v>15.595839519346775</v>
      </c>
      <c r="BK131" s="2">
        <f ca="1">AM131-AVERAGE(AM$122:AM$151)+Sheet2!N$21</f>
        <v>7.0508716942008887</v>
      </c>
      <c r="BL131" s="2">
        <f ca="1">AN131-AVERAGE(AN$122:AN$151)+Sheet2!O$21</f>
        <v>8.9182663917954024</v>
      </c>
      <c r="BM131" s="2">
        <f ca="1">AO131-AVERAGE(AO$122:AO$151)+Sheet2!P$21</f>
        <v>16.612840774367285</v>
      </c>
      <c r="BN131" s="2">
        <f ca="1">AP131-AVERAGE(AP$122:AP$151)+Sheet2!Q$21</f>
        <v>20.202625035945719</v>
      </c>
      <c r="BO131" s="2">
        <f ca="1">AQ131-AVERAGE(AQ$122:AQ$151)+Sheet2!R$21</f>
        <v>3.5093265901872224</v>
      </c>
      <c r="BP131" s="2">
        <f ca="1">AR131-AVERAGE(AR$122:AR$151)+Sheet2!S$21</f>
        <v>5.2441464650174368</v>
      </c>
      <c r="BQ131" s="2">
        <f ca="1">AS131-AVERAGE(AS$122:AS$151)+Sheet2!T$21</f>
        <v>8.8812999249801123</v>
      </c>
      <c r="BR131" s="2">
        <f ca="1">AT131-AVERAGE(AT$122:AT$151)+Sheet2!U$21</f>
        <v>23.582945962213227</v>
      </c>
      <c r="BS131" s="2">
        <f ca="1">AU131-AVERAGE(AU$122:AU$151)+Sheet2!V$21</f>
        <v>23.239892478866135</v>
      </c>
      <c r="BT131" s="2">
        <f ca="1">AV131-AVERAGE(AV$122:AV$151)+Sheet2!W$21</f>
        <v>32.509708908816634</v>
      </c>
      <c r="BU131" s="2">
        <f ca="1">AW131-AVERAGE(AW$122:AW$151)+Sheet2!X$21</f>
        <v>18.432639070129202</v>
      </c>
      <c r="BV131" s="2">
        <f ca="1">AX131-AVERAGE(AX$122:AX$151)+Sheet2!Y$21</f>
        <v>15.220121115841668</v>
      </c>
      <c r="BW131" s="2">
        <f ca="1">AY131-AVERAGE(AY$122:AY$151)+Sheet2!Z$21</f>
        <v>11.421310696023554</v>
      </c>
      <c r="BZ131" s="2">
        <f ca="1">BA131-AVERAGE(AH$122:AH$151)+Sheet2!AB$21</f>
        <v>5.8372013048706108</v>
      </c>
      <c r="CA131" s="2">
        <f ca="1">BB131-AVERAGE(AI$122:AI$151)+Sheet2!AC$21</f>
        <v>15.92995049001698</v>
      </c>
      <c r="CB131" s="2">
        <f ca="1">BC131-AVERAGE(AJ$122:AJ$151)+Sheet2!AD$21</f>
        <v>-2.2285429751599315</v>
      </c>
      <c r="CC131" s="2">
        <f ca="1">BD131-AVERAGE(AK$122:AK$151)+Sheet2!AE$21</f>
        <v>42.520210732125562</v>
      </c>
    </row>
    <row r="132" spans="2:81" x14ac:dyDescent="0.3">
      <c r="B132">
        <v>131</v>
      </c>
      <c r="C132" s="1">
        <v>5</v>
      </c>
      <c r="D132" s="2">
        <f t="shared" ca="1" si="13"/>
        <v>0.76335675255970636</v>
      </c>
      <c r="E132" s="2">
        <f t="shared" ca="1" si="13"/>
        <v>0.77978506086125987</v>
      </c>
      <c r="F132" s="2">
        <f t="shared" ca="1" si="13"/>
        <v>0.35639247894230464</v>
      </c>
      <c r="G132" s="2">
        <f t="shared" ca="1" si="13"/>
        <v>0.6767805724879371</v>
      </c>
      <c r="H132" s="2">
        <f t="shared" ca="1" si="13"/>
        <v>0.17775176743793031</v>
      </c>
      <c r="I132" s="2">
        <f t="shared" ca="1" si="13"/>
        <v>0.57374611495348971</v>
      </c>
      <c r="J132" s="2">
        <f t="shared" ca="1" si="13"/>
        <v>0.71160305504094779</v>
      </c>
      <c r="K132" s="2">
        <f t="shared" ca="1" si="13"/>
        <v>0.48108845083282992</v>
      </c>
      <c r="L132" s="2">
        <f t="shared" ca="1" si="13"/>
        <v>0.43122936978173443</v>
      </c>
      <c r="M132" s="2">
        <f t="shared" ca="1" si="13"/>
        <v>0.20117185816566852</v>
      </c>
      <c r="N132" s="2">
        <f t="shared" ca="1" si="13"/>
        <v>0.84631876191425948</v>
      </c>
      <c r="O132" s="2">
        <f t="shared" ca="1" si="13"/>
        <v>0.90023010406160886</v>
      </c>
      <c r="P132" s="2">
        <f t="shared" ca="1" si="13"/>
        <v>0.64826078219854955</v>
      </c>
      <c r="Q132" s="2">
        <f t="shared" ca="1" si="13"/>
        <v>0.61607543911874896</v>
      </c>
      <c r="R132" s="2">
        <f t="shared" ca="1" si="13"/>
        <v>0.51308629702912889</v>
      </c>
      <c r="S132" s="2">
        <f t="shared" ca="1" si="13"/>
        <v>0.59523750972264311</v>
      </c>
      <c r="T132" s="2">
        <f t="shared" ca="1" si="12"/>
        <v>0.42537589097626227</v>
      </c>
      <c r="U132" s="2">
        <f t="shared" ca="1" si="12"/>
        <v>0.74697081358911432</v>
      </c>
      <c r="V132" s="2">
        <f t="shared" ca="1" si="12"/>
        <v>0.33815240148143866</v>
      </c>
      <c r="W132" s="2">
        <f t="shared" ca="1" si="12"/>
        <v>0.82778526432188904</v>
      </c>
      <c r="X132" s="2">
        <f t="shared" ca="1" si="12"/>
        <v>0.36550405116937645</v>
      </c>
      <c r="Y132" s="2">
        <f t="shared" ca="1" si="12"/>
        <v>0.20665683459603512</v>
      </c>
      <c r="Z132" s="2">
        <f t="shared" ca="1" si="12"/>
        <v>0.1006973040274447</v>
      </c>
      <c r="AA132" s="2">
        <f t="shared" ca="1" si="12"/>
        <v>0.7669144760122244</v>
      </c>
      <c r="AB132" s="2">
        <f ca="1">D132*Sheet2!C$22/_xlfn.STDEV.S(D$122:D$151)</f>
        <v>2.5499404963353949</v>
      </c>
      <c r="AC132" s="2">
        <f ca="1">E132*Sheet2!D$22/_xlfn.STDEV.S(E$122:E$151)</f>
        <v>3.2236609002235737</v>
      </c>
      <c r="AD132" s="2">
        <f ca="1">F132*Sheet2!E$22/_xlfn.STDEV.S(F$122:F$151)</f>
        <v>2.9979740016519933</v>
      </c>
      <c r="AE132" s="2">
        <f ca="1">G132*Sheet2!F$22/_xlfn.STDEV.S(G$122:G$151)</f>
        <v>8.5303958051241349</v>
      </c>
      <c r="AF132" s="2">
        <f ca="1">H132*Sheet2!G$22/_xlfn.STDEV.S(H$122:H$151)</f>
        <v>5.585163732274574</v>
      </c>
      <c r="AG132" s="2">
        <f ca="1">I132*Sheet2!H$22/_xlfn.STDEV.S(I$122:I$151)</f>
        <v>10.822542089686358</v>
      </c>
      <c r="AH132" s="2">
        <f ca="1">J132*Sheet2!I$22/_xlfn.STDEV.S(J$122:J$151)</f>
        <v>1.1332634400549673</v>
      </c>
      <c r="AI132" s="2">
        <f ca="1">K132*Sheet2!J$22/_xlfn.STDEV.S(K$122:K$151)</f>
        <v>2.3165555410905827</v>
      </c>
      <c r="AJ132" s="2">
        <f ca="1">L132*Sheet2!K$22/_xlfn.STDEV.S(L$122:L$151)</f>
        <v>1.7479002614775216</v>
      </c>
      <c r="AK132" s="2">
        <f ca="1">M132*Sheet2!L$22/_xlfn.STDEV.S(M$122:M$151)</f>
        <v>1.3974116537615935</v>
      </c>
      <c r="AL132" s="2">
        <f ca="1">N132*Sheet2!M$22/_xlfn.STDEV.S(N$122:N$151)</f>
        <v>5.50367775772588</v>
      </c>
      <c r="AM132" s="2">
        <f ca="1">O132*Sheet2!N$22/_xlfn.STDEV.S(O$122:O$151)</f>
        <v>1.7532808759422032</v>
      </c>
      <c r="AN132" s="2">
        <f ca="1">P132*Sheet2!O$22/_xlfn.STDEV.S(P$122:P$151)</f>
        <v>2.0680404002802244</v>
      </c>
      <c r="AO132" s="2">
        <f ca="1">Q132*Sheet2!P$22/_xlfn.STDEV.S(Q$122:Q$151)</f>
        <v>3.6702698791253652</v>
      </c>
      <c r="AP132" s="2">
        <f ca="1">R132*Sheet2!Q$22/_xlfn.STDEV.S(R$122:R$151)</f>
        <v>4.0669005461037351</v>
      </c>
      <c r="AQ132" s="2">
        <f ca="1">S132*Sheet2!R$22/_xlfn.STDEV.S(S$122:S$151)</f>
        <v>4.0920846770874926</v>
      </c>
      <c r="AR132" s="2">
        <f ca="1">T132*Sheet2!S$22/_xlfn.STDEV.S(T$122:T$151)</f>
        <v>1.680554507220714</v>
      </c>
      <c r="AS132" s="2">
        <f ca="1">U132*Sheet2!T$22/_xlfn.STDEV.S(U$122:U$151)</f>
        <v>1.9739135683027667</v>
      </c>
      <c r="AT132" s="2">
        <f ca="1">V132*Sheet2!U$22/_xlfn.STDEV.S(V$122:V$151)</f>
        <v>1.6801570063737508</v>
      </c>
      <c r="AU132" s="2">
        <f ca="1">W132*Sheet2!V$22/_xlfn.STDEV.S(W$122:W$151)</f>
        <v>4.0814398065943696</v>
      </c>
      <c r="AV132" s="2">
        <f ca="1">X132*Sheet2!W$22/_xlfn.STDEV.S(X$122:X$151)</f>
        <v>1.5180606081708738</v>
      </c>
      <c r="AW132" s="2">
        <f ca="1">Y132*Sheet2!X$22/_xlfn.STDEV.S(Y$122:Y$151)</f>
        <v>0.87926133422234698</v>
      </c>
      <c r="AX132" s="2">
        <f ca="1">Z132*Sheet2!Y$22/_xlfn.STDEV.S(Z$122:Z$151)</f>
        <v>0.24511625993364428</v>
      </c>
      <c r="AY132" s="2">
        <f ca="1">AA132*Sheet2!Z$22/_xlfn.STDEV.S(AA$122:AA$151)</f>
        <v>1.4102231048620415</v>
      </c>
      <c r="AZ132" s="2">
        <f ca="1">AB132-AVERAGE(AB$122:AB$151)+Sheet2!C$21</f>
        <v>6.0299074691881351</v>
      </c>
      <c r="BA132" s="2">
        <f ca="1">AC132-AVERAGE(AC$122:AC$151)+Sheet2!D$21</f>
        <v>8.4119738622483098</v>
      </c>
      <c r="BB132" s="2">
        <f ca="1">AD132-AVERAGE(AD$122:AD$151)+Sheet2!E$21</f>
        <v>21.468833943633726</v>
      </c>
      <c r="BC132" s="2">
        <f ca="1">AE132-AVERAGE(AE$122:AE$151)+Sheet2!F$21</f>
        <v>5.8146003489377707</v>
      </c>
      <c r="BD132" s="2">
        <f ca="1">AF132-AVERAGE(AF$122:AF$151)+Sheet2!G$21</f>
        <v>30.842515779180619</v>
      </c>
      <c r="BE132" s="2">
        <f ca="1">AG132-AVERAGE(AG$122:AG$151)+Sheet2!H$21</f>
        <v>23.800069747470751</v>
      </c>
      <c r="BF132" s="2">
        <f ca="1">AH132-AVERAGE(AH$122:AH$151)+Sheet2!I$21</f>
        <v>10.29717876061377</v>
      </c>
      <c r="BG132" s="2">
        <f ca="1">AI132-AVERAGE(AI$122:AI$151)+Sheet2!J$21</f>
        <v>28.415435452221505</v>
      </c>
      <c r="BH132" s="2">
        <f ca="1">AJ132-AVERAGE(AJ$122:AJ$151)+Sheet2!K$21</f>
        <v>18.52300513505244</v>
      </c>
      <c r="BI132" s="2">
        <f ca="1">AK132-AVERAGE(AK$122:AK$151)+Sheet2!L$21</f>
        <v>24.181599512616245</v>
      </c>
      <c r="BJ132" s="2">
        <f ca="1">AL132-AVERAGE(AL$122:AL$151)+Sheet2!M$21</f>
        <v>17.659738453541259</v>
      </c>
      <c r="BK132" s="2">
        <f ca="1">AM132-AVERAGE(AM$122:AM$151)+Sheet2!N$21</f>
        <v>8.7157046469735047</v>
      </c>
      <c r="BL132" s="2">
        <f ca="1">AN132-AVERAGE(AN$122:AN$151)+Sheet2!O$21</f>
        <v>8.8177713338422343</v>
      </c>
      <c r="BM132" s="2">
        <f ca="1">AO132-AVERAGE(AO$122:AO$151)+Sheet2!P$21</f>
        <v>19.494999799074733</v>
      </c>
      <c r="BN132" s="2">
        <f ca="1">AP132-AVERAGE(AP$122:AP$151)+Sheet2!Q$21</f>
        <v>21.351927385557278</v>
      </c>
      <c r="BO132" s="2">
        <f ca="1">AQ132-AVERAGE(AQ$122:AQ$151)+Sheet2!R$21</f>
        <v>6.945855764666506</v>
      </c>
      <c r="BP132" s="2">
        <f ca="1">AR132-AVERAGE(AR$122:AR$151)+Sheet2!S$21</f>
        <v>4.878729602265456</v>
      </c>
      <c r="BQ132" s="2">
        <f ca="1">AS132-AVERAGE(AS$122:AS$151)+Sheet2!T$21</f>
        <v>9.501814159795801</v>
      </c>
      <c r="BR132" s="2">
        <f ca="1">AT132-AVERAGE(AT$122:AT$151)+Sheet2!U$21</f>
        <v>22.632239283740173</v>
      </c>
      <c r="BS132" s="2">
        <f ca="1">AU132-AVERAGE(AU$122:AU$151)+Sheet2!V$21</f>
        <v>23.862555028601541</v>
      </c>
      <c r="BT132" s="2">
        <f ca="1">AV132-AVERAGE(AV$122:AV$151)+Sheet2!W$21</f>
        <v>32.048750782869426</v>
      </c>
      <c r="BU132" s="2">
        <f ca="1">AW132-AVERAGE(AW$122:AW$151)+Sheet2!X$21</f>
        <v>19.095400223067646</v>
      </c>
      <c r="BV132" s="2">
        <f ca="1">AX132-AVERAGE(AX$122:AX$151)+Sheet2!Y$21</f>
        <v>13.255635572039278</v>
      </c>
      <c r="BW132" s="2">
        <f ca="1">AY132-AVERAGE(AY$122:AY$151)+Sheet2!Z$21</f>
        <v>11.118940476818214</v>
      </c>
      <c r="BZ132" s="2">
        <f ca="1">BA132-AVERAGE(AH$122:AH$151)+Sheet2!AB$21</f>
        <v>7.6305182172084098</v>
      </c>
      <c r="CA132" s="2">
        <f ca="1">BB132-AVERAGE(AI$122:AI$151)+Sheet2!AC$21</f>
        <v>18.848050670060676</v>
      </c>
      <c r="CB132" s="2">
        <f ca="1">BC132-AVERAGE(AJ$122:AJ$151)+Sheet2!AD$21</f>
        <v>4.027502195788923</v>
      </c>
      <c r="CC132" s="2">
        <f ca="1">BD132-AVERAGE(AK$122:AK$151)+Sheet2!AE$21</f>
        <v>27.481332672436569</v>
      </c>
    </row>
    <row r="133" spans="2:81" x14ac:dyDescent="0.3">
      <c r="B133">
        <v>132</v>
      </c>
      <c r="C133" s="1">
        <v>5</v>
      </c>
      <c r="D133" s="2">
        <f t="shared" ca="1" si="13"/>
        <v>0.28654972162996184</v>
      </c>
      <c r="E133" s="2">
        <f t="shared" ca="1" si="13"/>
        <v>0.65888447624332191</v>
      </c>
      <c r="F133" s="2">
        <f t="shared" ca="1" si="13"/>
        <v>0.99511257853593926</v>
      </c>
      <c r="G133" s="2">
        <f t="shared" ca="1" si="13"/>
        <v>0.91795526372405778</v>
      </c>
      <c r="H133" s="2">
        <f t="shared" ca="1" si="13"/>
        <v>0.35234126544406719</v>
      </c>
      <c r="I133" s="2">
        <f t="shared" ca="1" si="13"/>
        <v>0.59551542481225572</v>
      </c>
      <c r="J133" s="2">
        <f t="shared" ca="1" si="13"/>
        <v>0.73373522713777495</v>
      </c>
      <c r="K133" s="2">
        <f t="shared" ca="1" si="13"/>
        <v>0.97599174468538841</v>
      </c>
      <c r="L133" s="2">
        <f t="shared" ca="1" si="13"/>
        <v>8.7229142365805923E-2</v>
      </c>
      <c r="M133" s="2">
        <f t="shared" ca="1" si="13"/>
        <v>0.10069789779988481</v>
      </c>
      <c r="N133" s="2">
        <f t="shared" ca="1" si="13"/>
        <v>0.34937540280035562</v>
      </c>
      <c r="O133" s="2">
        <f t="shared" ca="1" si="13"/>
        <v>0.76961949457707168</v>
      </c>
      <c r="P133" s="2">
        <f t="shared" ca="1" si="13"/>
        <v>0.81374544069121968</v>
      </c>
      <c r="Q133" s="2">
        <f t="shared" ca="1" si="13"/>
        <v>0.27044901028646462</v>
      </c>
      <c r="R133" s="2">
        <f t="shared" ca="1" si="13"/>
        <v>0.45703158972817737</v>
      </c>
      <c r="S133" s="2">
        <f t="shared" ca="1" si="13"/>
        <v>0.59505073330073421</v>
      </c>
      <c r="T133" s="2">
        <f t="shared" ca="1" si="12"/>
        <v>0.61336723254220271</v>
      </c>
      <c r="U133" s="2">
        <f t="shared" ca="1" si="12"/>
        <v>0.79487370347840924</v>
      </c>
      <c r="V133" s="2">
        <f t="shared" ca="1" si="12"/>
        <v>0.49384235437372948</v>
      </c>
      <c r="W133" s="2">
        <f t="shared" ca="1" si="12"/>
        <v>0.54542700069910188</v>
      </c>
      <c r="X133" s="2">
        <f t="shared" ca="1" si="12"/>
        <v>0.20630182630049265</v>
      </c>
      <c r="Y133" s="2">
        <f t="shared" ca="1" si="12"/>
        <v>0.72031457533504861</v>
      </c>
      <c r="Z133" s="2">
        <f t="shared" ca="1" si="12"/>
        <v>0.66543895329544744</v>
      </c>
      <c r="AA133" s="2">
        <f t="shared" ca="1" si="12"/>
        <v>0.75046569752104164</v>
      </c>
      <c r="AB133" s="2">
        <f ca="1">D133*Sheet2!C$22/_xlfn.STDEV.S(D$122:D$151)</f>
        <v>0.95719954915932071</v>
      </c>
      <c r="AC133" s="2">
        <f ca="1">E133*Sheet2!D$22/_xlfn.STDEV.S(E$122:E$151)</f>
        <v>2.7238533160457568</v>
      </c>
      <c r="AD133" s="2">
        <f ca="1">F133*Sheet2!E$22/_xlfn.STDEV.S(F$122:F$151)</f>
        <v>8.3708883195893282</v>
      </c>
      <c r="AE133" s="2">
        <f ca="1">G133*Sheet2!F$22/_xlfn.STDEV.S(G$122:G$151)</f>
        <v>11.570251938789054</v>
      </c>
      <c r="AF133" s="2">
        <f ca="1">H133*Sheet2!G$22/_xlfn.STDEV.S(H$122:H$151)</f>
        <v>11.070965344010455</v>
      </c>
      <c r="AG133" s="2">
        <f ca="1">I133*Sheet2!H$22/_xlfn.STDEV.S(I$122:I$151)</f>
        <v>11.233175410016585</v>
      </c>
      <c r="AH133" s="2">
        <f ca="1">J133*Sheet2!I$22/_xlfn.STDEV.S(J$122:J$151)</f>
        <v>1.1685100305644693</v>
      </c>
      <c r="AI133" s="2">
        <f ca="1">K133*Sheet2!J$22/_xlfn.STDEV.S(K$122:K$151)</f>
        <v>4.6996328435979011</v>
      </c>
      <c r="AJ133" s="2">
        <f ca="1">L133*Sheet2!K$22/_xlfn.STDEV.S(L$122:L$151)</f>
        <v>0.35356553016512604</v>
      </c>
      <c r="AK133" s="2">
        <f ca="1">M133*Sheet2!L$22/_xlfn.STDEV.S(M$122:M$151)</f>
        <v>0.69948360162270085</v>
      </c>
      <c r="AL133" s="2">
        <f ca="1">N133*Sheet2!M$22/_xlfn.STDEV.S(N$122:N$151)</f>
        <v>2.2720158408630922</v>
      </c>
      <c r="AM133" s="2">
        <f ca="1">O133*Sheet2!N$22/_xlfn.STDEV.S(O$122:O$151)</f>
        <v>1.4989047083699147</v>
      </c>
      <c r="AN133" s="2">
        <f ca="1">P133*Sheet2!O$22/_xlfn.STDEV.S(P$122:P$151)</f>
        <v>2.5959590539873987</v>
      </c>
      <c r="AO133" s="2">
        <f ca="1">Q133*Sheet2!P$22/_xlfn.STDEV.S(Q$122:Q$151)</f>
        <v>1.611200176578292</v>
      </c>
      <c r="AP133" s="2">
        <f ca="1">R133*Sheet2!Q$22/_xlfn.STDEV.S(R$122:R$151)</f>
        <v>3.6225914287994727</v>
      </c>
      <c r="AQ133" s="2">
        <f ca="1">S133*Sheet2!R$22/_xlfn.STDEV.S(S$122:S$151)</f>
        <v>4.0908006435350863</v>
      </c>
      <c r="AR133" s="2">
        <f ca="1">T133*Sheet2!S$22/_xlfn.STDEV.S(T$122:T$151)</f>
        <v>2.4232616118994326</v>
      </c>
      <c r="AS133" s="2">
        <f ca="1">U133*Sheet2!T$22/_xlfn.STDEV.S(U$122:U$151)</f>
        <v>2.1004997248074107</v>
      </c>
      <c r="AT133" s="2">
        <f ca="1">V133*Sheet2!U$22/_xlfn.STDEV.S(V$122:V$151)</f>
        <v>2.4537240844958919</v>
      </c>
      <c r="AU133" s="2">
        <f ca="1">W133*Sheet2!V$22/_xlfn.STDEV.S(W$122:W$151)</f>
        <v>2.6892571880562581</v>
      </c>
      <c r="AV133" s="2">
        <f ca="1">X133*Sheet2!W$22/_xlfn.STDEV.S(X$122:X$151)</f>
        <v>0.85684050532003331</v>
      </c>
      <c r="AW133" s="2">
        <f ca="1">Y133*Sheet2!X$22/_xlfn.STDEV.S(Y$122:Y$151)</f>
        <v>3.0647171955717614</v>
      </c>
      <c r="AX133" s="2">
        <f ca="1">Z133*Sheet2!Y$22/_xlfn.STDEV.S(Z$122:Z$151)</f>
        <v>1.619804115127889</v>
      </c>
      <c r="AY133" s="2">
        <f ca="1">AA133*Sheet2!Z$22/_xlfn.STDEV.S(AA$122:AA$151)</f>
        <v>1.379976645575421</v>
      </c>
      <c r="AZ133" s="2">
        <f ca="1">AB133-AVERAGE(AB$122:AB$151)+Sheet2!C$21</f>
        <v>4.4371665220120615</v>
      </c>
      <c r="BA133" s="2">
        <f ca="1">AC133-AVERAGE(AC$122:AC$151)+Sheet2!D$21</f>
        <v>7.9121662780704938</v>
      </c>
      <c r="BB133" s="2">
        <f ca="1">AD133-AVERAGE(AD$122:AD$151)+Sheet2!E$21</f>
        <v>26.841748261571059</v>
      </c>
      <c r="BC133" s="2">
        <f ca="1">AE133-AVERAGE(AE$122:AE$151)+Sheet2!F$21</f>
        <v>8.8544564826026892</v>
      </c>
      <c r="BD133" s="2">
        <f ca="1">AF133-AVERAGE(AF$122:AF$151)+Sheet2!G$21</f>
        <v>36.328317390916496</v>
      </c>
      <c r="BE133" s="2">
        <f ca="1">AG133-AVERAGE(AG$122:AG$151)+Sheet2!H$21</f>
        <v>24.210703067800978</v>
      </c>
      <c r="BF133" s="2">
        <f ca="1">AH133-AVERAGE(AH$122:AH$151)+Sheet2!I$21</f>
        <v>10.332425351123272</v>
      </c>
      <c r="BG133" s="2">
        <f ca="1">AI133-AVERAGE(AI$122:AI$151)+Sheet2!J$21</f>
        <v>30.798512754728826</v>
      </c>
      <c r="BH133" s="2">
        <f ca="1">AJ133-AVERAGE(AJ$122:AJ$151)+Sheet2!K$21</f>
        <v>17.128670403740042</v>
      </c>
      <c r="BI133" s="2">
        <f ca="1">AK133-AVERAGE(AK$122:AK$151)+Sheet2!L$21</f>
        <v>23.483671460477353</v>
      </c>
      <c r="BJ133" s="2">
        <f ca="1">AL133-AVERAGE(AL$122:AL$151)+Sheet2!M$21</f>
        <v>14.42807653667847</v>
      </c>
      <c r="BK133" s="2">
        <f ca="1">AM133-AVERAGE(AM$122:AM$151)+Sheet2!N$21</f>
        <v>8.4613284794012174</v>
      </c>
      <c r="BL133" s="2">
        <f ca="1">AN133-AVERAGE(AN$122:AN$151)+Sheet2!O$21</f>
        <v>9.3456899875494095</v>
      </c>
      <c r="BM133" s="2">
        <f ca="1">AO133-AVERAGE(AO$122:AO$151)+Sheet2!P$21</f>
        <v>17.43593009652766</v>
      </c>
      <c r="BN133" s="2">
        <f ca="1">AP133-AVERAGE(AP$122:AP$151)+Sheet2!Q$21</f>
        <v>20.907618268253014</v>
      </c>
      <c r="BO133" s="2">
        <f ca="1">AQ133-AVERAGE(AQ$122:AQ$151)+Sheet2!R$21</f>
        <v>6.9445717311140998</v>
      </c>
      <c r="BP133" s="2">
        <f ca="1">AR133-AVERAGE(AR$122:AR$151)+Sheet2!S$21</f>
        <v>5.6214367069441753</v>
      </c>
      <c r="BQ133" s="2">
        <f ca="1">AS133-AVERAGE(AS$122:AS$151)+Sheet2!T$21</f>
        <v>9.6284003163004446</v>
      </c>
      <c r="BR133" s="2">
        <f ca="1">AT133-AVERAGE(AT$122:AT$151)+Sheet2!U$21</f>
        <v>23.405806361862311</v>
      </c>
      <c r="BS133" s="2">
        <f ca="1">AU133-AVERAGE(AU$122:AU$151)+Sheet2!V$21</f>
        <v>22.47037241006343</v>
      </c>
      <c r="BT133" s="2">
        <f ca="1">AV133-AVERAGE(AV$122:AV$151)+Sheet2!W$21</f>
        <v>31.387530680018585</v>
      </c>
      <c r="BU133" s="2">
        <f ca="1">AW133-AVERAGE(AW$122:AW$151)+Sheet2!X$21</f>
        <v>21.28085608441706</v>
      </c>
      <c r="BV133" s="2">
        <f ca="1">AX133-AVERAGE(AX$122:AX$151)+Sheet2!Y$21</f>
        <v>14.630323427233522</v>
      </c>
      <c r="BW133" s="2">
        <f ca="1">AY133-AVERAGE(AY$122:AY$151)+Sheet2!Z$21</f>
        <v>11.088694017531592</v>
      </c>
      <c r="BZ133" s="2">
        <f ca="1">BA133-AVERAGE(AH$122:AH$151)+Sheet2!AB$21</f>
        <v>7.1307106330305938</v>
      </c>
      <c r="CA133" s="2">
        <f ca="1">BB133-AVERAGE(AI$122:AI$151)+Sheet2!AC$21</f>
        <v>24.220964987998006</v>
      </c>
      <c r="CB133" s="2">
        <f ca="1">BC133-AVERAGE(AJ$122:AJ$151)+Sheet2!AD$21</f>
        <v>7.0673583294538416</v>
      </c>
      <c r="CC133" s="2">
        <f ca="1">BD133-AVERAGE(AK$122:AK$151)+Sheet2!AE$21</f>
        <v>32.967134284172445</v>
      </c>
    </row>
    <row r="134" spans="2:81" x14ac:dyDescent="0.3">
      <c r="B134">
        <v>133</v>
      </c>
      <c r="C134" s="1">
        <v>5</v>
      </c>
      <c r="D134" s="2">
        <f t="shared" ca="1" si="13"/>
        <v>0.53081205632483675</v>
      </c>
      <c r="E134" s="2">
        <f t="shared" ca="1" si="13"/>
        <v>3.2200926060424462E-2</v>
      </c>
      <c r="F134" s="2">
        <f t="shared" ca="1" si="13"/>
        <v>0.54366027449890986</v>
      </c>
      <c r="G134" s="2">
        <f t="shared" ca="1" si="13"/>
        <v>0.88837018739044082</v>
      </c>
      <c r="H134" s="2">
        <f t="shared" ca="1" si="13"/>
        <v>0.7936983805214235</v>
      </c>
      <c r="I134" s="2">
        <f t="shared" ca="1" si="13"/>
        <v>0.10091302279151282</v>
      </c>
      <c r="J134" s="2">
        <f t="shared" ca="1" si="13"/>
        <v>0.77197175864716139</v>
      </c>
      <c r="K134" s="2">
        <f t="shared" ca="1" si="13"/>
        <v>0.73540079379370038</v>
      </c>
      <c r="L134" s="2">
        <f t="shared" ca="1" si="13"/>
        <v>0.86116708568554257</v>
      </c>
      <c r="M134" s="2">
        <f t="shared" ca="1" si="13"/>
        <v>0.88915523291981502</v>
      </c>
      <c r="N134" s="2">
        <f t="shared" ca="1" si="13"/>
        <v>0.531516632489065</v>
      </c>
      <c r="O134" s="2">
        <f t="shared" ca="1" si="13"/>
        <v>0.5644957379790243</v>
      </c>
      <c r="P134" s="2">
        <f t="shared" ca="1" si="13"/>
        <v>0.4891630757203651</v>
      </c>
      <c r="Q134" s="2">
        <f t="shared" ca="1" si="12"/>
        <v>0.25122227663134622</v>
      </c>
      <c r="R134" s="2">
        <f t="shared" ca="1" si="12"/>
        <v>0.86856594491007078</v>
      </c>
      <c r="S134" s="2">
        <f t="shared" ca="1" si="12"/>
        <v>0.36502484611552333</v>
      </c>
      <c r="T134" s="2">
        <f t="shared" ca="1" si="12"/>
        <v>0.92522537585682929</v>
      </c>
      <c r="U134" s="2">
        <f t="shared" ca="1" si="12"/>
        <v>0.1641081984874031</v>
      </c>
      <c r="V134" s="2">
        <f t="shared" ca="1" si="12"/>
        <v>0.97351994534215225</v>
      </c>
      <c r="W134" s="2">
        <f t="shared" ca="1" si="12"/>
        <v>0.83368959942574905</v>
      </c>
      <c r="X134" s="2">
        <f t="shared" ca="1" si="12"/>
        <v>0.63455134553815251</v>
      </c>
      <c r="Y134" s="2">
        <f t="shared" ca="1" si="12"/>
        <v>0.37089110873405284</v>
      </c>
      <c r="Z134" s="2">
        <f t="shared" ca="1" si="12"/>
        <v>0.67394333488344105</v>
      </c>
      <c r="AA134" s="2">
        <f t="shared" ca="1" si="12"/>
        <v>0.88396121476497713</v>
      </c>
      <c r="AB134" s="2">
        <f ca="1">D134*Sheet2!C$22/_xlfn.STDEV.S(D$122:D$151)</f>
        <v>1.7731410036356465</v>
      </c>
      <c r="AC134" s="2">
        <f ca="1">E134*Sheet2!D$22/_xlfn.STDEV.S(E$122:E$151)</f>
        <v>0.13311984481637784</v>
      </c>
      <c r="AD134" s="2">
        <f ca="1">F134*Sheet2!E$22/_xlfn.STDEV.S(F$122:F$151)</f>
        <v>4.5732709442013064</v>
      </c>
      <c r="AE134" s="2">
        <f ca="1">G134*Sheet2!F$22/_xlfn.STDEV.S(G$122:G$151)</f>
        <v>11.197350556406271</v>
      </c>
      <c r="AF134" s="2">
        <f ca="1">H134*Sheet2!G$22/_xlfn.STDEV.S(H$122:H$151)</f>
        <v>24.938910443190213</v>
      </c>
      <c r="AG134" s="2">
        <f ca="1">I134*Sheet2!H$22/_xlfn.STDEV.S(I$122:I$151)</f>
        <v>1.9035169181880376</v>
      </c>
      <c r="AH134" s="2">
        <f ca="1">J134*Sheet2!I$22/_xlfn.STDEV.S(J$122:J$151)</f>
        <v>1.2294036185376183</v>
      </c>
      <c r="AI134" s="2">
        <f ca="1">K134*Sheet2!J$22/_xlfn.STDEV.S(K$122:K$151)</f>
        <v>3.5411300787538145</v>
      </c>
      <c r="AJ134" s="2">
        <f ca="1">L134*Sheet2!K$22/_xlfn.STDEV.S(L$122:L$151)</f>
        <v>3.4905650675125983</v>
      </c>
      <c r="AK134" s="2">
        <f ca="1">M134*Sheet2!L$22/_xlfn.STDEV.S(M$122:M$151)</f>
        <v>6.1763901562315944</v>
      </c>
      <c r="AL134" s="2">
        <f ca="1">N134*Sheet2!M$22/_xlfn.STDEV.S(N$122:N$151)</f>
        <v>3.456494644493997</v>
      </c>
      <c r="AM134" s="2">
        <f ca="1">O134*Sheet2!N$22/_xlfn.STDEV.S(O$122:O$151)</f>
        <v>1.0994073376175066</v>
      </c>
      <c r="AN134" s="2">
        <f ca="1">P134*Sheet2!O$22/_xlfn.STDEV.S(P$122:P$151)</f>
        <v>1.5604969954903327</v>
      </c>
      <c r="AO134" s="2">
        <f ca="1">Q134*Sheet2!P$22/_xlfn.STDEV.S(Q$122:Q$151)</f>
        <v>1.4966568967661826</v>
      </c>
      <c r="AP134" s="2">
        <f ca="1">R134*Sheet2!Q$22/_xlfn.STDEV.S(R$122:R$151)</f>
        <v>6.8845559433861361</v>
      </c>
      <c r="AQ134" s="2">
        <f ca="1">S134*Sheet2!R$22/_xlfn.STDEV.S(S$122:S$151)</f>
        <v>2.509439602086843</v>
      </c>
      <c r="AR134" s="2">
        <f ca="1">T134*Sheet2!S$22/_xlfn.STDEV.S(T$122:T$151)</f>
        <v>3.6553356891539086</v>
      </c>
      <c r="AS134" s="2">
        <f ca="1">U134*Sheet2!T$22/_xlfn.STDEV.S(U$122:U$151)</f>
        <v>0.43366540401697068</v>
      </c>
      <c r="AT134" s="2">
        <f ca="1">V134*Sheet2!U$22/_xlfn.STDEV.S(V$122:V$151)</f>
        <v>4.8370685816377099</v>
      </c>
      <c r="AU134" s="2">
        <f ca="1">W134*Sheet2!V$22/_xlfn.STDEV.S(W$122:W$151)</f>
        <v>4.1105514486626875</v>
      </c>
      <c r="AV134" s="2">
        <f ca="1">X134*Sheet2!W$22/_xlfn.STDEV.S(X$122:X$151)</f>
        <v>2.6355040346102805</v>
      </c>
      <c r="AW134" s="2">
        <f ca="1">Y134*Sheet2!X$22/_xlfn.STDEV.S(Y$122:Y$151)</f>
        <v>1.5780277083706262</v>
      </c>
      <c r="AX134" s="2">
        <f ca="1">Z134*Sheet2!Y$22/_xlfn.STDEV.S(Z$122:Z$151)</f>
        <v>1.6405053864084924</v>
      </c>
      <c r="AY134" s="2">
        <f ca="1">AA134*Sheet2!Z$22/_xlfn.STDEV.S(AA$122:AA$151)</f>
        <v>1.6254518174509169</v>
      </c>
      <c r="AZ134" s="2">
        <f ca="1">AB134-AVERAGE(AB$122:AB$151)+Sheet2!C$21</f>
        <v>5.253107976488387</v>
      </c>
      <c r="BA134" s="2">
        <f ca="1">AC134-AVERAGE(AC$122:AC$151)+Sheet2!D$21</f>
        <v>5.3214328068411145</v>
      </c>
      <c r="BB134" s="2">
        <f ca="1">AD134-AVERAGE(AD$122:AD$151)+Sheet2!E$21</f>
        <v>23.044130886183037</v>
      </c>
      <c r="BC134" s="2">
        <f ca="1">AE134-AVERAGE(AE$122:AE$151)+Sheet2!F$21</f>
        <v>8.4815551002199072</v>
      </c>
      <c r="BD134" s="2">
        <f ca="1">AF134-AVERAGE(AF$122:AF$151)+Sheet2!G$21</f>
        <v>50.19626249009626</v>
      </c>
      <c r="BE134" s="2">
        <f ca="1">AG134-AVERAGE(AG$122:AG$151)+Sheet2!H$21</f>
        <v>14.881044575972428</v>
      </c>
      <c r="BF134" s="2">
        <f ca="1">AH134-AVERAGE(AH$122:AH$151)+Sheet2!I$21</f>
        <v>10.393318939096421</v>
      </c>
      <c r="BG134" s="2">
        <f ca="1">AI134-AVERAGE(AI$122:AI$151)+Sheet2!J$21</f>
        <v>29.640009989884739</v>
      </c>
      <c r="BH134" s="2">
        <f ca="1">AJ134-AVERAGE(AJ$122:AJ$151)+Sheet2!K$21</f>
        <v>20.265669941087516</v>
      </c>
      <c r="BI134" s="2">
        <f ca="1">AK134-AVERAGE(AK$122:AK$151)+Sheet2!L$21</f>
        <v>28.960578015086249</v>
      </c>
      <c r="BJ134" s="2">
        <f ca="1">AL134-AVERAGE(AL$122:AL$151)+Sheet2!M$21</f>
        <v>15.612555340309374</v>
      </c>
      <c r="BK134" s="2">
        <f ca="1">AM134-AVERAGE(AM$122:AM$151)+Sheet2!N$21</f>
        <v>8.0618311086488088</v>
      </c>
      <c r="BL134" s="2">
        <f ca="1">AN134-AVERAGE(AN$122:AN$151)+Sheet2!O$21</f>
        <v>8.310227929052342</v>
      </c>
      <c r="BM134" s="2">
        <f ca="1">AO134-AVERAGE(AO$122:AO$151)+Sheet2!P$21</f>
        <v>17.321386816715552</v>
      </c>
      <c r="BN134" s="2">
        <f ca="1">AP134-AVERAGE(AP$122:AP$151)+Sheet2!Q$21</f>
        <v>24.169582782839679</v>
      </c>
      <c r="BO134" s="2">
        <f ca="1">AQ134-AVERAGE(AQ$122:AQ$151)+Sheet2!R$21</f>
        <v>5.3632106896658565</v>
      </c>
      <c r="BP134" s="2">
        <f ca="1">AR134-AVERAGE(AR$122:AR$151)+Sheet2!S$21</f>
        <v>6.8535107841986509</v>
      </c>
      <c r="BQ134" s="2">
        <f ca="1">AS134-AVERAGE(AS$122:AS$151)+Sheet2!T$21</f>
        <v>7.9615659955100053</v>
      </c>
      <c r="BR134" s="2">
        <f ca="1">AT134-AVERAGE(AT$122:AT$151)+Sheet2!U$21</f>
        <v>25.789150859004131</v>
      </c>
      <c r="BS134" s="2">
        <f ca="1">AU134-AVERAGE(AU$122:AU$151)+Sheet2!V$21</f>
        <v>23.89166667066986</v>
      </c>
      <c r="BT134" s="2">
        <f ca="1">AV134-AVERAGE(AV$122:AV$151)+Sheet2!W$21</f>
        <v>33.166194209308834</v>
      </c>
      <c r="BU134" s="2">
        <f ca="1">AW134-AVERAGE(AW$122:AW$151)+Sheet2!X$21</f>
        <v>19.794166597215927</v>
      </c>
      <c r="BV134" s="2">
        <f ca="1">AX134-AVERAGE(AX$122:AX$151)+Sheet2!Y$21</f>
        <v>14.651024698514126</v>
      </c>
      <c r="BW134" s="2">
        <f ca="1">AY134-AVERAGE(AY$122:AY$151)+Sheet2!Z$21</f>
        <v>11.334169189407088</v>
      </c>
      <c r="BZ134" s="2">
        <f ca="1">BA134-AVERAGE(AH$122:AH$151)+Sheet2!AB$21</f>
        <v>4.5399771618012146</v>
      </c>
      <c r="CA134" s="2">
        <f ca="1">BB134-AVERAGE(AI$122:AI$151)+Sheet2!AC$21</f>
        <v>20.423347612609984</v>
      </c>
      <c r="CB134" s="2">
        <f ca="1">BC134-AVERAGE(AJ$122:AJ$151)+Sheet2!AD$21</f>
        <v>6.6944569470710595</v>
      </c>
      <c r="CC134" s="2">
        <f ca="1">BD134-AVERAGE(AK$122:AK$151)+Sheet2!AE$21</f>
        <v>46.835079383352209</v>
      </c>
    </row>
    <row r="135" spans="2:81" x14ac:dyDescent="0.3">
      <c r="B135">
        <v>134</v>
      </c>
      <c r="C135" s="1">
        <v>5</v>
      </c>
      <c r="D135" s="2">
        <f t="shared" ca="1" si="13"/>
        <v>0.83343002847400216</v>
      </c>
      <c r="E135" s="2">
        <f t="shared" ca="1" si="13"/>
        <v>0.68590599387144902</v>
      </c>
      <c r="F135" s="2">
        <f t="shared" ca="1" si="13"/>
        <v>0.30100425211742288</v>
      </c>
      <c r="G135" s="2">
        <f t="shared" ca="1" si="13"/>
        <v>0.74701470303952711</v>
      </c>
      <c r="H135" s="2">
        <f t="shared" ca="1" si="13"/>
        <v>0.17308596024527512</v>
      </c>
      <c r="I135" s="2">
        <f t="shared" ca="1" si="13"/>
        <v>0.60086143651961221</v>
      </c>
      <c r="J135" s="2">
        <f t="shared" ca="1" si="13"/>
        <v>0.21048434831389029</v>
      </c>
      <c r="K135" s="2">
        <f t="shared" ca="1" si="13"/>
        <v>6.7000602266539033E-2</v>
      </c>
      <c r="L135" s="2">
        <f t="shared" ca="1" si="13"/>
        <v>0.78323627072133806</v>
      </c>
      <c r="M135" s="2">
        <f t="shared" ca="1" si="13"/>
        <v>0.83609270368269517</v>
      </c>
      <c r="N135" s="2">
        <f t="shared" ca="1" si="13"/>
        <v>0.92341186326953884</v>
      </c>
      <c r="O135" s="2">
        <f t="shared" ca="1" si="13"/>
        <v>9.8879934708563599E-2</v>
      </c>
      <c r="P135" s="2">
        <f t="shared" ca="1" si="13"/>
        <v>0.46702936039719356</v>
      </c>
      <c r="Q135" s="2">
        <f t="shared" ca="1" si="12"/>
        <v>0.5357546231148419</v>
      </c>
      <c r="R135" s="2">
        <f t="shared" ca="1" si="12"/>
        <v>0.34840723273510077</v>
      </c>
      <c r="S135" s="2">
        <f t="shared" ca="1" si="12"/>
        <v>0.42817345681848584</v>
      </c>
      <c r="T135" s="2">
        <f t="shared" ca="1" si="12"/>
        <v>0.91540006341770808</v>
      </c>
      <c r="U135" s="2">
        <f t="shared" ca="1" si="12"/>
        <v>0.68791236488972363</v>
      </c>
      <c r="V135" s="2">
        <f t="shared" ca="1" si="12"/>
        <v>0.55975643602495107</v>
      </c>
      <c r="W135" s="2">
        <f t="shared" ca="1" si="12"/>
        <v>0.58065119223262696</v>
      </c>
      <c r="X135" s="2">
        <f t="shared" ca="1" si="12"/>
        <v>0.55642957281146688</v>
      </c>
      <c r="Y135" s="2">
        <f t="shared" ca="1" si="12"/>
        <v>0.85134846482368243</v>
      </c>
      <c r="Z135" s="2">
        <f t="shared" ca="1" si="12"/>
        <v>0.80018800732046536</v>
      </c>
      <c r="AA135" s="2">
        <f t="shared" ca="1" si="12"/>
        <v>0.79101238997973955</v>
      </c>
      <c r="AB135" s="2">
        <f ca="1">D135*Sheet2!C$22/_xlfn.STDEV.S(D$122:D$151)</f>
        <v>2.7840154335984546</v>
      </c>
      <c r="AC135" s="2">
        <f ca="1">E135*Sheet2!D$22/_xlfn.STDEV.S(E$122:E$151)</f>
        <v>2.8355612907359693</v>
      </c>
      <c r="AD135" s="2">
        <f ca="1">F135*Sheet2!E$22/_xlfn.STDEV.S(F$122:F$151)</f>
        <v>2.5320481647448658</v>
      </c>
      <c r="AE135" s="2">
        <f ca="1">G135*Sheet2!F$22/_xlfn.STDEV.S(G$122:G$151)</f>
        <v>9.4156530908517073</v>
      </c>
      <c r="AF135" s="2">
        <f ca="1">H135*Sheet2!G$22/_xlfn.STDEV.S(H$122:H$151)</f>
        <v>5.4385587364997594</v>
      </c>
      <c r="AG135" s="2">
        <f ca="1">I135*Sheet2!H$22/_xlfn.STDEV.S(I$122:I$151)</f>
        <v>11.334016941151853</v>
      </c>
      <c r="AH135" s="2">
        <f ca="1">J135*Sheet2!I$22/_xlfn.STDEV.S(J$122:J$151)</f>
        <v>0.33520684735424766</v>
      </c>
      <c r="AI135" s="2">
        <f ca="1">K135*Sheet2!J$22/_xlfn.STDEV.S(K$122:K$151)</f>
        <v>0.32262386712519586</v>
      </c>
      <c r="AJ135" s="2">
        <f ca="1">L135*Sheet2!K$22/_xlfn.STDEV.S(L$122:L$151)</f>
        <v>3.1746884102199044</v>
      </c>
      <c r="AK135" s="2">
        <f ca="1">M135*Sheet2!L$22/_xlfn.STDEV.S(M$122:M$151)</f>
        <v>5.80779885618528</v>
      </c>
      <c r="AL135" s="2">
        <f ca="1">N135*Sheet2!M$22/_xlfn.STDEV.S(N$122:N$151)</f>
        <v>6.0050202852665171</v>
      </c>
      <c r="AM135" s="2">
        <f ca="1">O135*Sheet2!N$22/_xlfn.STDEV.S(O$122:O$151)</f>
        <v>0.19257776179308236</v>
      </c>
      <c r="AN135" s="2">
        <f ca="1">P135*Sheet2!O$22/_xlfn.STDEV.S(P$122:P$151)</f>
        <v>1.4898874217607889</v>
      </c>
      <c r="AO135" s="2">
        <f ca="1">Q135*Sheet2!P$22/_xlfn.STDEV.S(Q$122:Q$151)</f>
        <v>3.1917585590383326</v>
      </c>
      <c r="AP135" s="2">
        <f ca="1">R135*Sheet2!Q$22/_xlfn.STDEV.S(R$122:R$151)</f>
        <v>2.7615969736109132</v>
      </c>
      <c r="AQ135" s="2">
        <f ca="1">S135*Sheet2!R$22/_xlfn.STDEV.S(S$122:S$151)</f>
        <v>2.9435679256821836</v>
      </c>
      <c r="AR135" s="2">
        <f ca="1">T135*Sheet2!S$22/_xlfn.STDEV.S(T$122:T$151)</f>
        <v>3.6165183197291371</v>
      </c>
      <c r="AS135" s="2">
        <f ca="1">U135*Sheet2!T$22/_xlfn.STDEV.S(U$122:U$151)</f>
        <v>1.8178482025751503</v>
      </c>
      <c r="AT135" s="2">
        <f ca="1">V135*Sheet2!U$22/_xlfn.STDEV.S(V$122:V$151)</f>
        <v>2.7812273215565058</v>
      </c>
      <c r="AU135" s="2">
        <f ca="1">W135*Sheet2!V$22/_xlfn.STDEV.S(W$122:W$151)</f>
        <v>2.8629319605805121</v>
      </c>
      <c r="AV135" s="2">
        <f ca="1">X135*Sheet2!W$22/_xlfn.STDEV.S(X$122:X$151)</f>
        <v>2.311038175921611</v>
      </c>
      <c r="AW135" s="2">
        <f ca="1">Y135*Sheet2!X$22/_xlfn.STDEV.S(Y$122:Y$151)</f>
        <v>3.6222261341236064</v>
      </c>
      <c r="AX135" s="2">
        <f ca="1">Z135*Sheet2!Y$22/_xlfn.STDEV.S(Z$122:Z$151)</f>
        <v>1.9478087670022526</v>
      </c>
      <c r="AY135" s="2">
        <f ca="1">AA135*Sheet2!Z$22/_xlfn.STDEV.S(AA$122:AA$151)</f>
        <v>1.454535001584442</v>
      </c>
      <c r="AZ135" s="2">
        <f ca="1">AB135-AVERAGE(AB$122:AB$151)+Sheet2!C$21</f>
        <v>6.2639824064511949</v>
      </c>
      <c r="BA135" s="2">
        <f ca="1">AC135-AVERAGE(AC$122:AC$151)+Sheet2!D$21</f>
        <v>8.0238742527607059</v>
      </c>
      <c r="BB135" s="2">
        <f ca="1">AD135-AVERAGE(AD$122:AD$151)+Sheet2!E$21</f>
        <v>21.002908106726597</v>
      </c>
      <c r="BC135" s="2">
        <f ca="1">AE135-AVERAGE(AE$122:AE$151)+Sheet2!F$21</f>
        <v>6.6998576346653431</v>
      </c>
      <c r="BD135" s="2">
        <f ca="1">AF135-AVERAGE(AF$122:AF$151)+Sheet2!G$21</f>
        <v>30.695910783405804</v>
      </c>
      <c r="BE135" s="2">
        <f ca="1">AG135-AVERAGE(AG$122:AG$151)+Sheet2!H$21</f>
        <v>24.311544598936244</v>
      </c>
      <c r="BF135" s="2">
        <f ca="1">AH135-AVERAGE(AH$122:AH$151)+Sheet2!I$21</f>
        <v>9.4991221679130504</v>
      </c>
      <c r="BG135" s="2">
        <f ca="1">AI135-AVERAGE(AI$122:AI$151)+Sheet2!J$21</f>
        <v>26.42150377825612</v>
      </c>
      <c r="BH135" s="2">
        <f ca="1">AJ135-AVERAGE(AJ$122:AJ$151)+Sheet2!K$21</f>
        <v>19.949793283794822</v>
      </c>
      <c r="BI135" s="2">
        <f ca="1">AK135-AVERAGE(AK$122:AK$151)+Sheet2!L$21</f>
        <v>28.591986715039933</v>
      </c>
      <c r="BJ135" s="2">
        <f ca="1">AL135-AVERAGE(AL$122:AL$151)+Sheet2!M$21</f>
        <v>18.161080981081895</v>
      </c>
      <c r="BK135" s="2">
        <f ca="1">AM135-AVERAGE(AM$122:AM$151)+Sheet2!N$21</f>
        <v>7.1550015328243841</v>
      </c>
      <c r="BL135" s="2">
        <f ca="1">AN135-AVERAGE(AN$122:AN$151)+Sheet2!O$21</f>
        <v>8.2396183553227988</v>
      </c>
      <c r="BM135" s="2">
        <f ca="1">AO135-AVERAGE(AO$122:AO$151)+Sheet2!P$21</f>
        <v>19.016488478987704</v>
      </c>
      <c r="BN135" s="2">
        <f ca="1">AP135-AVERAGE(AP$122:AP$151)+Sheet2!Q$21</f>
        <v>20.046623813064457</v>
      </c>
      <c r="BO135" s="2">
        <f ca="1">AQ135-AVERAGE(AQ$122:AQ$151)+Sheet2!R$21</f>
        <v>5.7973390132611975</v>
      </c>
      <c r="BP135" s="2">
        <f ca="1">AR135-AVERAGE(AR$122:AR$151)+Sheet2!S$21</f>
        <v>6.8146934147738794</v>
      </c>
      <c r="BQ135" s="2">
        <f ca="1">AS135-AVERAGE(AS$122:AS$151)+Sheet2!T$21</f>
        <v>9.345748794068184</v>
      </c>
      <c r="BR135" s="2">
        <f ca="1">AT135-AVERAGE(AT$122:AT$151)+Sheet2!U$21</f>
        <v>23.733309598922926</v>
      </c>
      <c r="BS135" s="2">
        <f ca="1">AU135-AVERAGE(AU$122:AU$151)+Sheet2!V$21</f>
        <v>22.644047182587684</v>
      </c>
      <c r="BT135" s="2">
        <f ca="1">AV135-AVERAGE(AV$122:AV$151)+Sheet2!W$21</f>
        <v>32.841728350620166</v>
      </c>
      <c r="BU135" s="2">
        <f ca="1">AW135-AVERAGE(AW$122:AW$151)+Sheet2!X$21</f>
        <v>21.838365022968905</v>
      </c>
      <c r="BV135" s="2">
        <f ca="1">AX135-AVERAGE(AX$122:AX$151)+Sheet2!Y$21</f>
        <v>14.958328079107886</v>
      </c>
      <c r="BW135" s="2">
        <f ca="1">AY135-AVERAGE(AY$122:AY$151)+Sheet2!Z$21</f>
        <v>11.163252373540614</v>
      </c>
      <c r="BZ135" s="2">
        <f ca="1">BA135-AVERAGE(AH$122:AH$151)+Sheet2!AB$21</f>
        <v>7.2424186077208059</v>
      </c>
      <c r="CA135" s="2">
        <f ca="1">BB135-AVERAGE(AI$122:AI$151)+Sheet2!AC$21</f>
        <v>18.382124833153544</v>
      </c>
      <c r="CB135" s="2">
        <f ca="1">BC135-AVERAGE(AJ$122:AJ$151)+Sheet2!AD$21</f>
        <v>4.9127594815164963</v>
      </c>
      <c r="CC135" s="2">
        <f ca="1">BD135-AVERAGE(AK$122:AK$151)+Sheet2!AE$21</f>
        <v>27.334727676661753</v>
      </c>
    </row>
    <row r="136" spans="2:81" x14ac:dyDescent="0.3">
      <c r="B136">
        <v>135</v>
      </c>
      <c r="C136" s="1">
        <v>5</v>
      </c>
      <c r="D136" s="2">
        <f t="shared" ca="1" si="13"/>
        <v>0.78720980884941327</v>
      </c>
      <c r="E136" s="2">
        <f t="shared" ca="1" si="13"/>
        <v>0.84418330056157553</v>
      </c>
      <c r="F136" s="2">
        <f t="shared" ca="1" si="13"/>
        <v>4.8996798878787717E-2</v>
      </c>
      <c r="G136" s="2">
        <f t="shared" ca="1" si="13"/>
        <v>0.15088273929607254</v>
      </c>
      <c r="H136" s="2">
        <f t="shared" ca="1" si="13"/>
        <v>0.95056036769745456</v>
      </c>
      <c r="I136" s="2">
        <f t="shared" ca="1" si="13"/>
        <v>0.23371625998082191</v>
      </c>
      <c r="J136" s="2">
        <f t="shared" ca="1" si="13"/>
        <v>0.80793896767301598</v>
      </c>
      <c r="K136" s="2">
        <f t="shared" ca="1" si="13"/>
        <v>0.37879660052453157</v>
      </c>
      <c r="L136" s="2">
        <f t="shared" ca="1" si="13"/>
        <v>0.73356318027425615</v>
      </c>
      <c r="M136" s="2">
        <f t="shared" ca="1" si="13"/>
        <v>0.87466874509529857</v>
      </c>
      <c r="N136" s="2">
        <f t="shared" ca="1" si="13"/>
        <v>0.52253961598433685</v>
      </c>
      <c r="O136" s="2">
        <f t="shared" ca="1" si="13"/>
        <v>0.28021381627152164</v>
      </c>
      <c r="P136" s="2">
        <f t="shared" ca="1" si="13"/>
        <v>0.80581576629365836</v>
      </c>
      <c r="Q136" s="2">
        <f t="shared" ca="1" si="12"/>
        <v>0.23155905631831153</v>
      </c>
      <c r="R136" s="2">
        <f t="shared" ca="1" si="12"/>
        <v>0.66956457047419327</v>
      </c>
      <c r="S136" s="2">
        <f t="shared" ca="1" si="12"/>
        <v>0.11507266461032917</v>
      </c>
      <c r="T136" s="2">
        <f t="shared" ca="1" si="12"/>
        <v>0.8489828398092446</v>
      </c>
      <c r="U136" s="2">
        <f t="shared" ca="1" si="12"/>
        <v>0.35115363634468111</v>
      </c>
      <c r="V136" s="2">
        <f t="shared" ca="1" si="12"/>
        <v>0.63898976993882428</v>
      </c>
      <c r="W136" s="2">
        <f t="shared" ca="1" si="12"/>
        <v>0.44992833939078491</v>
      </c>
      <c r="X136" s="2">
        <f t="shared" ca="1" si="12"/>
        <v>0.50986987361800651</v>
      </c>
      <c r="Y136" s="2">
        <f t="shared" ca="1" si="12"/>
        <v>0.72399149322473111</v>
      </c>
      <c r="Z136" s="2">
        <f t="shared" ca="1" si="12"/>
        <v>0.21757967167285075</v>
      </c>
      <c r="AA136" s="2">
        <f t="shared" ca="1" si="12"/>
        <v>0.69613853239777479</v>
      </c>
      <c r="AB136" s="2">
        <f ca="1">D136*Sheet2!C$22/_xlfn.STDEV.S(D$122:D$151)</f>
        <v>2.6296199830112319</v>
      </c>
      <c r="AC136" s="2">
        <f ca="1">E136*Sheet2!D$22/_xlfn.STDEV.S(E$122:E$151)</f>
        <v>3.4898856559733753</v>
      </c>
      <c r="AD136" s="2">
        <f ca="1">F136*Sheet2!E$22/_xlfn.STDEV.S(F$122:F$151)</f>
        <v>0.41216113661746745</v>
      </c>
      <c r="AE136" s="2">
        <f ca="1">G136*Sheet2!F$22/_xlfn.STDEV.S(G$122:G$151)</f>
        <v>1.9017825550537601</v>
      </c>
      <c r="AF136" s="2">
        <f ca="1">H136*Sheet2!G$22/_xlfn.STDEV.S(H$122:H$151)</f>
        <v>29.867693399196636</v>
      </c>
      <c r="AG136" s="2">
        <f ca="1">I136*Sheet2!H$22/_xlfn.STDEV.S(I$122:I$151)</f>
        <v>4.4085772343601288</v>
      </c>
      <c r="AH136" s="2">
        <f ca="1">J136*Sheet2!I$22/_xlfn.STDEV.S(J$122:J$151)</f>
        <v>1.2866831970063624</v>
      </c>
      <c r="AI136" s="2">
        <f ca="1">K136*Sheet2!J$22/_xlfn.STDEV.S(K$122:K$151)</f>
        <v>1.8239959042298797</v>
      </c>
      <c r="AJ136" s="2">
        <f ca="1">L136*Sheet2!K$22/_xlfn.STDEV.S(L$122:L$151)</f>
        <v>2.9733486734927963</v>
      </c>
      <c r="AK136" s="2">
        <f ca="1">M136*Sheet2!L$22/_xlfn.STDEV.S(M$122:M$151)</f>
        <v>6.0757618323067648</v>
      </c>
      <c r="AL136" s="2">
        <f ca="1">N136*Sheet2!M$22/_xlfn.STDEV.S(N$122:N$151)</f>
        <v>3.398116397087477</v>
      </c>
      <c r="AM136" s="2">
        <f ca="1">O136*Sheet2!N$22/_xlfn.STDEV.S(O$122:O$151)</f>
        <v>0.54574216417230426</v>
      </c>
      <c r="AN136" s="2">
        <f ca="1">P136*Sheet2!O$22/_xlfn.STDEV.S(P$122:P$151)</f>
        <v>2.5706623100449244</v>
      </c>
      <c r="AO136" s="2">
        <f ca="1">Q136*Sheet2!P$22/_xlfn.STDEV.S(Q$122:Q$151)</f>
        <v>1.3795132473703062</v>
      </c>
      <c r="AP136" s="2">
        <f ca="1">R136*Sheet2!Q$22/_xlfn.STDEV.S(R$122:R$151)</f>
        <v>5.3072017964233735</v>
      </c>
      <c r="AQ136" s="2">
        <f ca="1">S136*Sheet2!R$22/_xlfn.STDEV.S(S$122:S$151)</f>
        <v>0.79109108534334593</v>
      </c>
      <c r="AR136" s="2">
        <f ca="1">T136*Sheet2!S$22/_xlfn.STDEV.S(T$122:T$151)</f>
        <v>3.3541203633331595</v>
      </c>
      <c r="AS136" s="2">
        <f ca="1">U136*Sheet2!T$22/_xlfn.STDEV.S(U$122:U$151)</f>
        <v>0.92794378940875244</v>
      </c>
      <c r="AT136" s="2">
        <f ca="1">V136*Sheet2!U$22/_xlfn.STDEV.S(V$122:V$151)</f>
        <v>3.1749091068418669</v>
      </c>
      <c r="AU136" s="2">
        <f ca="1">W136*Sheet2!V$22/_xlfn.STDEV.S(W$122:W$151)</f>
        <v>2.2183958976471629</v>
      </c>
      <c r="AV136" s="2">
        <f ca="1">X136*Sheet2!W$22/_xlfn.STDEV.S(X$122:X$151)</f>
        <v>2.1176601680780709</v>
      </c>
      <c r="AW136" s="2">
        <f ca="1">Y136*Sheet2!X$22/_xlfn.STDEV.S(Y$122:Y$151)</f>
        <v>3.0803613514296013</v>
      </c>
      <c r="AX136" s="2">
        <f ca="1">Z136*Sheet2!Y$22/_xlfn.STDEV.S(Z$122:Z$151)</f>
        <v>0.52963002210569543</v>
      </c>
      <c r="AY136" s="2">
        <f ca="1">AA136*Sheet2!Z$22/_xlfn.STDEV.S(AA$122:AA$151)</f>
        <v>1.2800783832856568</v>
      </c>
      <c r="AZ136" s="2">
        <f ca="1">AB136-AVERAGE(AB$122:AB$151)+Sheet2!C$21</f>
        <v>6.109586955863973</v>
      </c>
      <c r="BA136" s="2">
        <f ca="1">AC136-AVERAGE(AC$122:AC$151)+Sheet2!D$21</f>
        <v>8.6781986179981132</v>
      </c>
      <c r="BB136" s="2">
        <f ca="1">AD136-AVERAGE(AD$122:AD$151)+Sheet2!E$21</f>
        <v>18.883021078599199</v>
      </c>
      <c r="BC136" s="2">
        <f ca="1">AE136-AVERAGE(AE$122:AE$151)+Sheet2!F$21</f>
        <v>-0.81401290113260405</v>
      </c>
      <c r="BD136" s="2">
        <f ca="1">AF136-AVERAGE(AF$122:AF$151)+Sheet2!G$21</f>
        <v>55.125045446102682</v>
      </c>
      <c r="BE136" s="2">
        <f ca="1">AG136-AVERAGE(AG$122:AG$151)+Sheet2!H$21</f>
        <v>17.38610489214452</v>
      </c>
      <c r="BF136" s="2">
        <f ca="1">AH136-AVERAGE(AH$122:AH$151)+Sheet2!I$21</f>
        <v>10.450598517565165</v>
      </c>
      <c r="BG136" s="2">
        <f ca="1">AI136-AVERAGE(AI$122:AI$151)+Sheet2!J$21</f>
        <v>27.922875815360804</v>
      </c>
      <c r="BH136" s="2">
        <f ca="1">AJ136-AVERAGE(AJ$122:AJ$151)+Sheet2!K$21</f>
        <v>19.748453547067712</v>
      </c>
      <c r="BI136" s="2">
        <f ca="1">AK136-AVERAGE(AK$122:AK$151)+Sheet2!L$21</f>
        <v>28.859949691161418</v>
      </c>
      <c r="BJ136" s="2">
        <f ca="1">AL136-AVERAGE(AL$122:AL$151)+Sheet2!M$21</f>
        <v>15.554177092902854</v>
      </c>
      <c r="BK136" s="2">
        <f ca="1">AM136-AVERAGE(AM$122:AM$151)+Sheet2!N$21</f>
        <v>7.5081659352036061</v>
      </c>
      <c r="BL136" s="2">
        <f ca="1">AN136-AVERAGE(AN$122:AN$151)+Sheet2!O$21</f>
        <v>9.3203932436069348</v>
      </c>
      <c r="BM136" s="2">
        <f ca="1">AO136-AVERAGE(AO$122:AO$151)+Sheet2!P$21</f>
        <v>17.204243167319675</v>
      </c>
      <c r="BN136" s="2">
        <f ca="1">AP136-AVERAGE(AP$122:AP$151)+Sheet2!Q$21</f>
        <v>22.592228635876914</v>
      </c>
      <c r="BO136" s="2">
        <f ca="1">AQ136-AVERAGE(AQ$122:AQ$151)+Sheet2!R$21</f>
        <v>3.6448621729223594</v>
      </c>
      <c r="BP136" s="2">
        <f ca="1">AR136-AVERAGE(AR$122:AR$151)+Sheet2!S$21</f>
        <v>6.5522954583779018</v>
      </c>
      <c r="BQ136" s="2">
        <f ca="1">AS136-AVERAGE(AS$122:AS$151)+Sheet2!T$21</f>
        <v>8.4558443809017874</v>
      </c>
      <c r="BR136" s="2">
        <f ca="1">AT136-AVERAGE(AT$122:AT$151)+Sheet2!U$21</f>
        <v>24.126991384208289</v>
      </c>
      <c r="BS136" s="2">
        <f ca="1">AU136-AVERAGE(AU$122:AU$151)+Sheet2!V$21</f>
        <v>21.999511119654336</v>
      </c>
      <c r="BT136" s="2">
        <f ca="1">AV136-AVERAGE(AV$122:AV$151)+Sheet2!W$21</f>
        <v>32.648350342776624</v>
      </c>
      <c r="BU136" s="2">
        <f ca="1">AW136-AVERAGE(AW$122:AW$151)+Sheet2!X$21</f>
        <v>21.296500240274902</v>
      </c>
      <c r="BV136" s="2">
        <f ca="1">AX136-AVERAGE(AX$122:AX$151)+Sheet2!Y$21</f>
        <v>13.540149334211328</v>
      </c>
      <c r="BW136" s="2">
        <f ca="1">AY136-AVERAGE(AY$122:AY$151)+Sheet2!Z$21</f>
        <v>10.988795755241828</v>
      </c>
      <c r="BZ136" s="2">
        <f ca="1">BA136-AVERAGE(AH$122:AH$151)+Sheet2!AB$21</f>
        <v>7.8967429729582133</v>
      </c>
      <c r="CA136" s="2">
        <f ca="1">BB136-AVERAGE(AI$122:AI$151)+Sheet2!AC$21</f>
        <v>16.26223780502615</v>
      </c>
      <c r="CB136" s="2">
        <f ca="1">BC136-AVERAGE(AJ$122:AJ$151)+Sheet2!AD$21</f>
        <v>-2.6011110542814517</v>
      </c>
      <c r="CC136" s="2">
        <f ca="1">BD136-AVERAGE(AK$122:AK$151)+Sheet2!AE$21</f>
        <v>51.763862339358631</v>
      </c>
    </row>
    <row r="137" spans="2:81" x14ac:dyDescent="0.3">
      <c r="B137">
        <v>136</v>
      </c>
      <c r="C137" s="1">
        <v>5</v>
      </c>
      <c r="D137" s="2">
        <f t="shared" ca="1" si="13"/>
        <v>0.71696844406439209</v>
      </c>
      <c r="E137" s="2">
        <f t="shared" ca="1" si="13"/>
        <v>0.21178347897129512</v>
      </c>
      <c r="F137" s="2">
        <f t="shared" ca="1" si="13"/>
        <v>0.3275259806827141</v>
      </c>
      <c r="G137" s="2">
        <f t="shared" ca="1" si="13"/>
        <v>0.82378034141887013</v>
      </c>
      <c r="H137" s="2">
        <f t="shared" ca="1" si="13"/>
        <v>0.37355130185173635</v>
      </c>
      <c r="I137" s="2">
        <f t="shared" ca="1" si="13"/>
        <v>0.9349475819098555</v>
      </c>
      <c r="J137" s="2">
        <f t="shared" ca="1" si="13"/>
        <v>0.76968884909403679</v>
      </c>
      <c r="K137" s="2">
        <f t="shared" ca="1" si="13"/>
        <v>0.60815137737187741</v>
      </c>
      <c r="L137" s="2">
        <f t="shared" ca="1" si="13"/>
        <v>0.41545685998714998</v>
      </c>
      <c r="M137" s="2">
        <f t="shared" ca="1" si="13"/>
        <v>0.31102644282742198</v>
      </c>
      <c r="N137" s="2">
        <f t="shared" ca="1" si="13"/>
        <v>0.94522976614460896</v>
      </c>
      <c r="O137" s="2">
        <f t="shared" ca="1" si="13"/>
        <v>0.79233160185872353</v>
      </c>
      <c r="P137" s="2">
        <f t="shared" ca="1" si="13"/>
        <v>0.32303082263605232</v>
      </c>
      <c r="Q137" s="2">
        <f t="shared" ca="1" si="13"/>
        <v>0.38454714236654608</v>
      </c>
      <c r="R137" s="2">
        <f t="shared" ca="1" si="13"/>
        <v>0.32031035842619826</v>
      </c>
      <c r="S137" s="2">
        <f t="shared" ca="1" si="13"/>
        <v>0.18097971526250456</v>
      </c>
      <c r="T137" s="2">
        <f t="shared" ca="1" si="12"/>
        <v>0.77837081676662967</v>
      </c>
      <c r="U137" s="2">
        <f t="shared" ca="1" si="12"/>
        <v>0.25965735482046226</v>
      </c>
      <c r="V137" s="2">
        <f t="shared" ca="1" si="12"/>
        <v>0.20628272432814732</v>
      </c>
      <c r="W137" s="2">
        <f t="shared" ca="1" si="12"/>
        <v>0.22689347684875338</v>
      </c>
      <c r="X137" s="2">
        <f t="shared" ca="1" si="12"/>
        <v>0.46814479268442966</v>
      </c>
      <c r="Y137" s="2">
        <f t="shared" ca="1" si="12"/>
        <v>0.2187534795920637</v>
      </c>
      <c r="Z137" s="2">
        <f t="shared" ca="1" si="12"/>
        <v>0.56232907399472198</v>
      </c>
      <c r="AA137" s="2">
        <f t="shared" ca="1" si="12"/>
        <v>0.85433017755338247</v>
      </c>
      <c r="AB137" s="2">
        <f ca="1">D137*Sheet2!C$22/_xlfn.STDEV.S(D$122:D$151)</f>
        <v>2.3949835564877326</v>
      </c>
      <c r="AC137" s="2">
        <f ca="1">E137*Sheet2!D$22/_xlfn.STDEV.S(E$122:E$151)</f>
        <v>0.87552090279728423</v>
      </c>
      <c r="AD137" s="2">
        <f ca="1">F137*Sheet2!E$22/_xlfn.STDEV.S(F$122:F$151)</f>
        <v>2.7551489803220823</v>
      </c>
      <c r="AE137" s="2">
        <f ca="1">G137*Sheet2!F$22/_xlfn.STDEV.S(G$122:G$151)</f>
        <v>10.383235947436285</v>
      </c>
      <c r="AF137" s="2">
        <f ca="1">H137*Sheet2!G$22/_xlfn.STDEV.S(H$122:H$151)</f>
        <v>11.737408934483913</v>
      </c>
      <c r="AG137" s="2">
        <f ca="1">I137*Sheet2!H$22/_xlfn.STDEV.S(I$122:I$151)</f>
        <v>17.635865922491071</v>
      </c>
      <c r="AH137" s="2">
        <f ca="1">J137*Sheet2!I$22/_xlfn.STDEV.S(J$122:J$151)</f>
        <v>1.2257679709456337</v>
      </c>
      <c r="AI137" s="2">
        <f ca="1">K137*Sheet2!J$22/_xlfn.STDEV.S(K$122:K$151)</f>
        <v>2.9283938133077996</v>
      </c>
      <c r="AJ137" s="2">
        <f ca="1">L137*Sheet2!K$22/_xlfn.STDEV.S(L$122:L$151)</f>
        <v>1.6839696112807021</v>
      </c>
      <c r="AK137" s="2">
        <f ca="1">M137*Sheet2!L$22/_xlfn.STDEV.S(M$122:M$151)</f>
        <v>2.1605008762066835</v>
      </c>
      <c r="AL137" s="2">
        <f ca="1">N137*Sheet2!M$22/_xlfn.STDEV.S(N$122:N$151)</f>
        <v>6.1469038310148658</v>
      </c>
      <c r="AM137" s="2">
        <f ca="1">O137*Sheet2!N$22/_xlfn.STDEV.S(O$122:O$151)</f>
        <v>1.5431386249759105</v>
      </c>
      <c r="AN137" s="2">
        <f ca="1">P137*Sheet2!O$22/_xlfn.STDEV.S(P$122:P$151)</f>
        <v>1.0305124266217049</v>
      </c>
      <c r="AO137" s="2">
        <f ca="1">Q137*Sheet2!P$22/_xlfn.STDEV.S(Q$122:Q$151)</f>
        <v>2.2909398818926476</v>
      </c>
      <c r="AP137" s="2">
        <f ca="1">R137*Sheet2!Q$22/_xlfn.STDEV.S(R$122:R$151)</f>
        <v>2.5388913700266564</v>
      </c>
      <c r="AQ137" s="2">
        <f ca="1">S137*Sheet2!R$22/_xlfn.STDEV.S(S$122:S$151)</f>
        <v>1.2441828809384592</v>
      </c>
      <c r="AR137" s="2">
        <f ca="1">T137*Sheet2!S$22/_xlfn.STDEV.S(T$122:T$151)</f>
        <v>3.0751497961110941</v>
      </c>
      <c r="AS137" s="2">
        <f ca="1">U137*Sheet2!T$22/_xlfn.STDEV.S(U$122:U$151)</f>
        <v>0.68615957473225908</v>
      </c>
      <c r="AT137" s="2">
        <f ca="1">V137*Sheet2!U$22/_xlfn.STDEV.S(V$122:V$151)</f>
        <v>1.0249442649391507</v>
      </c>
      <c r="AU137" s="2">
        <f ca="1">W137*Sheet2!V$22/_xlfn.STDEV.S(W$122:W$151)</f>
        <v>1.1187105016005692</v>
      </c>
      <c r="AV137" s="2">
        <f ca="1">X137*Sheet2!W$22/_xlfn.STDEV.S(X$122:X$151)</f>
        <v>1.9443619473460332</v>
      </c>
      <c r="AW137" s="2">
        <f ca="1">Y137*Sheet2!X$22/_xlfn.STDEV.S(Y$122:Y$151)</f>
        <v>0.93072884188844107</v>
      </c>
      <c r="AX137" s="2">
        <f ca="1">Z137*Sheet2!Y$22/_xlfn.STDEV.S(Z$122:Z$151)</f>
        <v>1.3688151912385762</v>
      </c>
      <c r="AY137" s="2">
        <f ca="1">AA137*Sheet2!Z$22/_xlfn.STDEV.S(AA$122:AA$151)</f>
        <v>1.5709654638823978</v>
      </c>
      <c r="AZ137" s="2">
        <f ca="1">AB137-AVERAGE(AB$122:AB$151)+Sheet2!C$21</f>
        <v>5.8749505293404738</v>
      </c>
      <c r="BA137" s="2">
        <f ca="1">AC137-AVERAGE(AC$122:AC$151)+Sheet2!D$21</f>
        <v>6.0638338648220209</v>
      </c>
      <c r="BB137" s="2">
        <f ca="1">AD137-AVERAGE(AD$122:AD$151)+Sheet2!E$21</f>
        <v>21.226008922303812</v>
      </c>
      <c r="BC137" s="2">
        <f ca="1">AE137-AVERAGE(AE$122:AE$151)+Sheet2!F$21</f>
        <v>7.6674404912499208</v>
      </c>
      <c r="BD137" s="2">
        <f ca="1">AF137-AVERAGE(AF$122:AF$151)+Sheet2!G$21</f>
        <v>36.994760981389959</v>
      </c>
      <c r="BE137" s="2">
        <f ca="1">AG137-AVERAGE(AG$122:AG$151)+Sheet2!H$21</f>
        <v>30.613393580275464</v>
      </c>
      <c r="BF137" s="2">
        <f ca="1">AH137-AVERAGE(AH$122:AH$151)+Sheet2!I$21</f>
        <v>10.389683291504436</v>
      </c>
      <c r="BG137" s="2">
        <f ca="1">AI137-AVERAGE(AI$122:AI$151)+Sheet2!J$21</f>
        <v>29.027273724438722</v>
      </c>
      <c r="BH137" s="2">
        <f ca="1">AJ137-AVERAGE(AJ$122:AJ$151)+Sheet2!K$21</f>
        <v>18.45907448485562</v>
      </c>
      <c r="BI137" s="2">
        <f ca="1">AK137-AVERAGE(AK$122:AK$151)+Sheet2!L$21</f>
        <v>24.944688735061337</v>
      </c>
      <c r="BJ137" s="2">
        <f ca="1">AL137-AVERAGE(AL$122:AL$151)+Sheet2!M$21</f>
        <v>18.302964526830245</v>
      </c>
      <c r="BK137" s="2">
        <f ca="1">AM137-AVERAGE(AM$122:AM$151)+Sheet2!N$21</f>
        <v>8.5055623960072122</v>
      </c>
      <c r="BL137" s="2">
        <f ca="1">AN137-AVERAGE(AN$122:AN$151)+Sheet2!O$21</f>
        <v>7.7802433601837153</v>
      </c>
      <c r="BM137" s="2">
        <f ca="1">AO137-AVERAGE(AO$122:AO$151)+Sheet2!P$21</f>
        <v>18.115669801842017</v>
      </c>
      <c r="BN137" s="2">
        <f ca="1">AP137-AVERAGE(AP$122:AP$151)+Sheet2!Q$21</f>
        <v>19.823918209480198</v>
      </c>
      <c r="BO137" s="2">
        <f ca="1">AQ137-AVERAGE(AQ$122:AQ$151)+Sheet2!R$21</f>
        <v>4.0979539685174728</v>
      </c>
      <c r="BP137" s="2">
        <f ca="1">AR137-AVERAGE(AR$122:AR$151)+Sheet2!S$21</f>
        <v>6.2733248911558359</v>
      </c>
      <c r="BQ137" s="2">
        <f ca="1">AS137-AVERAGE(AS$122:AS$151)+Sheet2!T$21</f>
        <v>8.214060166225293</v>
      </c>
      <c r="BR137" s="2">
        <f ca="1">AT137-AVERAGE(AT$122:AT$151)+Sheet2!U$21</f>
        <v>21.977026542305573</v>
      </c>
      <c r="BS137" s="2">
        <f ca="1">AU137-AVERAGE(AU$122:AU$151)+Sheet2!V$21</f>
        <v>20.899825723607741</v>
      </c>
      <c r="BT137" s="2">
        <f ca="1">AV137-AVERAGE(AV$122:AV$151)+Sheet2!W$21</f>
        <v>32.475052122044588</v>
      </c>
      <c r="BU137" s="2">
        <f ca="1">AW137-AVERAGE(AW$122:AW$151)+Sheet2!X$21</f>
        <v>19.146867730733742</v>
      </c>
      <c r="BV137" s="2">
        <f ca="1">AX137-AVERAGE(AX$122:AX$151)+Sheet2!Y$21</f>
        <v>14.379334503344209</v>
      </c>
      <c r="BW137" s="2">
        <f ca="1">AY137-AVERAGE(AY$122:AY$151)+Sheet2!Z$21</f>
        <v>11.279682835838569</v>
      </c>
      <c r="BZ137" s="2">
        <f ca="1">BA137-AVERAGE(AH$122:AH$151)+Sheet2!AB$21</f>
        <v>5.282378219782121</v>
      </c>
      <c r="CA137" s="2">
        <f ca="1">BB137-AVERAGE(AI$122:AI$151)+Sheet2!AC$21</f>
        <v>18.605225648730762</v>
      </c>
      <c r="CB137" s="2">
        <f ca="1">BC137-AVERAGE(AJ$122:AJ$151)+Sheet2!AD$21</f>
        <v>5.880342338101074</v>
      </c>
      <c r="CC137" s="2">
        <f ca="1">BD137-AVERAGE(AK$122:AK$151)+Sheet2!AE$21</f>
        <v>33.633577874645908</v>
      </c>
    </row>
    <row r="138" spans="2:81" x14ac:dyDescent="0.3">
      <c r="B138">
        <v>137</v>
      </c>
      <c r="C138" s="1">
        <v>5</v>
      </c>
      <c r="D138" s="2">
        <f t="shared" ca="1" si="13"/>
        <v>0.48729412193410748</v>
      </c>
      <c r="E138" s="2">
        <f t="shared" ca="1" si="13"/>
        <v>0.48274668483225258</v>
      </c>
      <c r="F138" s="2">
        <f t="shared" ca="1" si="13"/>
        <v>0.46113536781785436</v>
      </c>
      <c r="G138" s="2">
        <f t="shared" ca="1" si="13"/>
        <v>0.92641806189635711</v>
      </c>
      <c r="H138" s="2">
        <f t="shared" ca="1" si="13"/>
        <v>0.56333812651552462</v>
      </c>
      <c r="I138" s="2">
        <f t="shared" ca="1" si="13"/>
        <v>0.41069293715536681</v>
      </c>
      <c r="J138" s="2">
        <f t="shared" ca="1" si="13"/>
        <v>0.97233222072993031</v>
      </c>
      <c r="K138" s="2">
        <f t="shared" ca="1" si="13"/>
        <v>0.59427691638209745</v>
      </c>
      <c r="L138" s="2">
        <f t="shared" ca="1" si="13"/>
        <v>0.69741597149248735</v>
      </c>
      <c r="M138" s="2">
        <f t="shared" ca="1" si="13"/>
        <v>2.6974918890840249E-2</v>
      </c>
      <c r="N138" s="2">
        <f t="shared" ca="1" si="13"/>
        <v>0.99957908375799553</v>
      </c>
      <c r="O138" s="2">
        <f t="shared" ca="1" si="13"/>
        <v>6.6994361091250232E-2</v>
      </c>
      <c r="P138" s="2">
        <f t="shared" ca="1" si="13"/>
        <v>0.49621329847764684</v>
      </c>
      <c r="Q138" s="2">
        <f t="shared" ca="1" si="13"/>
        <v>0.21376573856180991</v>
      </c>
      <c r="R138" s="2">
        <f t="shared" ca="1" si="13"/>
        <v>0.58720228080352155</v>
      </c>
      <c r="S138" s="2">
        <f t="shared" ca="1" si="13"/>
        <v>0.49971757659292781</v>
      </c>
      <c r="T138" s="2">
        <f t="shared" ca="1" si="12"/>
        <v>0.35500778356896678</v>
      </c>
      <c r="U138" s="2">
        <f t="shared" ca="1" si="12"/>
        <v>0.7616859136367633</v>
      </c>
      <c r="V138" s="2">
        <f t="shared" ref="Q138:AA151" ca="1" si="14">RAND()</f>
        <v>0.58975153520631074</v>
      </c>
      <c r="W138" s="2">
        <f t="shared" ca="1" si="14"/>
        <v>0.12287972559713678</v>
      </c>
      <c r="X138" s="2">
        <f t="shared" ca="1" si="14"/>
        <v>0.91997183963488682</v>
      </c>
      <c r="Y138" s="2">
        <f t="shared" ca="1" si="14"/>
        <v>0.4067765064630855</v>
      </c>
      <c r="Z138" s="2">
        <f t="shared" ca="1" si="14"/>
        <v>5.1572708140479762E-2</v>
      </c>
      <c r="AA138" s="2">
        <f t="shared" ca="1" si="14"/>
        <v>0.17497512119138603</v>
      </c>
      <c r="AB138" s="2">
        <f ca="1">D138*Sheet2!C$22/_xlfn.STDEV.S(D$122:D$151)</f>
        <v>1.6277723501879811</v>
      </c>
      <c r="AC138" s="2">
        <f ca="1">E138*Sheet2!D$22/_xlfn.STDEV.S(E$122:E$151)</f>
        <v>1.9956930322408009</v>
      </c>
      <c r="AD138" s="2">
        <f ca="1">F138*Sheet2!E$22/_xlfn.STDEV.S(F$122:F$151)</f>
        <v>3.8790713206491683</v>
      </c>
      <c r="AE138" s="2">
        <f ca="1">G138*Sheet2!F$22/_xlfn.STDEV.S(G$122:G$151)</f>
        <v>11.676920216460221</v>
      </c>
      <c r="AF138" s="2">
        <f ca="1">H138*Sheet2!G$22/_xlfn.STDEV.S(H$122:H$151)</f>
        <v>17.700727922835938</v>
      </c>
      <c r="AG138" s="2">
        <f ca="1">I138*Sheet2!H$22/_xlfn.STDEV.S(I$122:I$151)</f>
        <v>7.7468787717389267</v>
      </c>
      <c r="AH138" s="2">
        <f ca="1">J138*Sheet2!I$22/_xlfn.STDEV.S(J$122:J$151)</f>
        <v>1.5484876709491917</v>
      </c>
      <c r="AI138" s="2">
        <f ca="1">K138*Sheet2!J$22/_xlfn.STDEV.S(K$122:K$151)</f>
        <v>2.8615849771574418</v>
      </c>
      <c r="AJ138" s="2">
        <f ca="1">L138*Sheet2!K$22/_xlfn.STDEV.S(L$122:L$151)</f>
        <v>2.8268333382471575</v>
      </c>
      <c r="AK138" s="2">
        <f ca="1">M138*Sheet2!L$22/_xlfn.STDEV.S(M$122:M$151)</f>
        <v>0.18737743122246941</v>
      </c>
      <c r="AL138" s="2">
        <f ca="1">N138*Sheet2!M$22/_xlfn.STDEV.S(N$122:N$151)</f>
        <v>6.500341736396761</v>
      </c>
      <c r="AM138" s="2">
        <f ca="1">O138*Sheet2!N$22/_xlfn.STDEV.S(O$122:O$151)</f>
        <v>0.13047767628221515</v>
      </c>
      <c r="AN138" s="2">
        <f ca="1">P138*Sheet2!O$22/_xlfn.STDEV.S(P$122:P$151)</f>
        <v>1.5829881686314655</v>
      </c>
      <c r="AO138" s="2">
        <f ca="1">Q138*Sheet2!P$22/_xlfn.STDEV.S(Q$122:Q$151)</f>
        <v>1.2735095438225552</v>
      </c>
      <c r="AP138" s="2">
        <f ca="1">R138*Sheet2!Q$22/_xlfn.STDEV.S(R$122:R$151)</f>
        <v>4.6543696261247529</v>
      </c>
      <c r="AQ138" s="2">
        <f ca="1">S138*Sheet2!R$22/_xlfn.STDEV.S(S$122:S$151)</f>
        <v>3.435412931218079</v>
      </c>
      <c r="AR138" s="2">
        <f ca="1">T138*Sheet2!S$22/_xlfn.STDEV.S(T$122:T$151)</f>
        <v>1.4025475900996844</v>
      </c>
      <c r="AS138" s="2">
        <f ca="1">U138*Sheet2!T$22/_xlfn.STDEV.S(U$122:U$151)</f>
        <v>2.0127990710755221</v>
      </c>
      <c r="AT138" s="2">
        <f ca="1">V138*Sheet2!U$22/_xlfn.STDEV.S(V$122:V$151)</f>
        <v>2.9302621231005759</v>
      </c>
      <c r="AU138" s="2">
        <f ca="1">W138*Sheet2!V$22/_xlfn.STDEV.S(W$122:W$151)</f>
        <v>0.60586510184666187</v>
      </c>
      <c r="AV138" s="2">
        <f ca="1">X138*Sheet2!W$22/_xlfn.STDEV.S(X$122:X$151)</f>
        <v>3.8209508373657801</v>
      </c>
      <c r="AW138" s="2">
        <f ca="1">Y138*Sheet2!X$22/_xlfn.STDEV.S(Y$122:Y$151)</f>
        <v>1.7307090496289821</v>
      </c>
      <c r="AX138" s="2">
        <f ca="1">Z138*Sheet2!Y$22/_xlfn.STDEV.S(Z$122:Z$151)</f>
        <v>0.12553771380610612</v>
      </c>
      <c r="AY138" s="2">
        <f ca="1">AA138*Sheet2!Z$22/_xlfn.STDEV.S(AA$122:AA$151)</f>
        <v>0.32174899079124331</v>
      </c>
      <c r="AZ138" s="2">
        <f ca="1">AB138-AVERAGE(AB$122:AB$151)+Sheet2!C$21</f>
        <v>5.1077393230407218</v>
      </c>
      <c r="BA138" s="2">
        <f ca="1">AC138-AVERAGE(AC$122:AC$151)+Sheet2!D$21</f>
        <v>7.1840059942655383</v>
      </c>
      <c r="BB138" s="2">
        <f ca="1">AD138-AVERAGE(AD$122:AD$151)+Sheet2!E$21</f>
        <v>22.3499312626309</v>
      </c>
      <c r="BC138" s="2">
        <f ca="1">AE138-AVERAGE(AE$122:AE$151)+Sheet2!F$21</f>
        <v>8.961124760273858</v>
      </c>
      <c r="BD138" s="2">
        <f ca="1">AF138-AVERAGE(AF$122:AF$151)+Sheet2!G$21</f>
        <v>42.958079969741981</v>
      </c>
      <c r="BE138" s="2">
        <f ca="1">AG138-AVERAGE(AG$122:AG$151)+Sheet2!H$21</f>
        <v>20.724406429523317</v>
      </c>
      <c r="BF138" s="2">
        <f ca="1">AH138-AVERAGE(AH$122:AH$151)+Sheet2!I$21</f>
        <v>10.712402991507995</v>
      </c>
      <c r="BG138" s="2">
        <f ca="1">AI138-AVERAGE(AI$122:AI$151)+Sheet2!J$21</f>
        <v>28.960464888288364</v>
      </c>
      <c r="BH138" s="2">
        <f ca="1">AJ138-AVERAGE(AJ$122:AJ$151)+Sheet2!K$21</f>
        <v>19.601938211822073</v>
      </c>
      <c r="BI138" s="2">
        <f ca="1">AK138-AVERAGE(AK$122:AK$151)+Sheet2!L$21</f>
        <v>22.971565290077123</v>
      </c>
      <c r="BJ138" s="2">
        <f ca="1">AL138-AVERAGE(AL$122:AL$151)+Sheet2!M$21</f>
        <v>18.65640243221214</v>
      </c>
      <c r="BK138" s="2">
        <f ca="1">AM138-AVERAGE(AM$122:AM$151)+Sheet2!N$21</f>
        <v>7.0929014473135172</v>
      </c>
      <c r="BL138" s="2">
        <f ca="1">AN138-AVERAGE(AN$122:AN$151)+Sheet2!O$21</f>
        <v>8.3327191021934759</v>
      </c>
      <c r="BM138" s="2">
        <f ca="1">AO138-AVERAGE(AO$122:AO$151)+Sheet2!P$21</f>
        <v>17.098239463771925</v>
      </c>
      <c r="BN138" s="2">
        <f ca="1">AP138-AVERAGE(AP$122:AP$151)+Sheet2!Q$21</f>
        <v>21.939396465578294</v>
      </c>
      <c r="BO138" s="2">
        <f ca="1">AQ138-AVERAGE(AQ$122:AQ$151)+Sheet2!R$21</f>
        <v>6.2891840187970924</v>
      </c>
      <c r="BP138" s="2">
        <f ca="1">AR138-AVERAGE(AR$122:AR$151)+Sheet2!S$21</f>
        <v>4.6007226851444267</v>
      </c>
      <c r="BQ138" s="2">
        <f ca="1">AS138-AVERAGE(AS$122:AS$151)+Sheet2!T$21</f>
        <v>9.5406996625685565</v>
      </c>
      <c r="BR138" s="2">
        <f ca="1">AT138-AVERAGE(AT$122:AT$151)+Sheet2!U$21</f>
        <v>23.882344400466998</v>
      </c>
      <c r="BS138" s="2">
        <f ca="1">AU138-AVERAGE(AU$122:AU$151)+Sheet2!V$21</f>
        <v>20.386980323853834</v>
      </c>
      <c r="BT138" s="2">
        <f ca="1">AV138-AVERAGE(AV$122:AV$151)+Sheet2!W$21</f>
        <v>34.351641012064334</v>
      </c>
      <c r="BU138" s="2">
        <f ca="1">AW138-AVERAGE(AW$122:AW$151)+Sheet2!X$21</f>
        <v>19.946847938474281</v>
      </c>
      <c r="BV138" s="2">
        <f ca="1">AX138-AVERAGE(AX$122:AX$151)+Sheet2!Y$21</f>
        <v>13.13605702591174</v>
      </c>
      <c r="BW138" s="2">
        <f ca="1">AY138-AVERAGE(AY$122:AY$151)+Sheet2!Z$21</f>
        <v>10.030466362747415</v>
      </c>
      <c r="BZ138" s="2">
        <f ca="1">BA138-AVERAGE(AH$122:AH$151)+Sheet2!AB$21</f>
        <v>6.4025503492256384</v>
      </c>
      <c r="CA138" s="2">
        <f ca="1">BB138-AVERAGE(AI$122:AI$151)+Sheet2!AC$21</f>
        <v>19.729147989057847</v>
      </c>
      <c r="CB138" s="2">
        <f ca="1">BC138-AVERAGE(AJ$122:AJ$151)+Sheet2!AD$21</f>
        <v>7.1740266071250103</v>
      </c>
      <c r="CC138" s="2">
        <f ca="1">BD138-AVERAGE(AK$122:AK$151)+Sheet2!AE$21</f>
        <v>39.59689686299793</v>
      </c>
    </row>
    <row r="139" spans="2:81" x14ac:dyDescent="0.3">
      <c r="B139">
        <v>138</v>
      </c>
      <c r="C139" s="1">
        <v>5</v>
      </c>
      <c r="D139" s="2">
        <f t="shared" ca="1" si="13"/>
        <v>0.14292555016477226</v>
      </c>
      <c r="E139" s="2">
        <f t="shared" ca="1" si="13"/>
        <v>0.34868238648933247</v>
      </c>
      <c r="F139" s="2">
        <f t="shared" ca="1" si="13"/>
        <v>0.64924997599319545</v>
      </c>
      <c r="G139" s="2">
        <f t="shared" ca="1" si="13"/>
        <v>0.34847128966696417</v>
      </c>
      <c r="H139" s="2">
        <f t="shared" ca="1" si="13"/>
        <v>0.56514949532351999</v>
      </c>
      <c r="I139" s="2">
        <f t="shared" ca="1" si="13"/>
        <v>0.4814539814105937</v>
      </c>
      <c r="J139" s="2">
        <f t="shared" ca="1" si="13"/>
        <v>0.8502581984263583</v>
      </c>
      <c r="K139" s="2">
        <f t="shared" ca="1" si="13"/>
        <v>0.87414161550589109</v>
      </c>
      <c r="L139" s="2">
        <f t="shared" ca="1" si="13"/>
        <v>0.13295322260978681</v>
      </c>
      <c r="M139" s="2">
        <f t="shared" ca="1" si="13"/>
        <v>7.567473324867624E-2</v>
      </c>
      <c r="N139" s="2">
        <f t="shared" ca="1" si="13"/>
        <v>0.75097683538520565</v>
      </c>
      <c r="O139" s="2">
        <f t="shared" ca="1" si="13"/>
        <v>3.9641167963118118E-2</v>
      </c>
      <c r="P139" s="2">
        <f t="shared" ca="1" si="13"/>
        <v>0.1030919841372504</v>
      </c>
      <c r="Q139" s="2">
        <f t="shared" ca="1" si="14"/>
        <v>0.25750521342141952</v>
      </c>
      <c r="R139" s="2">
        <f t="shared" ca="1" si="14"/>
        <v>0.91025322748156978</v>
      </c>
      <c r="S139" s="2">
        <f t="shared" ca="1" si="14"/>
        <v>0.18211640273402951</v>
      </c>
      <c r="T139" s="2">
        <f t="shared" ca="1" si="14"/>
        <v>0.29253234765233871</v>
      </c>
      <c r="U139" s="2">
        <f t="shared" ca="1" si="14"/>
        <v>0.69490858754564921</v>
      </c>
      <c r="V139" s="2">
        <f t="shared" ca="1" si="14"/>
        <v>0.16447220841256149</v>
      </c>
      <c r="W139" s="2">
        <f t="shared" ca="1" si="14"/>
        <v>0.62136554118192533</v>
      </c>
      <c r="X139" s="2">
        <f t="shared" ca="1" si="14"/>
        <v>8.3524863911302205E-2</v>
      </c>
      <c r="Y139" s="2">
        <f t="shared" ca="1" si="14"/>
        <v>0.51602049987318044</v>
      </c>
      <c r="Z139" s="2">
        <f t="shared" ca="1" si="14"/>
        <v>0.43755673717511634</v>
      </c>
      <c r="AA139" s="2">
        <f t="shared" ca="1" si="14"/>
        <v>2.2827478668513201E-2</v>
      </c>
      <c r="AB139" s="2">
        <f ca="1">D139*Sheet2!C$22/_xlfn.STDEV.S(D$122:D$151)</f>
        <v>0.47743292648434776</v>
      </c>
      <c r="AC139" s="2">
        <f ca="1">E139*Sheet2!D$22/_xlfn.STDEV.S(E$122:E$151)</f>
        <v>1.4414661582267665</v>
      </c>
      <c r="AD139" s="2">
        <f ca="1">F139*Sheet2!E$22/_xlfn.STDEV.S(F$122:F$151)</f>
        <v>5.4614916520611629</v>
      </c>
      <c r="AE139" s="2">
        <f ca="1">G139*Sheet2!F$22/_xlfn.STDEV.S(G$122:G$151)</f>
        <v>4.3922626452671283</v>
      </c>
      <c r="AF139" s="2">
        <f ca="1">H139*Sheet2!G$22/_xlfn.STDEV.S(H$122:H$151)</f>
        <v>17.757643201474291</v>
      </c>
      <c r="AG139" s="2">
        <f ca="1">I139*Sheet2!H$22/_xlfn.STDEV.S(I$122:I$151)</f>
        <v>9.0816405414537993</v>
      </c>
      <c r="AH139" s="2">
        <f ca="1">J139*Sheet2!I$22/_xlfn.STDEV.S(J$122:J$151)</f>
        <v>1.3540786876303494</v>
      </c>
      <c r="AI139" s="2">
        <f ca="1">K139*Sheet2!J$22/_xlfn.STDEV.S(K$122:K$151)</f>
        <v>4.2092001992409038</v>
      </c>
      <c r="AJ139" s="2">
        <f ca="1">L139*Sheet2!K$22/_xlfn.STDEV.S(L$122:L$151)</f>
        <v>0.53889875979817548</v>
      </c>
      <c r="AK139" s="2">
        <f ca="1">M139*Sheet2!L$22/_xlfn.STDEV.S(M$122:M$151)</f>
        <v>0.52566375387313946</v>
      </c>
      <c r="AL139" s="2">
        <f ca="1">N139*Sheet2!M$22/_xlfn.STDEV.S(N$122:N$151)</f>
        <v>4.8836616786426079</v>
      </c>
      <c r="AM139" s="2">
        <f ca="1">O139*Sheet2!N$22/_xlfn.STDEV.S(O$122:O$151)</f>
        <v>7.7204818386068144E-2</v>
      </c>
      <c r="AN139" s="2">
        <f ca="1">P139*Sheet2!O$22/_xlfn.STDEV.S(P$122:P$151)</f>
        <v>0.32887750423190559</v>
      </c>
      <c r="AO139" s="2">
        <f ca="1">Q139*Sheet2!P$22/_xlfn.STDEV.S(Q$122:Q$151)</f>
        <v>1.5340874972881582</v>
      </c>
      <c r="AP139" s="2">
        <f ca="1">R139*Sheet2!Q$22/_xlfn.STDEV.S(R$122:R$151)</f>
        <v>7.2149838523700023</v>
      </c>
      <c r="AQ139" s="2">
        <f ca="1">S139*Sheet2!R$22/_xlfn.STDEV.S(S$122:S$151)</f>
        <v>1.2519972765517868</v>
      </c>
      <c r="AR139" s="2">
        <f ca="1">T139*Sheet2!S$22/_xlfn.STDEV.S(T$122:T$151)</f>
        <v>1.1557226579689466</v>
      </c>
      <c r="AS139" s="2">
        <f ca="1">U139*Sheet2!T$22/_xlfn.STDEV.S(U$122:U$151)</f>
        <v>1.836336125498194</v>
      </c>
      <c r="AT139" s="2">
        <f ca="1">V139*Sheet2!U$22/_xlfn.STDEV.S(V$122:V$151)</f>
        <v>0.81720293012113165</v>
      </c>
      <c r="AU139" s="2">
        <f ca="1">W139*Sheet2!V$22/_xlfn.STDEV.S(W$122:W$151)</f>
        <v>3.0636762497862002</v>
      </c>
      <c r="AV139" s="2">
        <f ca="1">X139*Sheet2!W$22/_xlfn.STDEV.S(X$122:X$151)</f>
        <v>0.3469067040458686</v>
      </c>
      <c r="AW139" s="2">
        <f ca="1">Y139*Sheet2!X$22/_xlfn.STDEV.S(Y$122:Y$151)</f>
        <v>2.1955086754884419</v>
      </c>
      <c r="AX139" s="2">
        <f ca="1">Z139*Sheet2!Y$22/_xlfn.STDEV.S(Z$122:Z$151)</f>
        <v>1.0650957536648833</v>
      </c>
      <c r="AY139" s="2">
        <f ca="1">AA139*Sheet2!Z$22/_xlfn.STDEV.S(AA$122:AA$151)</f>
        <v>4.1975785893979628E-2</v>
      </c>
      <c r="AZ139" s="2">
        <f ca="1">AB139-AVERAGE(AB$122:AB$151)+Sheet2!C$21</f>
        <v>3.9573998993370885</v>
      </c>
      <c r="BA139" s="2">
        <f ca="1">AC139-AVERAGE(AC$122:AC$151)+Sheet2!D$21</f>
        <v>6.629779120251504</v>
      </c>
      <c r="BB139" s="2">
        <f ca="1">AD139-AVERAGE(AD$122:AD$151)+Sheet2!E$21</f>
        <v>23.932351594042892</v>
      </c>
      <c r="BC139" s="2">
        <f ca="1">AE139-AVERAGE(AE$122:AE$151)+Sheet2!F$21</f>
        <v>1.6764671890807641</v>
      </c>
      <c r="BD139" s="2">
        <f ca="1">AF139-AVERAGE(AF$122:AF$151)+Sheet2!G$21</f>
        <v>43.014995248380338</v>
      </c>
      <c r="BE139" s="2">
        <f ca="1">AG139-AVERAGE(AG$122:AG$151)+Sheet2!H$21</f>
        <v>22.05916819923819</v>
      </c>
      <c r="BF139" s="2">
        <f ca="1">AH139-AVERAGE(AH$122:AH$151)+Sheet2!I$21</f>
        <v>10.517994008189152</v>
      </c>
      <c r="BG139" s="2">
        <f ca="1">AI139-AVERAGE(AI$122:AI$151)+Sheet2!J$21</f>
        <v>30.308080110371826</v>
      </c>
      <c r="BH139" s="2">
        <f ca="1">AJ139-AVERAGE(AJ$122:AJ$151)+Sheet2!K$21</f>
        <v>17.31400363337309</v>
      </c>
      <c r="BI139" s="2">
        <f ca="1">AK139-AVERAGE(AK$122:AK$151)+Sheet2!L$21</f>
        <v>23.30985161272779</v>
      </c>
      <c r="BJ139" s="2">
        <f ca="1">AL139-AVERAGE(AL$122:AL$151)+Sheet2!M$21</f>
        <v>17.039722374457988</v>
      </c>
      <c r="BK139" s="2">
        <f ca="1">AM139-AVERAGE(AM$122:AM$151)+Sheet2!N$21</f>
        <v>7.0396285894173696</v>
      </c>
      <c r="BL139" s="2">
        <f ca="1">AN139-AVERAGE(AN$122:AN$151)+Sheet2!O$21</f>
        <v>7.0786084377939158</v>
      </c>
      <c r="BM139" s="2">
        <f ca="1">AO139-AVERAGE(AO$122:AO$151)+Sheet2!P$21</f>
        <v>17.358817417237528</v>
      </c>
      <c r="BN139" s="2">
        <f ca="1">AP139-AVERAGE(AP$122:AP$151)+Sheet2!Q$21</f>
        <v>24.500010691823544</v>
      </c>
      <c r="BO139" s="2">
        <f ca="1">AQ139-AVERAGE(AQ$122:AQ$151)+Sheet2!R$21</f>
        <v>4.1057683641308005</v>
      </c>
      <c r="BP139" s="2">
        <f ca="1">AR139-AVERAGE(AR$122:AR$151)+Sheet2!S$21</f>
        <v>4.3538977530136886</v>
      </c>
      <c r="BQ139" s="2">
        <f ca="1">AS139-AVERAGE(AS$122:AS$151)+Sheet2!T$21</f>
        <v>9.3642367169912291</v>
      </c>
      <c r="BR139" s="2">
        <f ca="1">AT139-AVERAGE(AT$122:AT$151)+Sheet2!U$21</f>
        <v>21.769285207487552</v>
      </c>
      <c r="BS139" s="2">
        <f ca="1">AU139-AVERAGE(AU$122:AU$151)+Sheet2!V$21</f>
        <v>22.844791471793371</v>
      </c>
      <c r="BT139" s="2">
        <f ca="1">AV139-AVERAGE(AV$122:AV$151)+Sheet2!W$21</f>
        <v>30.87759687874442</v>
      </c>
      <c r="BU139" s="2">
        <f ca="1">AW139-AVERAGE(AW$122:AW$151)+Sheet2!X$21</f>
        <v>20.411647564333741</v>
      </c>
      <c r="BV139" s="2">
        <f ca="1">AX139-AVERAGE(AX$122:AX$151)+Sheet2!Y$21</f>
        <v>14.075615065770517</v>
      </c>
      <c r="BW139" s="2">
        <f ca="1">AY139-AVERAGE(AY$122:AY$151)+Sheet2!Z$21</f>
        <v>9.7506931578501508</v>
      </c>
      <c r="BZ139" s="2">
        <f ca="1">BA139-AVERAGE(AH$122:AH$151)+Sheet2!AB$21</f>
        <v>5.848323475211604</v>
      </c>
      <c r="CA139" s="2">
        <f ca="1">BB139-AVERAGE(AI$122:AI$151)+Sheet2!AC$21</f>
        <v>21.311568320469842</v>
      </c>
      <c r="CB139" s="2">
        <f ca="1">BC139-AVERAGE(AJ$122:AJ$151)+Sheet2!AD$21</f>
        <v>-0.11063096406808354</v>
      </c>
      <c r="CC139" s="2">
        <f ca="1">BD139-AVERAGE(AK$122:AK$151)+Sheet2!AE$21</f>
        <v>39.653812141636287</v>
      </c>
    </row>
    <row r="140" spans="2:81" x14ac:dyDescent="0.3">
      <c r="B140">
        <v>139</v>
      </c>
      <c r="C140" s="1">
        <v>5</v>
      </c>
      <c r="D140" s="2">
        <f t="shared" ca="1" si="13"/>
        <v>0.93162998625401172</v>
      </c>
      <c r="E140" s="2">
        <f t="shared" ca="1" si="13"/>
        <v>0.84580555166328308</v>
      </c>
      <c r="F140" s="2">
        <f t="shared" ca="1" si="13"/>
        <v>0.31636304048750064</v>
      </c>
      <c r="G140" s="2">
        <f t="shared" ca="1" si="13"/>
        <v>0.25697434917428141</v>
      </c>
      <c r="H140" s="2">
        <f t="shared" ca="1" si="13"/>
        <v>0.64741688270307174</v>
      </c>
      <c r="I140" s="2">
        <f t="shared" ca="1" si="13"/>
        <v>7.3833353095092091E-2</v>
      </c>
      <c r="J140" s="2">
        <f t="shared" ca="1" si="13"/>
        <v>2.9667264579891106E-2</v>
      </c>
      <c r="K140" s="2">
        <f t="shared" ca="1" si="13"/>
        <v>0.92461741883346826</v>
      </c>
      <c r="L140" s="2">
        <f t="shared" ca="1" si="13"/>
        <v>0.12187206109374837</v>
      </c>
      <c r="M140" s="2">
        <f t="shared" ca="1" si="13"/>
        <v>0.60049205274862194</v>
      </c>
      <c r="N140" s="2">
        <f t="shared" ca="1" si="13"/>
        <v>0.29899403310307437</v>
      </c>
      <c r="O140" s="2">
        <f t="shared" ca="1" si="13"/>
        <v>0.7951625086902161</v>
      </c>
      <c r="P140" s="2">
        <f t="shared" ca="1" si="13"/>
        <v>1.7868676298886665E-2</v>
      </c>
      <c r="Q140" s="2">
        <f t="shared" ca="1" si="14"/>
        <v>0.84939627719801358</v>
      </c>
      <c r="R140" s="2">
        <f t="shared" ca="1" si="14"/>
        <v>0.59903673738125862</v>
      </c>
      <c r="S140" s="2">
        <f t="shared" ca="1" si="14"/>
        <v>0.55088260664335309</v>
      </c>
      <c r="T140" s="2">
        <f t="shared" ca="1" si="14"/>
        <v>0.44754197321118305</v>
      </c>
      <c r="U140" s="2">
        <f t="shared" ca="1" si="14"/>
        <v>0.5176623729695119</v>
      </c>
      <c r="V140" s="2">
        <f t="shared" ca="1" si="14"/>
        <v>0.56612875781746064</v>
      </c>
      <c r="W140" s="2">
        <f t="shared" ca="1" si="14"/>
        <v>0.36087355229805829</v>
      </c>
      <c r="X140" s="2">
        <f t="shared" ca="1" si="14"/>
        <v>0.34044521071669021</v>
      </c>
      <c r="Y140" s="2">
        <f t="shared" ca="1" si="14"/>
        <v>0.99460491657983419</v>
      </c>
      <c r="Z140" s="2">
        <f t="shared" ca="1" si="14"/>
        <v>0.38641588242819058</v>
      </c>
      <c r="AA140" s="2">
        <f t="shared" ca="1" si="14"/>
        <v>0.93717705795744766</v>
      </c>
      <c r="AB140" s="2">
        <f ca="1">D140*Sheet2!C$22/_xlfn.STDEV.S(D$122:D$151)</f>
        <v>3.1120456085356798</v>
      </c>
      <c r="AC140" s="2">
        <f ca="1">E140*Sheet2!D$22/_xlfn.STDEV.S(E$122:E$151)</f>
        <v>3.4965921033130347</v>
      </c>
      <c r="AD140" s="2">
        <f ca="1">F140*Sheet2!E$22/_xlfn.STDEV.S(F$122:F$151)</f>
        <v>2.6612463127165076</v>
      </c>
      <c r="AE140" s="2">
        <f ca="1">G140*Sheet2!F$22/_xlfn.STDEV.S(G$122:G$151)</f>
        <v>3.2390009396433532</v>
      </c>
      <c r="AF140" s="2">
        <f ca="1">H140*Sheet2!G$22/_xlfn.STDEV.S(H$122:H$151)</f>
        <v>20.342578558033836</v>
      </c>
      <c r="AG140" s="2">
        <f ca="1">I140*Sheet2!H$22/_xlfn.STDEV.S(I$122:I$151)</f>
        <v>1.3927145660220885</v>
      </c>
      <c r="AH140" s="2">
        <f ca="1">J140*Sheet2!I$22/_xlfn.STDEV.S(J$122:J$151)</f>
        <v>4.7246601987808549E-2</v>
      </c>
      <c r="AI140" s="2">
        <f ca="1">K140*Sheet2!J$22/_xlfn.STDEV.S(K$122:K$151)</f>
        <v>4.452253221376596</v>
      </c>
      <c r="AJ140" s="2">
        <f ca="1">L140*Sheet2!K$22/_xlfn.STDEV.S(L$122:L$151)</f>
        <v>0.49398353261603417</v>
      </c>
      <c r="AK140" s="2">
        <f ca="1">M140*Sheet2!L$22/_xlfn.STDEV.S(M$122:M$151)</f>
        <v>4.171232498191193</v>
      </c>
      <c r="AL140" s="2">
        <f ca="1">N140*Sheet2!M$22/_xlfn.STDEV.S(N$122:N$151)</f>
        <v>1.944381814199764</v>
      </c>
      <c r="AM140" s="2">
        <f ca="1">O140*Sheet2!N$22/_xlfn.STDEV.S(O$122:O$151)</f>
        <v>1.5486520762444655</v>
      </c>
      <c r="AN140" s="2">
        <f ca="1">P140*Sheet2!O$22/_xlfn.STDEV.S(P$122:P$151)</f>
        <v>5.7003516949309017E-2</v>
      </c>
      <c r="AO140" s="2">
        <f ca="1">Q140*Sheet2!P$22/_xlfn.STDEV.S(Q$122:Q$151)</f>
        <v>5.060278942625053</v>
      </c>
      <c r="AP140" s="2">
        <f ca="1">R140*Sheet2!Q$22/_xlfn.STDEV.S(R$122:R$151)</f>
        <v>4.7481736473927532</v>
      </c>
      <c r="AQ140" s="2">
        <f ca="1">S140*Sheet2!R$22/_xlfn.STDEV.S(S$122:S$151)</f>
        <v>3.7871576248104324</v>
      </c>
      <c r="AR140" s="2">
        <f ca="1">T140*Sheet2!S$22/_xlfn.STDEV.S(T$122:T$151)</f>
        <v>1.7681271933967622</v>
      </c>
      <c r="AS140" s="2">
        <f ca="1">U140*Sheet2!T$22/_xlfn.STDEV.S(U$122:U$151)</f>
        <v>1.3679527542643708</v>
      </c>
      <c r="AT140" s="2">
        <f ca="1">V140*Sheet2!U$22/_xlfn.STDEV.S(V$122:V$151)</f>
        <v>2.8128890842991274</v>
      </c>
      <c r="AU140" s="2">
        <f ca="1">W140*Sheet2!V$22/_xlfn.STDEV.S(W$122:W$151)</f>
        <v>1.7793064759409283</v>
      </c>
      <c r="AV140" s="2">
        <f ca="1">X140*Sheet2!W$22/_xlfn.STDEV.S(X$122:X$151)</f>
        <v>1.4139828600420756</v>
      </c>
      <c r="AW140" s="2">
        <f ca="1">Y140*Sheet2!X$22/_xlfn.STDEV.S(Y$122:Y$151)</f>
        <v>4.2317383196426324</v>
      </c>
      <c r="AX140" s="2">
        <f ca="1">Z140*Sheet2!Y$22/_xlfn.STDEV.S(Z$122:Z$151)</f>
        <v>0.9406092525966947</v>
      </c>
      <c r="AY140" s="2">
        <f ca="1">AA140*Sheet2!Z$22/_xlfn.STDEV.S(AA$122:AA$151)</f>
        <v>1.7233065508821597</v>
      </c>
      <c r="AZ140" s="2">
        <f ca="1">AB140-AVERAGE(AB$122:AB$151)+Sheet2!C$21</f>
        <v>6.5920125813884205</v>
      </c>
      <c r="BA140" s="2">
        <f ca="1">AC140-AVERAGE(AC$122:AC$151)+Sheet2!D$21</f>
        <v>8.6849050653377713</v>
      </c>
      <c r="BB140" s="2">
        <f ca="1">AD140-AVERAGE(AD$122:AD$151)+Sheet2!E$21</f>
        <v>21.13210625469824</v>
      </c>
      <c r="BC140" s="2">
        <f ca="1">AE140-AVERAGE(AE$122:AE$151)+Sheet2!F$21</f>
        <v>0.52320548345698903</v>
      </c>
      <c r="BD140" s="2">
        <f ca="1">AF140-AVERAGE(AF$122:AF$151)+Sheet2!G$21</f>
        <v>45.599930604939878</v>
      </c>
      <c r="BE140" s="2">
        <f ca="1">AG140-AVERAGE(AG$122:AG$151)+Sheet2!H$21</f>
        <v>14.370242223806478</v>
      </c>
      <c r="BF140" s="2">
        <f ca="1">AH140-AVERAGE(AH$122:AH$151)+Sheet2!I$21</f>
        <v>9.2111619225466104</v>
      </c>
      <c r="BG140" s="2">
        <f ca="1">AI140-AVERAGE(AI$122:AI$151)+Sheet2!J$21</f>
        <v>30.55113313250752</v>
      </c>
      <c r="BH140" s="2">
        <f ca="1">AJ140-AVERAGE(AJ$122:AJ$151)+Sheet2!K$21</f>
        <v>17.269088406190949</v>
      </c>
      <c r="BI140" s="2">
        <f ca="1">AK140-AVERAGE(AK$122:AK$151)+Sheet2!L$21</f>
        <v>26.955420357045845</v>
      </c>
      <c r="BJ140" s="2">
        <f ca="1">AL140-AVERAGE(AL$122:AL$151)+Sheet2!M$21</f>
        <v>14.100442510015142</v>
      </c>
      <c r="BK140" s="2">
        <f ca="1">AM140-AVERAGE(AM$122:AM$151)+Sheet2!N$21</f>
        <v>8.5110758472757677</v>
      </c>
      <c r="BL140" s="2">
        <f ca="1">AN140-AVERAGE(AN$122:AN$151)+Sheet2!O$21</f>
        <v>6.8067344505113194</v>
      </c>
      <c r="BM140" s="2">
        <f ca="1">AO140-AVERAGE(AO$122:AO$151)+Sheet2!P$21</f>
        <v>20.885008862574423</v>
      </c>
      <c r="BN140" s="2">
        <f ca="1">AP140-AVERAGE(AP$122:AP$151)+Sheet2!Q$21</f>
        <v>22.033200486846297</v>
      </c>
      <c r="BO140" s="2">
        <f ca="1">AQ140-AVERAGE(AQ$122:AQ$151)+Sheet2!R$21</f>
        <v>6.6409287123894458</v>
      </c>
      <c r="BP140" s="2">
        <f ca="1">AR140-AVERAGE(AR$122:AR$151)+Sheet2!S$21</f>
        <v>4.9663022884415042</v>
      </c>
      <c r="BQ140" s="2">
        <f ca="1">AS140-AVERAGE(AS$122:AS$151)+Sheet2!T$21</f>
        <v>8.8958533457574056</v>
      </c>
      <c r="BR140" s="2">
        <f ca="1">AT140-AVERAGE(AT$122:AT$151)+Sheet2!U$21</f>
        <v>23.764971361665548</v>
      </c>
      <c r="BS140" s="2">
        <f ca="1">AU140-AVERAGE(AU$122:AU$151)+Sheet2!V$21</f>
        <v>21.560421697948101</v>
      </c>
      <c r="BT140" s="2">
        <f ca="1">AV140-AVERAGE(AV$122:AV$151)+Sheet2!W$21</f>
        <v>31.944673034740628</v>
      </c>
      <c r="BU140" s="2">
        <f ca="1">AW140-AVERAGE(AW$122:AW$151)+Sheet2!X$21</f>
        <v>22.447877208487931</v>
      </c>
      <c r="BV140" s="2">
        <f ca="1">AX140-AVERAGE(AX$122:AX$151)+Sheet2!Y$21</f>
        <v>13.951128564702328</v>
      </c>
      <c r="BW140" s="2">
        <f ca="1">AY140-AVERAGE(AY$122:AY$151)+Sheet2!Z$21</f>
        <v>11.432023922838331</v>
      </c>
      <c r="BZ140" s="2">
        <f ca="1">BA140-AVERAGE(AH$122:AH$151)+Sheet2!AB$21</f>
        <v>7.9034494202978713</v>
      </c>
      <c r="CA140" s="2">
        <f ca="1">BB140-AVERAGE(AI$122:AI$151)+Sheet2!AC$21</f>
        <v>18.511322981125186</v>
      </c>
      <c r="CB140" s="2">
        <f ca="1">BC140-AVERAGE(AJ$122:AJ$151)+Sheet2!AD$21</f>
        <v>-1.2638926696918587</v>
      </c>
      <c r="CC140" s="2">
        <f ca="1">BD140-AVERAGE(AK$122:AK$151)+Sheet2!AE$21</f>
        <v>42.238747498195828</v>
      </c>
    </row>
    <row r="141" spans="2:81" x14ac:dyDescent="0.3">
      <c r="B141">
        <v>140</v>
      </c>
      <c r="C141" s="1">
        <v>5</v>
      </c>
      <c r="D141" s="2">
        <f t="shared" ca="1" si="13"/>
        <v>0.20766346060632224</v>
      </c>
      <c r="E141" s="2">
        <f t="shared" ca="1" si="13"/>
        <v>0.5701990570382176</v>
      </c>
      <c r="F141" s="2">
        <f t="shared" ca="1" si="13"/>
        <v>0.71162622666882369</v>
      </c>
      <c r="G141" s="2">
        <f t="shared" ca="1" si="13"/>
        <v>0.84199613908309301</v>
      </c>
      <c r="H141" s="2">
        <f t="shared" ca="1" si="13"/>
        <v>0.29889805917672707</v>
      </c>
      <c r="I141" s="2">
        <f t="shared" ca="1" si="13"/>
        <v>0.20826347702794867</v>
      </c>
      <c r="J141" s="2">
        <f t="shared" ca="1" si="13"/>
        <v>0.35218364626094401</v>
      </c>
      <c r="K141" s="2">
        <f t="shared" ca="1" si="13"/>
        <v>0.4083970602494994</v>
      </c>
      <c r="L141" s="2">
        <f t="shared" ca="1" si="13"/>
        <v>7.596408417012579E-2</v>
      </c>
      <c r="M141" s="2">
        <f t="shared" ca="1" si="13"/>
        <v>0.84124023161480133</v>
      </c>
      <c r="N141" s="2">
        <f t="shared" ca="1" si="13"/>
        <v>0.76804916002317891</v>
      </c>
      <c r="O141" s="2">
        <f t="shared" ca="1" si="13"/>
        <v>0.30720059916625075</v>
      </c>
      <c r="P141" s="2">
        <f t="shared" ca="1" si="13"/>
        <v>0.53624141649711254</v>
      </c>
      <c r="Q141" s="2">
        <f t="shared" ca="1" si="14"/>
        <v>0.81896115894703836</v>
      </c>
      <c r="R141" s="2">
        <f t="shared" ca="1" si="14"/>
        <v>0.90063433757575584</v>
      </c>
      <c r="S141" s="2">
        <f t="shared" ca="1" si="14"/>
        <v>0.1489261954304909</v>
      </c>
      <c r="T141" s="2">
        <f t="shared" ca="1" si="14"/>
        <v>9.2546973126184873E-2</v>
      </c>
      <c r="U141" s="2">
        <f t="shared" ca="1" si="14"/>
        <v>3.994752847643801E-2</v>
      </c>
      <c r="V141" s="2">
        <f t="shared" ca="1" si="14"/>
        <v>0.40712781269955134</v>
      </c>
      <c r="W141" s="2">
        <f t="shared" ca="1" si="14"/>
        <v>0.45181722398622071</v>
      </c>
      <c r="X141" s="2">
        <f t="shared" ca="1" si="14"/>
        <v>0.27507708760382799</v>
      </c>
      <c r="Y141" s="2">
        <f t="shared" ca="1" si="14"/>
        <v>0.97145427706986009</v>
      </c>
      <c r="Z141" s="2">
        <f t="shared" ca="1" si="14"/>
        <v>0.23497781000493767</v>
      </c>
      <c r="AA141" s="2">
        <f t="shared" ca="1" si="14"/>
        <v>0.15451600242442776</v>
      </c>
      <c r="AB141" s="2">
        <f ca="1">D141*Sheet2!C$22/_xlfn.STDEV.S(D$122:D$151)</f>
        <v>0.69368544397305709</v>
      </c>
      <c r="AC141" s="2">
        <f ca="1">E141*Sheet2!D$22/_xlfn.STDEV.S(E$122:E$151)</f>
        <v>2.3572244427051099</v>
      </c>
      <c r="AD141" s="2">
        <f ca="1">F141*Sheet2!E$22/_xlfn.STDEV.S(F$122:F$151)</f>
        <v>5.986200754792633</v>
      </c>
      <c r="AE141" s="2">
        <f ca="1">G141*Sheet2!F$22/_xlfn.STDEV.S(G$122:G$151)</f>
        <v>10.612834683420459</v>
      </c>
      <c r="AF141" s="2">
        <f ca="1">H141*Sheet2!G$22/_xlfn.STDEV.S(H$122:H$151)</f>
        <v>9.3917187087552119</v>
      </c>
      <c r="AG141" s="2">
        <f ca="1">I141*Sheet2!H$22/_xlfn.STDEV.S(I$122:I$151)</f>
        <v>3.9284627592852917</v>
      </c>
      <c r="AH141" s="2">
        <f ca="1">J141*Sheet2!I$22/_xlfn.STDEV.S(J$122:J$151)</f>
        <v>0.56087006325431354</v>
      </c>
      <c r="AI141" s="2">
        <f ca="1">K141*Sheet2!J$22/_xlfn.STDEV.S(K$122:K$151)</f>
        <v>1.9665291720229368</v>
      </c>
      <c r="AJ141" s="2">
        <f ca="1">L141*Sheet2!K$22/_xlfn.STDEV.S(L$122:L$151)</f>
        <v>0.30790491531471609</v>
      </c>
      <c r="AK141" s="2">
        <f ca="1">M141*Sheet2!L$22/_xlfn.STDEV.S(M$122:M$151)</f>
        <v>5.8435554256477173</v>
      </c>
      <c r="AL141" s="2">
        <f ca="1">N141*Sheet2!M$22/_xlfn.STDEV.S(N$122:N$151)</f>
        <v>4.9946843542715431</v>
      </c>
      <c r="AM141" s="2">
        <f ca="1">O141*Sheet2!N$22/_xlfn.STDEV.S(O$122:O$151)</f>
        <v>0.59830140445882396</v>
      </c>
      <c r="AN141" s="2">
        <f ca="1">P141*Sheet2!O$22/_xlfn.STDEV.S(P$122:P$151)</f>
        <v>1.7106833300303947</v>
      </c>
      <c r="AO141" s="2">
        <f ca="1">Q141*Sheet2!P$22/_xlfn.STDEV.S(Q$122:Q$151)</f>
        <v>4.8789617033857171</v>
      </c>
      <c r="AP141" s="2">
        <f ca="1">R141*Sheet2!Q$22/_xlfn.STDEV.S(R$122:R$151)</f>
        <v>7.1387411835687233</v>
      </c>
      <c r="AQ141" s="2">
        <f ca="1">S141*Sheet2!R$22/_xlfn.STDEV.S(S$122:S$151)</f>
        <v>1.0238242590289948</v>
      </c>
      <c r="AR141" s="2">
        <f ca="1">T141*Sheet2!S$22/_xlfn.STDEV.S(T$122:T$151)</f>
        <v>0.36563010766758175</v>
      </c>
      <c r="AS141" s="2">
        <f ca="1">U141*Sheet2!T$22/_xlfn.STDEV.S(U$122:U$151)</f>
        <v>0.10556365395445923</v>
      </c>
      <c r="AT141" s="2">
        <f ca="1">V141*Sheet2!U$22/_xlfn.STDEV.S(V$122:V$151)</f>
        <v>2.0228708830693267</v>
      </c>
      <c r="AU141" s="2">
        <f ca="1">W141*Sheet2!V$22/_xlfn.STDEV.S(W$122:W$151)</f>
        <v>2.2277091448262971</v>
      </c>
      <c r="AV141" s="2">
        <f ca="1">X141*Sheet2!W$22/_xlfn.STDEV.S(X$122:X$151)</f>
        <v>1.1424871750825805</v>
      </c>
      <c r="AW141" s="2">
        <f ca="1">Y141*Sheet2!X$22/_xlfn.STDEV.S(Y$122:Y$151)</f>
        <v>4.1332394617489152</v>
      </c>
      <c r="AX141" s="2">
        <f ca="1">Z141*Sheet2!Y$22/_xlfn.STDEV.S(Z$122:Z$151)</f>
        <v>0.57198037735062845</v>
      </c>
      <c r="AY141" s="2">
        <f ca="1">AA141*Sheet2!Z$22/_xlfn.STDEV.S(AA$122:AA$151)</f>
        <v>0.28412820921426174</v>
      </c>
      <c r="AZ141" s="2">
        <f ca="1">AB141-AVERAGE(AB$122:AB$151)+Sheet2!C$21</f>
        <v>4.1736524168257976</v>
      </c>
      <c r="BA141" s="2">
        <f ca="1">AC141-AVERAGE(AC$122:AC$151)+Sheet2!D$21</f>
        <v>7.5455374047298474</v>
      </c>
      <c r="BB141" s="2">
        <f ca="1">AD141-AVERAGE(AD$122:AD$151)+Sheet2!E$21</f>
        <v>24.457060696774363</v>
      </c>
      <c r="BC141" s="2">
        <f ca="1">AE141-AVERAGE(AE$122:AE$151)+Sheet2!F$21</f>
        <v>7.897039227234095</v>
      </c>
      <c r="BD141" s="2">
        <f ca="1">AF141-AVERAGE(AF$122:AF$151)+Sheet2!G$21</f>
        <v>34.649070755661256</v>
      </c>
      <c r="BE141" s="2">
        <f ca="1">AG141-AVERAGE(AG$122:AG$151)+Sheet2!H$21</f>
        <v>16.905990417069681</v>
      </c>
      <c r="BF141" s="2">
        <f ca="1">AH141-AVERAGE(AH$122:AH$151)+Sheet2!I$21</f>
        <v>9.7247853838131153</v>
      </c>
      <c r="BG141" s="2">
        <f ca="1">AI141-AVERAGE(AI$122:AI$151)+Sheet2!J$21</f>
        <v>28.06540908315386</v>
      </c>
      <c r="BH141" s="2">
        <f ca="1">AJ141-AVERAGE(AJ$122:AJ$151)+Sheet2!K$21</f>
        <v>17.083009788889633</v>
      </c>
      <c r="BI141" s="2">
        <f ca="1">AK141-AVERAGE(AK$122:AK$151)+Sheet2!L$21</f>
        <v>28.627743284502369</v>
      </c>
      <c r="BJ141" s="2">
        <f ca="1">AL141-AVERAGE(AL$122:AL$151)+Sheet2!M$21</f>
        <v>17.150745050086922</v>
      </c>
      <c r="BK141" s="2">
        <f ca="1">AM141-AVERAGE(AM$122:AM$151)+Sheet2!N$21</f>
        <v>7.5607251754901252</v>
      </c>
      <c r="BL141" s="2">
        <f ca="1">AN141-AVERAGE(AN$122:AN$151)+Sheet2!O$21</f>
        <v>8.4604142635924049</v>
      </c>
      <c r="BM141" s="2">
        <f ca="1">AO141-AVERAGE(AO$122:AO$151)+Sheet2!P$21</f>
        <v>20.703691623335086</v>
      </c>
      <c r="BN141" s="2">
        <f ca="1">AP141-AVERAGE(AP$122:AP$151)+Sheet2!Q$21</f>
        <v>24.423768023022266</v>
      </c>
      <c r="BO141" s="2">
        <f ca="1">AQ141-AVERAGE(AQ$122:AQ$151)+Sheet2!R$21</f>
        <v>3.8775953466080084</v>
      </c>
      <c r="BP141" s="2">
        <f ca="1">AR141-AVERAGE(AR$122:AR$151)+Sheet2!S$21</f>
        <v>3.5638052027123241</v>
      </c>
      <c r="BQ141" s="2">
        <f ca="1">AS141-AVERAGE(AS$122:AS$151)+Sheet2!T$21</f>
        <v>7.6334642454474935</v>
      </c>
      <c r="BR141" s="2">
        <f ca="1">AT141-AVERAGE(AT$122:AT$151)+Sheet2!U$21</f>
        <v>22.974953160435746</v>
      </c>
      <c r="BS141" s="2">
        <f ca="1">AU141-AVERAGE(AU$122:AU$151)+Sheet2!V$21</f>
        <v>22.008824366833469</v>
      </c>
      <c r="BT141" s="2">
        <f ca="1">AV141-AVERAGE(AV$122:AV$151)+Sheet2!W$21</f>
        <v>31.673177349781131</v>
      </c>
      <c r="BU141" s="2">
        <f ca="1">AW141-AVERAGE(AW$122:AW$151)+Sheet2!X$21</f>
        <v>22.349378350594215</v>
      </c>
      <c r="BV141" s="2">
        <f ca="1">AX141-AVERAGE(AX$122:AX$151)+Sheet2!Y$21</f>
        <v>13.582499689456261</v>
      </c>
      <c r="BW141" s="2">
        <f ca="1">AY141-AVERAGE(AY$122:AY$151)+Sheet2!Z$21</f>
        <v>9.9928455811704335</v>
      </c>
      <c r="BZ141" s="2">
        <f ca="1">BA141-AVERAGE(AH$122:AH$151)+Sheet2!AB$21</f>
        <v>6.7640817596899474</v>
      </c>
      <c r="CA141" s="2">
        <f ca="1">BB141-AVERAGE(AI$122:AI$151)+Sheet2!AC$21</f>
        <v>21.836277423201313</v>
      </c>
      <c r="CB141" s="2">
        <f ca="1">BC141-AVERAGE(AJ$122:AJ$151)+Sheet2!AD$21</f>
        <v>6.1099410740852482</v>
      </c>
      <c r="CC141" s="2">
        <f ca="1">BD141-AVERAGE(AK$122:AK$151)+Sheet2!AE$21</f>
        <v>31.287887648917209</v>
      </c>
    </row>
    <row r="142" spans="2:81" x14ac:dyDescent="0.3">
      <c r="B142">
        <v>141</v>
      </c>
      <c r="C142" s="1">
        <v>5</v>
      </c>
      <c r="D142" s="2">
        <f t="shared" ca="1" si="13"/>
        <v>0.26544870470842574</v>
      </c>
      <c r="E142" s="2">
        <f t="shared" ca="1" si="13"/>
        <v>0.20398332543915842</v>
      </c>
      <c r="F142" s="2">
        <f t="shared" ca="1" si="13"/>
        <v>0.30390011509756365</v>
      </c>
      <c r="G142" s="2">
        <f t="shared" ca="1" si="13"/>
        <v>0.95320099657207591</v>
      </c>
      <c r="H142" s="2">
        <f t="shared" ca="1" si="13"/>
        <v>0.47504522699728668</v>
      </c>
      <c r="I142" s="2">
        <f t="shared" ca="1" si="13"/>
        <v>0.70818159397862124</v>
      </c>
      <c r="J142" s="2">
        <f t="shared" ca="1" si="13"/>
        <v>0.30047519740952944</v>
      </c>
      <c r="K142" s="2">
        <f t="shared" ca="1" si="13"/>
        <v>0.99581997757413943</v>
      </c>
      <c r="L142" s="2">
        <f t="shared" ca="1" si="13"/>
        <v>0.36652781730377459</v>
      </c>
      <c r="M142" s="2">
        <f t="shared" ca="1" si="13"/>
        <v>5.2991214066419823E-2</v>
      </c>
      <c r="N142" s="2">
        <f t="shared" ca="1" si="13"/>
        <v>0.66040044789113572</v>
      </c>
      <c r="O142" s="2">
        <f t="shared" ca="1" si="13"/>
        <v>0.42686029443532736</v>
      </c>
      <c r="P142" s="2">
        <f t="shared" ca="1" si="13"/>
        <v>5.0055126813840056E-2</v>
      </c>
      <c r="Q142" s="2">
        <f t="shared" ca="1" si="14"/>
        <v>0.3555372870413559</v>
      </c>
      <c r="R142" s="2">
        <f t="shared" ca="1" si="14"/>
        <v>0.96975112893443516</v>
      </c>
      <c r="S142" s="2">
        <f t="shared" ca="1" si="14"/>
        <v>0.85026952463826122</v>
      </c>
      <c r="T142" s="2">
        <f t="shared" ca="1" si="14"/>
        <v>0.3442799547797748</v>
      </c>
      <c r="U142" s="2">
        <f t="shared" ca="1" si="14"/>
        <v>0.48144387590906457</v>
      </c>
      <c r="V142" s="2">
        <f t="shared" ca="1" si="14"/>
        <v>0.14771245487177354</v>
      </c>
      <c r="W142" s="2">
        <f t="shared" ca="1" si="14"/>
        <v>0.20582681420534155</v>
      </c>
      <c r="X142" s="2">
        <f t="shared" ca="1" si="14"/>
        <v>0.4792726801120194</v>
      </c>
      <c r="Y142" s="2">
        <f t="shared" ca="1" si="14"/>
        <v>0.74347399485128551</v>
      </c>
      <c r="Z142" s="2">
        <f t="shared" ca="1" si="14"/>
        <v>1.7644212643747381E-2</v>
      </c>
      <c r="AA142" s="2">
        <f t="shared" ca="1" si="14"/>
        <v>0.62991114420660865</v>
      </c>
      <c r="AB142" s="2">
        <f ca="1">D142*Sheet2!C$22/_xlfn.STDEV.S(D$122:D$151)</f>
        <v>0.88671305987150273</v>
      </c>
      <c r="AC142" s="2">
        <f ca="1">E142*Sheet2!D$22/_xlfn.STDEV.S(E$122:E$151)</f>
        <v>0.84327477342220036</v>
      </c>
      <c r="AD142" s="2">
        <f ca="1">F142*Sheet2!E$22/_xlfn.STDEV.S(F$122:F$151)</f>
        <v>2.5564081679429522</v>
      </c>
      <c r="AE142" s="2">
        <f ca="1">G142*Sheet2!F$22/_xlfn.STDEV.S(G$122:G$151)</f>
        <v>12.01450235592203</v>
      </c>
      <c r="AF142" s="2">
        <f ca="1">H142*Sheet2!G$22/_xlfn.STDEV.S(H$122:H$151)</f>
        <v>14.926464086731903</v>
      </c>
      <c r="AG142" s="2">
        <f ca="1">I142*Sheet2!H$22/_xlfn.STDEV.S(I$122:I$151)</f>
        <v>13.358391295766955</v>
      </c>
      <c r="AH142" s="2">
        <f ca="1">J142*Sheet2!I$22/_xlfn.STDEV.S(J$122:J$151)</f>
        <v>0.478521773417519</v>
      </c>
      <c r="AI142" s="2">
        <f ca="1">K142*Sheet2!J$22/_xlfn.STDEV.S(K$122:K$151)</f>
        <v>4.7951105103116918</v>
      </c>
      <c r="AJ142" s="2">
        <f ca="1">L142*Sheet2!K$22/_xlfn.STDEV.S(L$122:L$151)</f>
        <v>1.4856457203467337</v>
      </c>
      <c r="AK142" s="2">
        <f ca="1">M142*Sheet2!L$22/_xlfn.STDEV.S(M$122:M$151)</f>
        <v>0.36809591937262137</v>
      </c>
      <c r="AL142" s="2">
        <f ca="1">N142*Sheet2!M$22/_xlfn.STDEV.S(N$122:N$151)</f>
        <v>4.2946362763240709</v>
      </c>
      <c r="AM142" s="2">
        <f ca="1">O142*Sheet2!N$22/_xlfn.STDEV.S(O$122:O$151)</f>
        <v>0.83134965999903843</v>
      </c>
      <c r="AN142" s="2">
        <f ca="1">P142*Sheet2!O$22/_xlfn.STDEV.S(P$122:P$151)</f>
        <v>0.15968268840990332</v>
      </c>
      <c r="AO142" s="2">
        <f ca="1">Q142*Sheet2!P$22/_xlfn.STDEV.S(Q$122:Q$151)</f>
        <v>2.1181136475760618</v>
      </c>
      <c r="AP142" s="2">
        <f ca="1">R142*Sheet2!Q$22/_xlfn.STDEV.S(R$122:R$151)</f>
        <v>7.686584924766108</v>
      </c>
      <c r="AQ142" s="2">
        <f ca="1">S142*Sheet2!R$22/_xlfn.STDEV.S(S$122:S$151)</f>
        <v>5.8453555703973432</v>
      </c>
      <c r="AR142" s="2">
        <f ca="1">T142*Sheet2!S$22/_xlfn.STDEV.S(T$122:T$151)</f>
        <v>1.3601646027070708</v>
      </c>
      <c r="AS142" s="2">
        <f ca="1">U142*Sheet2!T$22/_xlfn.STDEV.S(U$122:U$151)</f>
        <v>1.2722432814569413</v>
      </c>
      <c r="AT142" s="2">
        <f ca="1">V142*Sheet2!U$22/_xlfn.STDEV.S(V$122:V$151)</f>
        <v>0.73392977513749669</v>
      </c>
      <c r="AU142" s="2">
        <f ca="1">W142*Sheet2!V$22/_xlfn.STDEV.S(W$122:W$151)</f>
        <v>1.0148401873888862</v>
      </c>
      <c r="AV142" s="2">
        <f ca="1">X142*Sheet2!W$22/_xlfn.STDEV.S(X$122:X$151)</f>
        <v>1.9905797867979842</v>
      </c>
      <c r="AW142" s="2">
        <f ca="1">Y142*Sheet2!X$22/_xlfn.STDEV.S(Y$122:Y$151)</f>
        <v>3.1632534096943994</v>
      </c>
      <c r="AX142" s="2">
        <f ca="1">Z142*Sheet2!Y$22/_xlfn.STDEV.S(Z$122:Z$151)</f>
        <v>4.294934660346561E-2</v>
      </c>
      <c r="AY142" s="2">
        <f ca="1">AA142*Sheet2!Z$22/_xlfn.STDEV.S(AA$122:AA$151)</f>
        <v>1.1582976685865625</v>
      </c>
      <c r="AZ142" s="2">
        <f ca="1">AB142-AVERAGE(AB$122:AB$151)+Sheet2!C$21</f>
        <v>4.3666800327242434</v>
      </c>
      <c r="BA142" s="2">
        <f ca="1">AC142-AVERAGE(AC$122:AC$151)+Sheet2!D$21</f>
        <v>6.0315877354469372</v>
      </c>
      <c r="BB142" s="2">
        <f ca="1">AD142-AVERAGE(AD$122:AD$151)+Sheet2!E$21</f>
        <v>21.027268109924684</v>
      </c>
      <c r="BC142" s="2">
        <f ca="1">AE142-AVERAGE(AE$122:AE$151)+Sheet2!F$21</f>
        <v>9.2987068997356666</v>
      </c>
      <c r="BD142" s="2">
        <f ca="1">AF142-AVERAGE(AF$122:AF$151)+Sheet2!G$21</f>
        <v>40.183816133637947</v>
      </c>
      <c r="BE142" s="2">
        <f ca="1">AG142-AVERAGE(AG$122:AG$151)+Sheet2!H$21</f>
        <v>26.335918953551346</v>
      </c>
      <c r="BF142" s="2">
        <f ca="1">AH142-AVERAGE(AH$122:AH$151)+Sheet2!I$21</f>
        <v>9.6424370939763211</v>
      </c>
      <c r="BG142" s="2">
        <f ca="1">AI142-AVERAGE(AI$122:AI$151)+Sheet2!J$21</f>
        <v>30.893990421442616</v>
      </c>
      <c r="BH142" s="2">
        <f ca="1">AJ142-AVERAGE(AJ$122:AJ$151)+Sheet2!K$21</f>
        <v>18.260750593921649</v>
      </c>
      <c r="BI142" s="2">
        <f ca="1">AK142-AVERAGE(AK$122:AK$151)+Sheet2!L$21</f>
        <v>23.152283778227275</v>
      </c>
      <c r="BJ142" s="2">
        <f ca="1">AL142-AVERAGE(AL$122:AL$151)+Sheet2!M$21</f>
        <v>16.450696972139447</v>
      </c>
      <c r="BK142" s="2">
        <f ca="1">AM142-AVERAGE(AM$122:AM$151)+Sheet2!N$21</f>
        <v>7.7937734310303401</v>
      </c>
      <c r="BL142" s="2">
        <f ca="1">AN142-AVERAGE(AN$122:AN$151)+Sheet2!O$21</f>
        <v>6.9094136219719138</v>
      </c>
      <c r="BM142" s="2">
        <f ca="1">AO142-AVERAGE(AO$122:AO$151)+Sheet2!P$21</f>
        <v>17.942843567525429</v>
      </c>
      <c r="BN142" s="2">
        <f ca="1">AP142-AVERAGE(AP$122:AP$151)+Sheet2!Q$21</f>
        <v>24.971611764219652</v>
      </c>
      <c r="BO142" s="2">
        <f ca="1">AQ142-AVERAGE(AQ$122:AQ$151)+Sheet2!R$21</f>
        <v>8.6991266579763575</v>
      </c>
      <c r="BP142" s="2">
        <f ca="1">AR142-AVERAGE(AR$122:AR$151)+Sheet2!S$21</f>
        <v>4.5583396977518129</v>
      </c>
      <c r="BQ142" s="2">
        <f ca="1">AS142-AVERAGE(AS$122:AS$151)+Sheet2!T$21</f>
        <v>8.8001438729499757</v>
      </c>
      <c r="BR142" s="2">
        <f ca="1">AT142-AVERAGE(AT$122:AT$151)+Sheet2!U$21</f>
        <v>21.686012052503919</v>
      </c>
      <c r="BS142" s="2">
        <f ca="1">AU142-AVERAGE(AU$122:AU$151)+Sheet2!V$21</f>
        <v>20.795955409396058</v>
      </c>
      <c r="BT142" s="2">
        <f ca="1">AV142-AVERAGE(AV$122:AV$151)+Sheet2!W$21</f>
        <v>32.521269961496536</v>
      </c>
      <c r="BU142" s="2">
        <f ca="1">AW142-AVERAGE(AW$122:AW$151)+Sheet2!X$21</f>
        <v>21.379392298539699</v>
      </c>
      <c r="BV142" s="2">
        <f ca="1">AX142-AVERAGE(AX$122:AX$151)+Sheet2!Y$21</f>
        <v>13.053468658709098</v>
      </c>
      <c r="BW142" s="2">
        <f ca="1">AY142-AVERAGE(AY$122:AY$151)+Sheet2!Z$21</f>
        <v>10.867015040542734</v>
      </c>
      <c r="BZ142" s="2">
        <f ca="1">BA142-AVERAGE(AH$122:AH$151)+Sheet2!AB$21</f>
        <v>5.2501320904070372</v>
      </c>
      <c r="CA142" s="2">
        <f ca="1">BB142-AVERAGE(AI$122:AI$151)+Sheet2!AC$21</f>
        <v>18.406484836351634</v>
      </c>
      <c r="CB142" s="2">
        <f ca="1">BC142-AVERAGE(AJ$122:AJ$151)+Sheet2!AD$21</f>
        <v>7.5116087465868189</v>
      </c>
      <c r="CC142" s="2">
        <f ca="1">BD142-AVERAGE(AK$122:AK$151)+Sheet2!AE$21</f>
        <v>36.822633026893897</v>
      </c>
    </row>
    <row r="143" spans="2:81" x14ac:dyDescent="0.3">
      <c r="B143">
        <v>142</v>
      </c>
      <c r="C143" s="1">
        <v>5</v>
      </c>
      <c r="D143" s="2">
        <f t="shared" ref="D143:S151" ca="1" si="15">RAND()</f>
        <v>0.238824110844434</v>
      </c>
      <c r="E143" s="2">
        <f t="shared" ca="1" si="15"/>
        <v>0.83215891862344793</v>
      </c>
      <c r="F143" s="2">
        <f t="shared" ca="1" si="15"/>
        <v>0.12246873220728938</v>
      </c>
      <c r="G143" s="2">
        <f t="shared" ca="1" si="15"/>
        <v>0.66546385521885565</v>
      </c>
      <c r="H143" s="2">
        <f t="shared" ca="1" si="15"/>
        <v>0.17813799860755564</v>
      </c>
      <c r="I143" s="2">
        <f t="shared" ca="1" si="15"/>
        <v>0.18834316593493605</v>
      </c>
      <c r="J143" s="2">
        <f t="shared" ca="1" si="15"/>
        <v>0.68511820860185757</v>
      </c>
      <c r="K143" s="2">
        <f t="shared" ca="1" si="15"/>
        <v>0.28692125617193887</v>
      </c>
      <c r="L143" s="2">
        <f t="shared" ca="1" si="15"/>
        <v>0.29262372438565998</v>
      </c>
      <c r="M143" s="2">
        <f t="shared" ca="1" si="15"/>
        <v>0.17785839337454379</v>
      </c>
      <c r="N143" s="2">
        <f t="shared" ca="1" si="15"/>
        <v>0.19427596432944938</v>
      </c>
      <c r="O143" s="2">
        <f t="shared" ca="1" si="15"/>
        <v>0.99247102006810894</v>
      </c>
      <c r="P143" s="2">
        <f t="shared" ca="1" si="15"/>
        <v>0.2185404194091437</v>
      </c>
      <c r="Q143" s="2">
        <f t="shared" ca="1" si="15"/>
        <v>0.69865875992117299</v>
      </c>
      <c r="R143" s="2">
        <f t="shared" ca="1" si="15"/>
        <v>3.7081070139340699E-2</v>
      </c>
      <c r="S143" s="2">
        <f t="shared" ca="1" si="15"/>
        <v>8.3370666377829528E-2</v>
      </c>
      <c r="T143" s="2">
        <f t="shared" ca="1" si="14"/>
        <v>0.69279648232727964</v>
      </c>
      <c r="U143" s="2">
        <f t="shared" ca="1" si="14"/>
        <v>0.51141675162693423</v>
      </c>
      <c r="V143" s="2">
        <f t="shared" ca="1" si="14"/>
        <v>0.49945590200317569</v>
      </c>
      <c r="W143" s="2">
        <f t="shared" ca="1" si="14"/>
        <v>0.9124100606839779</v>
      </c>
      <c r="X143" s="2">
        <f t="shared" ca="1" si="14"/>
        <v>0.45454892303240857</v>
      </c>
      <c r="Y143" s="2">
        <f t="shared" ca="1" si="14"/>
        <v>0.32486448637974952</v>
      </c>
      <c r="Z143" s="2">
        <f t="shared" ca="1" si="14"/>
        <v>0.84184815742907371</v>
      </c>
      <c r="AA143" s="2">
        <f t="shared" ca="1" si="14"/>
        <v>0.91392323289530586</v>
      </c>
      <c r="AB143" s="2">
        <f ca="1">D143*Sheet2!C$22/_xlfn.STDEV.S(D$122:D$151)</f>
        <v>0.79777544339713313</v>
      </c>
      <c r="AC143" s="2">
        <f ca="1">E143*Sheet2!D$22/_xlfn.STDEV.S(E$122:E$151)</f>
        <v>3.4401764067855494</v>
      </c>
      <c r="AD143" s="2">
        <f ca="1">F143*Sheet2!E$22/_xlfn.STDEV.S(F$122:F$151)</f>
        <v>1.0302071364198788</v>
      </c>
      <c r="AE143" s="2">
        <f ca="1">G143*Sheet2!F$22/_xlfn.STDEV.S(G$122:G$151)</f>
        <v>8.3877556623004885</v>
      </c>
      <c r="AF143" s="2">
        <f ca="1">H143*Sheet2!G$22/_xlfn.STDEV.S(H$122:H$151)</f>
        <v>5.5972995571496691</v>
      </c>
      <c r="AG143" s="2">
        <f ca="1">I143*Sheet2!H$22/_xlfn.STDEV.S(I$122:I$151)</f>
        <v>3.5527070031678818</v>
      </c>
      <c r="AH143" s="2">
        <f ca="1">J143*Sheet2!I$22/_xlfn.STDEV.S(J$122:J$151)</f>
        <v>1.09108499805381</v>
      </c>
      <c r="AI143" s="2">
        <f ca="1">K143*Sheet2!J$22/_xlfn.STDEV.S(K$122:K$151)</f>
        <v>1.3815942259498071</v>
      </c>
      <c r="AJ143" s="2">
        <f ca="1">L143*Sheet2!K$22/_xlfn.STDEV.S(L$122:L$151)</f>
        <v>1.1860905592471682</v>
      </c>
      <c r="AK143" s="2">
        <f ca="1">M143*Sheet2!L$22/_xlfn.STDEV.S(M$122:M$151)</f>
        <v>1.2354679918312585</v>
      </c>
      <c r="AL143" s="2">
        <f ca="1">N143*Sheet2!M$22/_xlfn.STDEV.S(N$122:N$151)</f>
        <v>1.2633919414976422</v>
      </c>
      <c r="AM143" s="2">
        <f ca="1">O143*Sheet2!N$22/_xlfn.STDEV.S(O$122:O$151)</f>
        <v>1.9329285385608264</v>
      </c>
      <c r="AN143" s="2">
        <f ca="1">P143*Sheet2!O$22/_xlfn.STDEV.S(P$122:P$151)</f>
        <v>0.69717377457189778</v>
      </c>
      <c r="AO143" s="2">
        <f ca="1">Q143*Sheet2!P$22/_xlfn.STDEV.S(Q$122:Q$151)</f>
        <v>4.1622600732042772</v>
      </c>
      <c r="AP143" s="2">
        <f ca="1">R143*Sheet2!Q$22/_xlfn.STDEV.S(R$122:R$151)</f>
        <v>0.29391746626831883</v>
      </c>
      <c r="AQ143" s="2">
        <f ca="1">S143*Sheet2!R$22/_xlfn.STDEV.S(S$122:S$151)</f>
        <v>0.57314907214475852</v>
      </c>
      <c r="AR143" s="2">
        <f ca="1">T143*Sheet2!S$22/_xlfn.STDEV.S(T$122:T$151)</f>
        <v>2.7370668523071924</v>
      </c>
      <c r="AS143" s="2">
        <f ca="1">U143*Sheet2!T$22/_xlfn.STDEV.S(U$122:U$151)</f>
        <v>1.3514483387151754</v>
      </c>
      <c r="AT143" s="2">
        <f ca="1">V143*Sheet2!U$22/_xlfn.STDEV.S(V$122:V$151)</f>
        <v>2.4816157727965131</v>
      </c>
      <c r="AU143" s="2">
        <f ca="1">W143*Sheet2!V$22/_xlfn.STDEV.S(W$122:W$151)</f>
        <v>4.4986869205305089</v>
      </c>
      <c r="AV143" s="2">
        <f ca="1">X143*Sheet2!W$22/_xlfn.STDEV.S(X$122:X$151)</f>
        <v>1.8878937520236379</v>
      </c>
      <c r="AW143" s="2">
        <f ca="1">Y143*Sheet2!X$22/_xlfn.STDEV.S(Y$122:Y$151)</f>
        <v>1.3821985723050276</v>
      </c>
      <c r="AX143" s="2">
        <f ca="1">Z143*Sheet2!Y$22/_xlfn.STDEV.S(Z$122:Z$151)</f>
        <v>2.0492174420558884</v>
      </c>
      <c r="AY143" s="2">
        <f ca="1">AA143*Sheet2!Z$22/_xlfn.STDEV.S(AA$122:AA$151)</f>
        <v>1.6805467876950455</v>
      </c>
      <c r="AZ143" s="2">
        <f ca="1">AB143-AVERAGE(AB$122:AB$151)+Sheet2!C$21</f>
        <v>4.2777424162498736</v>
      </c>
      <c r="BA143" s="2">
        <f ca="1">AC143-AVERAGE(AC$122:AC$151)+Sheet2!D$21</f>
        <v>8.6284893688102855</v>
      </c>
      <c r="BB143" s="2">
        <f ca="1">AD143-AVERAGE(AD$122:AD$151)+Sheet2!E$21</f>
        <v>19.501067078401611</v>
      </c>
      <c r="BC143" s="2">
        <f ca="1">AE143-AVERAGE(AE$122:AE$151)+Sheet2!F$21</f>
        <v>5.6719602061141243</v>
      </c>
      <c r="BD143" s="2">
        <f ca="1">AF143-AVERAGE(AF$122:AF$151)+Sheet2!G$21</f>
        <v>30.854651604055714</v>
      </c>
      <c r="BE143" s="2">
        <f ca="1">AG143-AVERAGE(AG$122:AG$151)+Sheet2!H$21</f>
        <v>16.530234660952274</v>
      </c>
      <c r="BF143" s="2">
        <f ca="1">AH143-AVERAGE(AH$122:AH$151)+Sheet2!I$21</f>
        <v>10.255000318612613</v>
      </c>
      <c r="BG143" s="2">
        <f ca="1">AI143-AVERAGE(AI$122:AI$151)+Sheet2!J$21</f>
        <v>27.48047413708073</v>
      </c>
      <c r="BH143" s="2">
        <f ca="1">AJ143-AVERAGE(AJ$122:AJ$151)+Sheet2!K$21</f>
        <v>17.961195432822084</v>
      </c>
      <c r="BI143" s="2">
        <f ca="1">AK143-AVERAGE(AK$122:AK$151)+Sheet2!L$21</f>
        <v>24.019655850685911</v>
      </c>
      <c r="BJ143" s="2">
        <f ca="1">AL143-AVERAGE(AL$122:AL$151)+Sheet2!M$21</f>
        <v>13.41945263731302</v>
      </c>
      <c r="BK143" s="2">
        <f ca="1">AM143-AVERAGE(AM$122:AM$151)+Sheet2!N$21</f>
        <v>8.8953523095921287</v>
      </c>
      <c r="BL143" s="2">
        <f ca="1">AN143-AVERAGE(AN$122:AN$151)+Sheet2!O$21</f>
        <v>7.4469047081339079</v>
      </c>
      <c r="BM143" s="2">
        <f ca="1">AO143-AVERAGE(AO$122:AO$151)+Sheet2!P$21</f>
        <v>19.986989993153646</v>
      </c>
      <c r="BN143" s="2">
        <f ca="1">AP143-AVERAGE(AP$122:AP$151)+Sheet2!Q$21</f>
        <v>17.578944305721862</v>
      </c>
      <c r="BO143" s="2">
        <f ca="1">AQ143-AVERAGE(AQ$122:AQ$151)+Sheet2!R$21</f>
        <v>3.426920159723772</v>
      </c>
      <c r="BP143" s="2">
        <f ca="1">AR143-AVERAGE(AR$122:AR$151)+Sheet2!S$21</f>
        <v>5.9352419473519351</v>
      </c>
      <c r="BQ143" s="2">
        <f ca="1">AS143-AVERAGE(AS$122:AS$151)+Sheet2!T$21</f>
        <v>8.8793489302082094</v>
      </c>
      <c r="BR143" s="2">
        <f ca="1">AT143-AVERAGE(AT$122:AT$151)+Sheet2!U$21</f>
        <v>23.433698050162935</v>
      </c>
      <c r="BS143" s="2">
        <f ca="1">AU143-AVERAGE(AU$122:AU$151)+Sheet2!V$21</f>
        <v>24.27980214253768</v>
      </c>
      <c r="BT143" s="2">
        <f ca="1">AV143-AVERAGE(AV$122:AV$151)+Sheet2!W$21</f>
        <v>32.418583926722192</v>
      </c>
      <c r="BU143" s="2">
        <f ca="1">AW143-AVERAGE(AW$122:AW$151)+Sheet2!X$21</f>
        <v>19.598337461150326</v>
      </c>
      <c r="BV143" s="2">
        <f ca="1">AX143-AVERAGE(AX$122:AX$151)+Sheet2!Y$21</f>
        <v>15.059736754161522</v>
      </c>
      <c r="BW143" s="2">
        <f ca="1">AY143-AVERAGE(AY$122:AY$151)+Sheet2!Z$21</f>
        <v>11.389264159651217</v>
      </c>
      <c r="BZ143" s="2">
        <f ca="1">BA143-AVERAGE(AH$122:AH$151)+Sheet2!AB$21</f>
        <v>7.8470337237703855</v>
      </c>
      <c r="CA143" s="2">
        <f ca="1">BB143-AVERAGE(AI$122:AI$151)+Sheet2!AC$21</f>
        <v>16.880283804828562</v>
      </c>
      <c r="CB143" s="2">
        <f ca="1">BC143-AVERAGE(AJ$122:AJ$151)+Sheet2!AD$21</f>
        <v>3.8848620529652766</v>
      </c>
      <c r="CC143" s="2">
        <f ca="1">BD143-AVERAGE(AK$122:AK$151)+Sheet2!AE$21</f>
        <v>27.493468497311664</v>
      </c>
    </row>
    <row r="144" spans="2:81" x14ac:dyDescent="0.3">
      <c r="B144">
        <v>143</v>
      </c>
      <c r="C144" s="1">
        <v>5</v>
      </c>
      <c r="D144" s="2">
        <f t="shared" ca="1" si="15"/>
        <v>1.9934539609848478E-2</v>
      </c>
      <c r="E144" s="2">
        <f t="shared" ca="1" si="15"/>
        <v>0.45251706844283224</v>
      </c>
      <c r="F144" s="2">
        <f t="shared" ca="1" si="15"/>
        <v>0.20614386690860065</v>
      </c>
      <c r="G144" s="2">
        <f t="shared" ca="1" si="15"/>
        <v>0.85915113048268066</v>
      </c>
      <c r="H144" s="2">
        <f t="shared" ca="1" si="15"/>
        <v>0.56968030663117286</v>
      </c>
      <c r="I144" s="2">
        <f t="shared" ca="1" si="15"/>
        <v>0.78514068954852279</v>
      </c>
      <c r="J144" s="2">
        <f t="shared" ca="1" si="15"/>
        <v>0.48327925594204257</v>
      </c>
      <c r="K144" s="2">
        <f t="shared" ca="1" si="15"/>
        <v>0.62267589078518881</v>
      </c>
      <c r="L144" s="2">
        <f t="shared" ca="1" si="15"/>
        <v>0.91015528969215054</v>
      </c>
      <c r="M144" s="2">
        <f t="shared" ca="1" si="15"/>
        <v>0.6177922140822274</v>
      </c>
      <c r="N144" s="2">
        <f t="shared" ca="1" si="15"/>
        <v>0.71101962709215893</v>
      </c>
      <c r="O144" s="2">
        <f t="shared" ca="1" si="15"/>
        <v>6.5658282415641422E-2</v>
      </c>
      <c r="P144" s="2">
        <f t="shared" ca="1" si="15"/>
        <v>0.84996215792632057</v>
      </c>
      <c r="Q144" s="2">
        <f t="shared" ca="1" si="14"/>
        <v>0.92867425098300149</v>
      </c>
      <c r="R144" s="2">
        <f t="shared" ca="1" si="14"/>
        <v>0.76744784834753066</v>
      </c>
      <c r="S144" s="2">
        <f t="shared" ca="1" si="14"/>
        <v>0.63367564171432189</v>
      </c>
      <c r="T144" s="2">
        <f t="shared" ca="1" si="14"/>
        <v>0.74530641771662487</v>
      </c>
      <c r="U144" s="2">
        <f t="shared" ca="1" si="14"/>
        <v>0.99006966853463729</v>
      </c>
      <c r="V144" s="2">
        <f t="shared" ca="1" si="14"/>
        <v>0.89513881147639729</v>
      </c>
      <c r="W144" s="2">
        <f t="shared" ca="1" si="14"/>
        <v>7.427714785816153E-2</v>
      </c>
      <c r="X144" s="2">
        <f t="shared" ca="1" si="14"/>
        <v>0.93751423753737428</v>
      </c>
      <c r="Y144" s="2">
        <f t="shared" ca="1" si="14"/>
        <v>0.94941851238696373</v>
      </c>
      <c r="Z144" s="2">
        <f t="shared" ca="1" si="14"/>
        <v>9.0042327499960773E-2</v>
      </c>
      <c r="AA144" s="2">
        <f t="shared" ca="1" si="14"/>
        <v>8.4858834272315331E-2</v>
      </c>
      <c r="AB144" s="2">
        <f ca="1">D144*Sheet2!C$22/_xlfn.STDEV.S(D$122:D$151)</f>
        <v>6.6589952412818634E-2</v>
      </c>
      <c r="AC144" s="2">
        <f ca="1">E144*Sheet2!D$22/_xlfn.STDEV.S(E$122:E$151)</f>
        <v>1.8707226560762458</v>
      </c>
      <c r="AD144" s="2">
        <f ca="1">F144*Sheet2!E$22/_xlfn.STDEV.S(F$122:F$151)</f>
        <v>1.7340824795913887</v>
      </c>
      <c r="AE144" s="2">
        <f ca="1">G144*Sheet2!F$22/_xlfn.STDEV.S(G$122:G$151)</f>
        <v>10.829062619949463</v>
      </c>
      <c r="AF144" s="2">
        <f ca="1">H144*Sheet2!G$22/_xlfn.STDEV.S(H$122:H$151)</f>
        <v>17.900006472219935</v>
      </c>
      <c r="AG144" s="2">
        <f ca="1">I144*Sheet2!H$22/_xlfn.STDEV.S(I$122:I$151)</f>
        <v>14.810066573876632</v>
      </c>
      <c r="AH144" s="2">
        <f ca="1">J144*Sheet2!I$22/_xlfn.STDEV.S(J$122:J$151)</f>
        <v>0.76964637548467085</v>
      </c>
      <c r="AI144" s="2">
        <f ca="1">K144*Sheet2!J$22/_xlfn.STDEV.S(K$122:K$151)</f>
        <v>2.9983328067943482</v>
      </c>
      <c r="AJ144" s="2">
        <f ca="1">L144*Sheet2!K$22/_xlfn.STDEV.S(L$122:L$151)</f>
        <v>3.6891287567988917</v>
      </c>
      <c r="AK144" s="2">
        <f ca="1">M144*Sheet2!L$22/_xlfn.STDEV.S(M$122:M$151)</f>
        <v>4.2914056043103752</v>
      </c>
      <c r="AL144" s="2">
        <f ca="1">N144*Sheet2!M$22/_xlfn.STDEV.S(N$122:N$151)</f>
        <v>4.6238167969743218</v>
      </c>
      <c r="AM144" s="2">
        <f ca="1">O144*Sheet2!N$22/_xlfn.STDEV.S(O$122:O$151)</f>
        <v>0.12787554025040479</v>
      </c>
      <c r="AN144" s="2">
        <f ca="1">P144*Sheet2!O$22/_xlfn.STDEV.S(P$122:P$151)</f>
        <v>2.711495326525283</v>
      </c>
      <c r="AO144" s="2">
        <f ca="1">Q144*Sheet2!P$22/_xlfn.STDEV.S(Q$122:Q$151)</f>
        <v>5.5325775294301769</v>
      </c>
      <c r="AP144" s="2">
        <f ca="1">R144*Sheet2!Q$22/_xlfn.STDEV.S(R$122:R$151)</f>
        <v>6.0830587205752567</v>
      </c>
      <c r="AQ144" s="2">
        <f ca="1">S144*Sheet2!R$22/_xlfn.STDEV.S(S$122:S$151)</f>
        <v>4.3563356497997248</v>
      </c>
      <c r="AR144" s="2">
        <f ca="1">T144*Sheet2!S$22/_xlfn.STDEV.S(T$122:T$151)</f>
        <v>2.9445205666912004</v>
      </c>
      <c r="AS144" s="2">
        <f ca="1">U144*Sheet2!T$22/_xlfn.STDEV.S(U$122:U$151)</f>
        <v>2.616316349624539</v>
      </c>
      <c r="AT144" s="2">
        <f ca="1">V144*Sheet2!U$22/_xlfn.STDEV.S(V$122:V$151)</f>
        <v>4.4476210702341996</v>
      </c>
      <c r="AU144" s="2">
        <f ca="1">W144*Sheet2!V$22/_xlfn.STDEV.S(W$122:W$151)</f>
        <v>0.36622747595892408</v>
      </c>
      <c r="AV144" s="2">
        <f ca="1">X144*Sheet2!W$22/_xlfn.STDEV.S(X$122:X$151)</f>
        <v>3.8938102848696463</v>
      </c>
      <c r="AW144" s="2">
        <f ca="1">Y144*Sheet2!X$22/_xlfn.STDEV.S(Y$122:Y$151)</f>
        <v>4.0394840536901055</v>
      </c>
      <c r="AX144" s="2">
        <f ca="1">Z144*Sheet2!Y$22/_xlfn.STDEV.S(Z$122:Z$151)</f>
        <v>0.2191800343184499</v>
      </c>
      <c r="AY144" s="2">
        <f ca="1">AA144*Sheet2!Z$22/_xlfn.STDEV.S(AA$122:AA$151)</f>
        <v>0.15604072225202129</v>
      </c>
      <c r="AZ144" s="2">
        <f ca="1">AB144-AVERAGE(AB$122:AB$151)+Sheet2!C$21</f>
        <v>3.5465569252655591</v>
      </c>
      <c r="BA144" s="2">
        <f ca="1">AC144-AVERAGE(AC$122:AC$151)+Sheet2!D$21</f>
        <v>7.0590356181009826</v>
      </c>
      <c r="BB144" s="2">
        <f ca="1">AD144-AVERAGE(AD$122:AD$151)+Sheet2!E$21</f>
        <v>20.204942421573119</v>
      </c>
      <c r="BC144" s="2">
        <f ca="1">AE144-AVERAGE(AE$122:AE$151)+Sheet2!F$21</f>
        <v>8.1132671637630978</v>
      </c>
      <c r="BD144" s="2">
        <f ca="1">AF144-AVERAGE(AF$122:AF$151)+Sheet2!G$21</f>
        <v>43.157358519125978</v>
      </c>
      <c r="BE144" s="2">
        <f ca="1">AG144-AVERAGE(AG$122:AG$151)+Sheet2!H$21</f>
        <v>27.787594231661025</v>
      </c>
      <c r="BF144" s="2">
        <f ca="1">AH144-AVERAGE(AH$122:AH$151)+Sheet2!I$21</f>
        <v>9.9335616960434727</v>
      </c>
      <c r="BG144" s="2">
        <f ca="1">AI144-AVERAGE(AI$122:AI$151)+Sheet2!J$21</f>
        <v>29.097212717925274</v>
      </c>
      <c r="BH144" s="2">
        <f ca="1">AJ144-AVERAGE(AJ$122:AJ$151)+Sheet2!K$21</f>
        <v>20.464233630373808</v>
      </c>
      <c r="BI144" s="2">
        <f ca="1">AK144-AVERAGE(AK$122:AK$151)+Sheet2!L$21</f>
        <v>27.075593463165028</v>
      </c>
      <c r="BJ144" s="2">
        <f ca="1">AL144-AVERAGE(AL$122:AL$151)+Sheet2!M$21</f>
        <v>16.779877492789701</v>
      </c>
      <c r="BK144" s="2">
        <f ca="1">AM144-AVERAGE(AM$122:AM$151)+Sheet2!N$21</f>
        <v>7.0902993112817061</v>
      </c>
      <c r="BL144" s="2">
        <f ca="1">AN144-AVERAGE(AN$122:AN$151)+Sheet2!O$21</f>
        <v>9.4612262600872938</v>
      </c>
      <c r="BM144" s="2">
        <f ca="1">AO144-AVERAGE(AO$122:AO$151)+Sheet2!P$21</f>
        <v>21.357307449379547</v>
      </c>
      <c r="BN144" s="2">
        <f ca="1">AP144-AVERAGE(AP$122:AP$151)+Sheet2!Q$21</f>
        <v>23.368085560028799</v>
      </c>
      <c r="BO144" s="2">
        <f ca="1">AQ144-AVERAGE(AQ$122:AQ$151)+Sheet2!R$21</f>
        <v>7.2101067373787382</v>
      </c>
      <c r="BP144" s="2">
        <f ca="1">AR144-AVERAGE(AR$122:AR$151)+Sheet2!S$21</f>
        <v>6.1426956617359423</v>
      </c>
      <c r="BQ144" s="2">
        <f ca="1">AS144-AVERAGE(AS$122:AS$151)+Sheet2!T$21</f>
        <v>10.144216941117573</v>
      </c>
      <c r="BR144" s="2">
        <f ca="1">AT144-AVERAGE(AT$122:AT$151)+Sheet2!U$21</f>
        <v>25.399703347600621</v>
      </c>
      <c r="BS144" s="2">
        <f ca="1">AU144-AVERAGE(AU$122:AU$151)+Sheet2!V$21</f>
        <v>20.147342697966096</v>
      </c>
      <c r="BT144" s="2">
        <f ca="1">AV144-AVERAGE(AV$122:AV$151)+Sheet2!W$21</f>
        <v>34.4245004595682</v>
      </c>
      <c r="BU144" s="2">
        <f ca="1">AW144-AVERAGE(AW$122:AW$151)+Sheet2!X$21</f>
        <v>22.255622942535403</v>
      </c>
      <c r="BV144" s="2">
        <f ca="1">AX144-AVERAGE(AX$122:AX$151)+Sheet2!Y$21</f>
        <v>13.229699346424084</v>
      </c>
      <c r="BW144" s="2">
        <f ca="1">AY144-AVERAGE(AY$122:AY$151)+Sheet2!Z$21</f>
        <v>9.8647580942081934</v>
      </c>
      <c r="BZ144" s="2">
        <f ca="1">BA144-AVERAGE(AH$122:AH$151)+Sheet2!AB$21</f>
        <v>6.2775799730610826</v>
      </c>
      <c r="CA144" s="2">
        <f ca="1">BB144-AVERAGE(AI$122:AI$151)+Sheet2!AC$21</f>
        <v>17.584159148000065</v>
      </c>
      <c r="CB144" s="2">
        <f ca="1">BC144-AVERAGE(AJ$122:AJ$151)+Sheet2!AD$21</f>
        <v>6.3261690106142501</v>
      </c>
      <c r="CC144" s="2">
        <f ca="1">BD144-AVERAGE(AK$122:AK$151)+Sheet2!AE$21</f>
        <v>39.796175412381928</v>
      </c>
    </row>
    <row r="145" spans="2:81" x14ac:dyDescent="0.3">
      <c r="B145">
        <v>144</v>
      </c>
      <c r="C145" s="1">
        <v>5</v>
      </c>
      <c r="D145" s="2">
        <f t="shared" ca="1" si="15"/>
        <v>0.13085819345944627</v>
      </c>
      <c r="E145" s="2">
        <f t="shared" ca="1" si="15"/>
        <v>0.72873336867527705</v>
      </c>
      <c r="F145" s="2">
        <f t="shared" ca="1" si="15"/>
        <v>0.7507585580583761</v>
      </c>
      <c r="G145" s="2">
        <f t="shared" ca="1" si="15"/>
        <v>0.37200474054241306</v>
      </c>
      <c r="H145" s="2">
        <f t="shared" ca="1" si="15"/>
        <v>7.5032731913038275E-2</v>
      </c>
      <c r="I145" s="2">
        <f t="shared" ca="1" si="15"/>
        <v>0.90688640281488964</v>
      </c>
      <c r="J145" s="2">
        <f t="shared" ca="1" si="15"/>
        <v>0.9073879841073732</v>
      </c>
      <c r="K145" s="2">
        <f t="shared" ca="1" si="15"/>
        <v>0.38006379561095172</v>
      </c>
      <c r="L145" s="2">
        <f t="shared" ca="1" si="15"/>
        <v>0.30254702401067035</v>
      </c>
      <c r="M145" s="2">
        <f t="shared" ca="1" si="15"/>
        <v>0.36515018494797147</v>
      </c>
      <c r="N145" s="2">
        <f t="shared" ca="1" si="15"/>
        <v>0.88671008027564535</v>
      </c>
      <c r="O145" s="2">
        <f t="shared" ca="1" si="15"/>
        <v>0.24481024654829386</v>
      </c>
      <c r="P145" s="2">
        <f t="shared" ca="1" si="15"/>
        <v>0.97524759471103573</v>
      </c>
      <c r="Q145" s="2">
        <f t="shared" ca="1" si="14"/>
        <v>0.8207652068971536</v>
      </c>
      <c r="R145" s="2">
        <f t="shared" ca="1" si="14"/>
        <v>1.3425614940775987E-2</v>
      </c>
      <c r="S145" s="2">
        <f t="shared" ca="1" si="14"/>
        <v>9.8657884853334488E-2</v>
      </c>
      <c r="T145" s="2">
        <f t="shared" ca="1" si="14"/>
        <v>0.42099547870434306</v>
      </c>
      <c r="U145" s="2">
        <f t="shared" ca="1" si="14"/>
        <v>0.68300866688374862</v>
      </c>
      <c r="V145" s="2">
        <f t="shared" ca="1" si="14"/>
        <v>0.69885168952138632</v>
      </c>
      <c r="W145" s="2">
        <f t="shared" ca="1" si="14"/>
        <v>0.84637916470584817</v>
      </c>
      <c r="X145" s="2">
        <f t="shared" ca="1" si="14"/>
        <v>0.8278278614252137</v>
      </c>
      <c r="Y145" s="2">
        <f t="shared" ca="1" si="14"/>
        <v>0.92810413824698212</v>
      </c>
      <c r="Z145" s="2">
        <f t="shared" ca="1" si="14"/>
        <v>0.9179973000198226</v>
      </c>
      <c r="AA145" s="2">
        <f t="shared" ca="1" si="14"/>
        <v>0.69267868362217144</v>
      </c>
      <c r="AB145" s="2">
        <f ca="1">D145*Sheet2!C$22/_xlfn.STDEV.S(D$122:D$151)</f>
        <v>0.43712275506914378</v>
      </c>
      <c r="AC145" s="2">
        <f ca="1">E145*Sheet2!D$22/_xlfn.STDEV.S(E$122:E$151)</f>
        <v>3.0126112761022372</v>
      </c>
      <c r="AD145" s="2">
        <f ca="1">F145*Sheet2!E$22/_xlfn.STDEV.S(F$122:F$151)</f>
        <v>6.315381977915191</v>
      </c>
      <c r="AE145" s="2">
        <f ca="1">G145*Sheet2!F$22/_xlfn.STDEV.S(G$122:G$151)</f>
        <v>4.6888870739058541</v>
      </c>
      <c r="AF145" s="2">
        <f ca="1">H145*Sheet2!G$22/_xlfn.STDEV.S(H$122:H$151)</f>
        <v>2.3576142114059078</v>
      </c>
      <c r="AG145" s="2">
        <f ca="1">I145*Sheet2!H$22/_xlfn.STDEV.S(I$122:I$151)</f>
        <v>17.106549411361211</v>
      </c>
      <c r="AH145" s="2">
        <f ca="1">J145*Sheet2!I$22/_xlfn.STDEV.S(J$122:J$151)</f>
        <v>1.445060727395123</v>
      </c>
      <c r="AI145" s="2">
        <f ca="1">K145*Sheet2!J$22/_xlfn.STDEV.S(K$122:K$151)</f>
        <v>1.8300977505618952</v>
      </c>
      <c r="AJ145" s="2">
        <f ca="1">L145*Sheet2!K$22/_xlfn.STDEV.S(L$122:L$151)</f>
        <v>1.2263126295065629</v>
      </c>
      <c r="AK145" s="2">
        <f ca="1">M145*Sheet2!L$22/_xlfn.STDEV.S(M$122:M$151)</f>
        <v>2.5364637403671257</v>
      </c>
      <c r="AL145" s="2">
        <f ca="1">N145*Sheet2!M$22/_xlfn.STDEV.S(N$122:N$151)</f>
        <v>5.7663456914580467</v>
      </c>
      <c r="AM145" s="2">
        <f ca="1">O145*Sheet2!N$22/_xlfn.STDEV.S(O$122:O$151)</f>
        <v>0.47679045787436242</v>
      </c>
      <c r="AN145" s="2">
        <f ca="1">P145*Sheet2!O$22/_xlfn.STDEV.S(P$122:P$151)</f>
        <v>3.1111729747069825</v>
      </c>
      <c r="AO145" s="2">
        <f ca="1">Q145*Sheet2!P$22/_xlfn.STDEV.S(Q$122:Q$151)</f>
        <v>4.8897093203679445</v>
      </c>
      <c r="AP145" s="2">
        <f ca="1">R145*Sheet2!Q$22/_xlfn.STDEV.S(R$122:R$151)</f>
        <v>0.10641609618219944</v>
      </c>
      <c r="AQ145" s="2">
        <f ca="1">S145*Sheet2!R$22/_xlfn.STDEV.S(S$122:S$151)</f>
        <v>0.67824425088786489</v>
      </c>
      <c r="AR145" s="2">
        <f ca="1">T145*Sheet2!S$22/_xlfn.STDEV.S(T$122:T$151)</f>
        <v>1.663248586167775</v>
      </c>
      <c r="AS145" s="2">
        <f ca="1">U145*Sheet2!T$22/_xlfn.STDEV.S(U$122:U$151)</f>
        <v>1.8048898970392964</v>
      </c>
      <c r="AT145" s="2">
        <f ca="1">V145*Sheet2!U$22/_xlfn.STDEV.S(V$122:V$151)</f>
        <v>3.4723413390572704</v>
      </c>
      <c r="AU145" s="2">
        <f ca="1">W145*Sheet2!V$22/_xlfn.STDEV.S(W$122:W$151)</f>
        <v>4.1731180333735205</v>
      </c>
      <c r="AV145" s="2">
        <f ca="1">X145*Sheet2!W$22/_xlfn.STDEV.S(X$122:X$151)</f>
        <v>3.4382460680130622</v>
      </c>
      <c r="AW145" s="2">
        <f ca="1">Y145*Sheet2!X$22/_xlfn.STDEV.S(Y$122:Y$151)</f>
        <v>3.9487979407383196</v>
      </c>
      <c r="AX145" s="2">
        <f ca="1">Z145*Sheet2!Y$22/_xlfn.STDEV.S(Z$122:Z$151)</f>
        <v>2.2345788398536981</v>
      </c>
      <c r="AY145" s="2">
        <f ca="1">AA145*Sheet2!Z$22/_xlfn.STDEV.S(AA$122:AA$151)</f>
        <v>1.2737163196719212</v>
      </c>
      <c r="AZ145" s="2">
        <f ca="1">AB145-AVERAGE(AB$122:AB$151)+Sheet2!C$21</f>
        <v>3.9170897279218844</v>
      </c>
      <c r="BA145" s="2">
        <f ca="1">AC145-AVERAGE(AC$122:AC$151)+Sheet2!D$21</f>
        <v>8.2009242381269747</v>
      </c>
      <c r="BB145" s="2">
        <f ca="1">AD145-AVERAGE(AD$122:AD$151)+Sheet2!E$21</f>
        <v>24.786241919896923</v>
      </c>
      <c r="BC145" s="2">
        <f ca="1">AE145-AVERAGE(AE$122:AE$151)+Sheet2!F$21</f>
        <v>1.9730916177194899</v>
      </c>
      <c r="BD145" s="2">
        <f ca="1">AF145-AVERAGE(AF$122:AF$151)+Sheet2!G$21</f>
        <v>27.614966258311952</v>
      </c>
      <c r="BE145" s="2">
        <f ca="1">AG145-AVERAGE(AG$122:AG$151)+Sheet2!H$21</f>
        <v>30.0840770691456</v>
      </c>
      <c r="BF145" s="2">
        <f ca="1">AH145-AVERAGE(AH$122:AH$151)+Sheet2!I$21</f>
        <v>10.608976047953925</v>
      </c>
      <c r="BG145" s="2">
        <f ca="1">AI145-AVERAGE(AI$122:AI$151)+Sheet2!J$21</f>
        <v>27.928977661692819</v>
      </c>
      <c r="BH145" s="2">
        <f ca="1">AJ145-AVERAGE(AJ$122:AJ$151)+Sheet2!K$21</f>
        <v>18.00141750308148</v>
      </c>
      <c r="BI145" s="2">
        <f ca="1">AK145-AVERAGE(AK$122:AK$151)+Sheet2!L$21</f>
        <v>25.32065159922178</v>
      </c>
      <c r="BJ145" s="2">
        <f ca="1">AL145-AVERAGE(AL$122:AL$151)+Sheet2!M$21</f>
        <v>17.922406387273426</v>
      </c>
      <c r="BK145" s="2">
        <f ca="1">AM145-AVERAGE(AM$122:AM$151)+Sheet2!N$21</f>
        <v>7.439214228905664</v>
      </c>
      <c r="BL145" s="2">
        <f ca="1">AN145-AVERAGE(AN$122:AN$151)+Sheet2!O$21</f>
        <v>9.8609039082689929</v>
      </c>
      <c r="BM145" s="2">
        <f ca="1">AO145-AVERAGE(AO$122:AO$151)+Sheet2!P$21</f>
        <v>20.714439240317315</v>
      </c>
      <c r="BN145" s="2">
        <f ca="1">AP145-AVERAGE(AP$122:AP$151)+Sheet2!Q$21</f>
        <v>17.391442935635741</v>
      </c>
      <c r="BO145" s="2">
        <f ca="1">AQ145-AVERAGE(AQ$122:AQ$151)+Sheet2!R$21</f>
        <v>3.5320153384668784</v>
      </c>
      <c r="BP145" s="2">
        <f ca="1">AR145-AVERAGE(AR$122:AR$151)+Sheet2!S$21</f>
        <v>4.8614236812125178</v>
      </c>
      <c r="BQ145" s="2">
        <f ca="1">AS145-AVERAGE(AS$122:AS$151)+Sheet2!T$21</f>
        <v>9.3327904885323303</v>
      </c>
      <c r="BR145" s="2">
        <f ca="1">AT145-AVERAGE(AT$122:AT$151)+Sheet2!U$21</f>
        <v>24.424423616423692</v>
      </c>
      <c r="BS145" s="2">
        <f ca="1">AU145-AVERAGE(AU$122:AU$151)+Sheet2!V$21</f>
        <v>23.954233255380693</v>
      </c>
      <c r="BT145" s="2">
        <f ca="1">AV145-AVERAGE(AV$122:AV$151)+Sheet2!W$21</f>
        <v>33.968936242711614</v>
      </c>
      <c r="BU145" s="2">
        <f ca="1">AW145-AVERAGE(AW$122:AW$151)+Sheet2!X$21</f>
        <v>22.16493682958362</v>
      </c>
      <c r="BV145" s="2">
        <f ca="1">AX145-AVERAGE(AX$122:AX$151)+Sheet2!Y$21</f>
        <v>15.245098151959331</v>
      </c>
      <c r="BW145" s="2">
        <f ca="1">AY145-AVERAGE(AY$122:AY$151)+Sheet2!Z$21</f>
        <v>10.982433691628094</v>
      </c>
      <c r="BZ145" s="2">
        <f ca="1">BA145-AVERAGE(AH$122:AH$151)+Sheet2!AB$21</f>
        <v>7.4194685930870747</v>
      </c>
      <c r="CA145" s="2">
        <f ca="1">BB145-AVERAGE(AI$122:AI$151)+Sheet2!AC$21</f>
        <v>22.165458646323874</v>
      </c>
      <c r="CB145" s="2">
        <f ca="1">BC145-AVERAGE(AJ$122:AJ$151)+Sheet2!AD$21</f>
        <v>0.18599346457064231</v>
      </c>
      <c r="CC145" s="2">
        <f ca="1">BD145-AVERAGE(AK$122:AK$151)+Sheet2!AE$21</f>
        <v>24.253783151567905</v>
      </c>
    </row>
    <row r="146" spans="2:81" x14ac:dyDescent="0.3">
      <c r="B146">
        <v>145</v>
      </c>
      <c r="C146" s="1">
        <v>5</v>
      </c>
      <c r="D146" s="2">
        <f t="shared" ca="1" si="15"/>
        <v>0.88781037582311473</v>
      </c>
      <c r="E146" s="2">
        <f t="shared" ca="1" si="15"/>
        <v>0.73525241760884086</v>
      </c>
      <c r="F146" s="2">
        <f t="shared" ca="1" si="15"/>
        <v>0.72543121199421834</v>
      </c>
      <c r="G146" s="2">
        <f t="shared" ca="1" si="15"/>
        <v>0.9192023149076769</v>
      </c>
      <c r="H146" s="2">
        <f t="shared" ca="1" si="15"/>
        <v>0.55807221367806736</v>
      </c>
      <c r="I146" s="2">
        <f t="shared" ca="1" si="15"/>
        <v>0.41362687933044873</v>
      </c>
      <c r="J146" s="2">
        <f t="shared" ca="1" si="15"/>
        <v>0.25134313380945617</v>
      </c>
      <c r="K146" s="2">
        <f t="shared" ca="1" si="15"/>
        <v>0.22097241051408711</v>
      </c>
      <c r="L146" s="2">
        <f t="shared" ca="1" si="15"/>
        <v>7.6799321483601135E-2</v>
      </c>
      <c r="M146" s="2">
        <f t="shared" ca="1" si="15"/>
        <v>0.6882052043124226</v>
      </c>
      <c r="N146" s="2">
        <f t="shared" ca="1" si="15"/>
        <v>0.43887586378014165</v>
      </c>
      <c r="O146" s="2">
        <f t="shared" ca="1" si="15"/>
        <v>0.15708259576609551</v>
      </c>
      <c r="P146" s="2">
        <f t="shared" ca="1" si="15"/>
        <v>8.9520951484020395E-2</v>
      </c>
      <c r="Q146" s="2">
        <f t="shared" ca="1" si="14"/>
        <v>0.75401405649544118</v>
      </c>
      <c r="R146" s="2">
        <f t="shared" ca="1" si="14"/>
        <v>0.83297840780009669</v>
      </c>
      <c r="S146" s="2">
        <f t="shared" ca="1" si="14"/>
        <v>0.30910373700459481</v>
      </c>
      <c r="T146" s="2">
        <f t="shared" ca="1" si="14"/>
        <v>0.70754791175043841</v>
      </c>
      <c r="U146" s="2">
        <f t="shared" ca="1" si="14"/>
        <v>0.67859862742792587</v>
      </c>
      <c r="V146" s="2">
        <f t="shared" ca="1" si="14"/>
        <v>0.83508111068143753</v>
      </c>
      <c r="W146" s="2">
        <f t="shared" ca="1" si="14"/>
        <v>0.90257913755184016</v>
      </c>
      <c r="X146" s="2">
        <f t="shared" ca="1" si="14"/>
        <v>9.0202990954331153E-2</v>
      </c>
      <c r="Y146" s="2">
        <f t="shared" ca="1" si="14"/>
        <v>8.6733772512752161E-2</v>
      </c>
      <c r="Z146" s="2">
        <f t="shared" ca="1" si="14"/>
        <v>0.87912772398219352</v>
      </c>
      <c r="AA146" s="2">
        <f t="shared" ca="1" si="14"/>
        <v>0.98360827428002362</v>
      </c>
      <c r="AB146" s="2">
        <f ca="1">D146*Sheet2!C$22/_xlfn.STDEV.S(D$122:D$151)</f>
        <v>2.9656692271167628</v>
      </c>
      <c r="AC146" s="2">
        <f ca="1">E146*Sheet2!D$22/_xlfn.STDEV.S(E$122:E$151)</f>
        <v>3.0395612706694108</v>
      </c>
      <c r="AD146" s="2">
        <f ca="1">F146*Sheet2!E$22/_xlfn.STDEV.S(F$122:F$151)</f>
        <v>6.102328309508569</v>
      </c>
      <c r="AE146" s="2">
        <f ca="1">G146*Sheet2!F$22/_xlfn.STDEV.S(G$122:G$151)</f>
        <v>11.585970238955996</v>
      </c>
      <c r="AF146" s="2">
        <f ca="1">H146*Sheet2!G$22/_xlfn.STDEV.S(H$122:H$151)</f>
        <v>17.535266921682432</v>
      </c>
      <c r="AG146" s="2">
        <f ca="1">I146*Sheet2!H$22/_xlfn.STDEV.S(I$122:I$151)</f>
        <v>7.8022215650946682</v>
      </c>
      <c r="AH146" s="2">
        <f ca="1">J146*Sheet2!I$22/_xlfn.STDEV.S(J$122:J$151)</f>
        <v>0.40027650589373848</v>
      </c>
      <c r="AI146" s="2">
        <f ca="1">K146*Sheet2!J$22/_xlfn.STDEV.S(K$122:K$151)</f>
        <v>1.0640348175442405</v>
      </c>
      <c r="AJ146" s="2">
        <f ca="1">L146*Sheet2!K$22/_xlfn.STDEV.S(L$122:L$151)</f>
        <v>0.31129037934133902</v>
      </c>
      <c r="AK146" s="2">
        <f ca="1">M146*Sheet2!L$22/_xlfn.STDEV.S(M$122:M$151)</f>
        <v>4.7805194098946791</v>
      </c>
      <c r="AL146" s="2">
        <f ca="1">N146*Sheet2!M$22/_xlfn.STDEV.S(N$122:N$151)</f>
        <v>2.8540444080739946</v>
      </c>
      <c r="AM146" s="2">
        <f ca="1">O146*Sheet2!N$22/_xlfn.STDEV.S(O$122:O$151)</f>
        <v>0.3059327941350502</v>
      </c>
      <c r="AN146" s="2">
        <f ca="1">P146*Sheet2!O$22/_xlfn.STDEV.S(P$122:P$151)</f>
        <v>0.28558405725641678</v>
      </c>
      <c r="AO146" s="2">
        <f ca="1">Q146*Sheet2!P$22/_xlfn.STDEV.S(Q$122:Q$151)</f>
        <v>4.4920392930303521</v>
      </c>
      <c r="AP146" s="2">
        <f ca="1">R146*Sheet2!Q$22/_xlfn.STDEV.S(R$122:R$151)</f>
        <v>6.6024767396633672</v>
      </c>
      <c r="AQ146" s="2">
        <f ca="1">S146*Sheet2!R$22/_xlfn.STDEV.S(S$122:S$151)</f>
        <v>2.1249982488777759</v>
      </c>
      <c r="AR146" s="2">
        <f ca="1">T146*Sheet2!S$22/_xlfn.STDEV.S(T$122:T$151)</f>
        <v>2.7953460865819459</v>
      </c>
      <c r="AS146" s="2">
        <f ca="1">U146*Sheet2!T$22/_xlfn.STDEV.S(U$122:U$151)</f>
        <v>1.7932361127678971</v>
      </c>
      <c r="AT146" s="2">
        <f ca="1">V146*Sheet2!U$22/_xlfn.STDEV.S(V$122:V$151)</f>
        <v>4.1492160719692714</v>
      </c>
      <c r="AU146" s="2">
        <f ca="1">W146*Sheet2!V$22/_xlfn.STDEV.S(W$122:W$151)</f>
        <v>4.4502150248149626</v>
      </c>
      <c r="AV146" s="2">
        <f ca="1">X146*Sheet2!W$22/_xlfn.STDEV.S(X$122:X$151)</f>
        <v>0.37464319990124556</v>
      </c>
      <c r="AW146" s="2">
        <f ca="1">Y146*Sheet2!X$22/_xlfn.STDEV.S(Y$122:Y$151)</f>
        <v>0.36902555238868995</v>
      </c>
      <c r="AX146" s="2">
        <f ca="1">Z146*Sheet2!Y$22/_xlfn.STDEV.S(Z$122:Z$151)</f>
        <v>2.1399629492340906</v>
      </c>
      <c r="AY146" s="2">
        <f ca="1">AA146*Sheet2!Z$22/_xlfn.STDEV.S(AA$122:AA$151)</f>
        <v>1.8086855287121471</v>
      </c>
      <c r="AZ146" s="2">
        <f ca="1">AB146-AVERAGE(AB$122:AB$151)+Sheet2!C$21</f>
        <v>6.4456361999695035</v>
      </c>
      <c r="BA146" s="2">
        <f ca="1">AC146-AVERAGE(AC$122:AC$151)+Sheet2!D$21</f>
        <v>8.2278742326941483</v>
      </c>
      <c r="BB146" s="2">
        <f ca="1">AD146-AVERAGE(AD$122:AD$151)+Sheet2!E$21</f>
        <v>24.573188251490301</v>
      </c>
      <c r="BC146" s="2">
        <f ca="1">AE146-AVERAGE(AE$122:AE$151)+Sheet2!F$21</f>
        <v>8.8701747827696309</v>
      </c>
      <c r="BD146" s="2">
        <f ca="1">AF146-AVERAGE(AF$122:AF$151)+Sheet2!G$21</f>
        <v>42.792618968588478</v>
      </c>
      <c r="BE146" s="2">
        <f ca="1">AG146-AVERAGE(AG$122:AG$151)+Sheet2!H$21</f>
        <v>20.779749222879058</v>
      </c>
      <c r="BF146" s="2">
        <f ca="1">AH146-AVERAGE(AH$122:AH$151)+Sheet2!I$21</f>
        <v>9.5641918264525412</v>
      </c>
      <c r="BG146" s="2">
        <f ca="1">AI146-AVERAGE(AI$122:AI$151)+Sheet2!J$21</f>
        <v>27.162914728675165</v>
      </c>
      <c r="BH146" s="2">
        <f ca="1">AJ146-AVERAGE(AJ$122:AJ$151)+Sheet2!K$21</f>
        <v>17.086395252916255</v>
      </c>
      <c r="BI146" s="2">
        <f ca="1">AK146-AVERAGE(AK$122:AK$151)+Sheet2!L$21</f>
        <v>27.564707268749331</v>
      </c>
      <c r="BJ146" s="2">
        <f ca="1">AL146-AVERAGE(AL$122:AL$151)+Sheet2!M$21</f>
        <v>15.010105103889373</v>
      </c>
      <c r="BK146" s="2">
        <f ca="1">AM146-AVERAGE(AM$122:AM$151)+Sheet2!N$21</f>
        <v>7.2683565651663518</v>
      </c>
      <c r="BL146" s="2">
        <f ca="1">AN146-AVERAGE(AN$122:AN$151)+Sheet2!O$21</f>
        <v>7.0353149908184269</v>
      </c>
      <c r="BM146" s="2">
        <f ca="1">AO146-AVERAGE(AO$122:AO$151)+Sheet2!P$21</f>
        <v>20.316769212979722</v>
      </c>
      <c r="BN146" s="2">
        <f ca="1">AP146-AVERAGE(AP$122:AP$151)+Sheet2!Q$21</f>
        <v>23.88750357911691</v>
      </c>
      <c r="BO146" s="2">
        <f ca="1">AQ146-AVERAGE(AQ$122:AQ$151)+Sheet2!R$21</f>
        <v>4.9787693364567893</v>
      </c>
      <c r="BP146" s="2">
        <f ca="1">AR146-AVERAGE(AR$122:AR$151)+Sheet2!S$21</f>
        <v>5.9935211816266882</v>
      </c>
      <c r="BQ146" s="2">
        <f ca="1">AS146-AVERAGE(AS$122:AS$151)+Sheet2!T$21</f>
        <v>9.3211367042609314</v>
      </c>
      <c r="BR146" s="2">
        <f ca="1">AT146-AVERAGE(AT$122:AT$151)+Sheet2!U$21</f>
        <v>25.101298349335693</v>
      </c>
      <c r="BS146" s="2">
        <f ca="1">AU146-AVERAGE(AU$122:AU$151)+Sheet2!V$21</f>
        <v>24.231330246822132</v>
      </c>
      <c r="BT146" s="2">
        <f ca="1">AV146-AVERAGE(AV$122:AV$151)+Sheet2!W$21</f>
        <v>30.905333374599799</v>
      </c>
      <c r="BU146" s="2">
        <f ca="1">AW146-AVERAGE(AW$122:AW$151)+Sheet2!X$21</f>
        <v>18.585164441233989</v>
      </c>
      <c r="BV146" s="2">
        <f ca="1">AX146-AVERAGE(AX$122:AX$151)+Sheet2!Y$21</f>
        <v>15.150482261339723</v>
      </c>
      <c r="BW146" s="2">
        <f ca="1">AY146-AVERAGE(AY$122:AY$151)+Sheet2!Z$21</f>
        <v>11.517402900668319</v>
      </c>
      <c r="BZ146" s="2">
        <f ca="1">BA146-AVERAGE(AH$122:AH$151)+Sheet2!AB$21</f>
        <v>7.4464185876542484</v>
      </c>
      <c r="CA146" s="2">
        <f ca="1">BB146-AVERAGE(AI$122:AI$151)+Sheet2!AC$21</f>
        <v>21.952404977917251</v>
      </c>
      <c r="CB146" s="2">
        <f ca="1">BC146-AVERAGE(AJ$122:AJ$151)+Sheet2!AD$21</f>
        <v>7.0830766296207832</v>
      </c>
      <c r="CC146" s="2">
        <f ca="1">BD146-AVERAGE(AK$122:AK$151)+Sheet2!AE$21</f>
        <v>39.431435861844427</v>
      </c>
    </row>
    <row r="147" spans="2:81" x14ac:dyDescent="0.3">
      <c r="B147">
        <v>146</v>
      </c>
      <c r="C147" s="1">
        <v>5</v>
      </c>
      <c r="D147" s="2">
        <f t="shared" ca="1" si="15"/>
        <v>0.8080241290788821</v>
      </c>
      <c r="E147" s="2">
        <f t="shared" ca="1" si="15"/>
        <v>5.2023375488453372E-2</v>
      </c>
      <c r="F147" s="2">
        <f t="shared" ca="1" si="15"/>
        <v>0.49730338259462747</v>
      </c>
      <c r="G147" s="2">
        <f t="shared" ca="1" si="15"/>
        <v>0.98851147654558691</v>
      </c>
      <c r="H147" s="2">
        <f t="shared" ca="1" si="15"/>
        <v>0.20656645074305424</v>
      </c>
      <c r="I147" s="2">
        <f t="shared" ca="1" si="15"/>
        <v>4.0182327788804706E-3</v>
      </c>
      <c r="J147" s="2">
        <f t="shared" ca="1" si="15"/>
        <v>5.771616254930878E-2</v>
      </c>
      <c r="K147" s="2">
        <f t="shared" ca="1" si="15"/>
        <v>0.66152034208405996</v>
      </c>
      <c r="L147" s="2">
        <f t="shared" ca="1" si="15"/>
        <v>0.78770518692773572</v>
      </c>
      <c r="M147" s="2">
        <f t="shared" ca="1" si="15"/>
        <v>0.79514243700371112</v>
      </c>
      <c r="N147" s="2">
        <f t="shared" ca="1" si="15"/>
        <v>0.38555378501102833</v>
      </c>
      <c r="O147" s="2">
        <f t="shared" ca="1" si="15"/>
        <v>0.23281738280087716</v>
      </c>
      <c r="P147" s="2">
        <f t="shared" ca="1" si="15"/>
        <v>0.27200342229812868</v>
      </c>
      <c r="Q147" s="2">
        <f t="shared" ca="1" si="15"/>
        <v>0.21176392123547494</v>
      </c>
      <c r="R147" s="2">
        <f t="shared" ca="1" si="15"/>
        <v>0.34033938470723546</v>
      </c>
      <c r="S147" s="2">
        <f t="shared" ca="1" si="15"/>
        <v>0.80362360222839424</v>
      </c>
      <c r="T147" s="2">
        <f t="shared" ca="1" si="14"/>
        <v>0.66350977818366419</v>
      </c>
      <c r="U147" s="2">
        <f t="shared" ca="1" si="14"/>
        <v>0.73781185269695138</v>
      </c>
      <c r="V147" s="2">
        <f t="shared" ca="1" si="14"/>
        <v>0.72251276511195028</v>
      </c>
      <c r="W147" s="2">
        <f t="shared" ca="1" si="14"/>
        <v>0.58751801664253389</v>
      </c>
      <c r="X147" s="2">
        <f t="shared" ca="1" si="14"/>
        <v>0.36166951227160604</v>
      </c>
      <c r="Y147" s="2">
        <f t="shared" ca="1" si="14"/>
        <v>0.59761209165347384</v>
      </c>
      <c r="Z147" s="2">
        <f t="shared" ca="1" si="14"/>
        <v>0.82162596375869812</v>
      </c>
      <c r="AA147" s="2">
        <f t="shared" ca="1" si="14"/>
        <v>0.17409393840476495</v>
      </c>
      <c r="AB147" s="2">
        <f ca="1">D147*Sheet2!C$22/_xlfn.STDEV.S(D$122:D$151)</f>
        <v>2.6991487818052979</v>
      </c>
      <c r="AC147" s="2">
        <f ca="1">E147*Sheet2!D$22/_xlfn.STDEV.S(E$122:E$151)</f>
        <v>0.21506659960188049</v>
      </c>
      <c r="AD147" s="2">
        <f ca="1">F147*Sheet2!E$22/_xlfn.STDEV.S(F$122:F$151)</f>
        <v>4.183316708525842</v>
      </c>
      <c r="AE147" s="2">
        <f ca="1">G147*Sheet2!F$22/_xlfn.STDEV.S(G$122:G$151)</f>
        <v>12.459568870073968</v>
      </c>
      <c r="AF147" s="2">
        <f ca="1">H147*Sheet2!G$22/_xlfn.STDEV.S(H$122:H$151)</f>
        <v>6.4905540216226285</v>
      </c>
      <c r="AG147" s="2">
        <f ca="1">I147*Sheet2!H$22/_xlfn.STDEV.S(I$122:I$151)</f>
        <v>7.5795708663084466E-2</v>
      </c>
      <c r="AH147" s="2">
        <f ca="1">J147*Sheet2!I$22/_xlfn.STDEV.S(J$122:J$151)</f>
        <v>9.1915874242048598E-2</v>
      </c>
      <c r="AI147" s="2">
        <f ca="1">K147*Sheet2!J$22/_xlfn.STDEV.S(K$122:K$151)</f>
        <v>3.1853780969925358</v>
      </c>
      <c r="AJ147" s="2">
        <f ca="1">L147*Sheet2!K$22/_xlfn.STDEV.S(L$122:L$151)</f>
        <v>3.192802250215629</v>
      </c>
      <c r="AK147" s="2">
        <f ca="1">M147*Sheet2!L$22/_xlfn.STDEV.S(M$122:M$151)</f>
        <v>5.5233436624835246</v>
      </c>
      <c r="AL147" s="2">
        <f ca="1">N147*Sheet2!M$22/_xlfn.STDEV.S(N$122:N$151)</f>
        <v>2.5072867180359149</v>
      </c>
      <c r="AM147" s="2">
        <f ca="1">O147*Sheet2!N$22/_xlfn.STDEV.S(O$122:O$151)</f>
        <v>0.45343325335380874</v>
      </c>
      <c r="AN147" s="2">
        <f ca="1">P147*Sheet2!O$22/_xlfn.STDEV.S(P$122:P$151)</f>
        <v>0.86772805292843702</v>
      </c>
      <c r="AO147" s="2">
        <f ca="1">Q147*Sheet2!P$22/_xlfn.STDEV.S(Q$122:Q$151)</f>
        <v>1.2615837156368575</v>
      </c>
      <c r="AP147" s="2">
        <f ca="1">R147*Sheet2!Q$22/_xlfn.STDEV.S(R$122:R$151)</f>
        <v>2.6976484025023288</v>
      </c>
      <c r="AQ147" s="2">
        <f ca="1">S147*Sheet2!R$22/_xlfn.STDEV.S(S$122:S$151)</f>
        <v>5.5246784268635443</v>
      </c>
      <c r="AR147" s="2">
        <f ca="1">T147*Sheet2!S$22/_xlfn.STDEV.S(T$122:T$151)</f>
        <v>2.6213623573081111</v>
      </c>
      <c r="AS147" s="2">
        <f ca="1">U147*Sheet2!T$22/_xlfn.STDEV.S(U$122:U$151)</f>
        <v>1.9497104845306881</v>
      </c>
      <c r="AT147" s="2">
        <f ca="1">V147*Sheet2!U$22/_xlfn.STDEV.S(V$122:V$151)</f>
        <v>3.5899046677743285</v>
      </c>
      <c r="AU147" s="2">
        <f ca="1">W147*Sheet2!V$22/_xlfn.STDEV.S(W$122:W$151)</f>
        <v>2.8967892079844595</v>
      </c>
      <c r="AV147" s="2">
        <f ca="1">X147*Sheet2!W$22/_xlfn.STDEV.S(X$122:X$151)</f>
        <v>1.5021344852384997</v>
      </c>
      <c r="AW147" s="2">
        <f ca="1">Y147*Sheet2!X$22/_xlfn.STDEV.S(Y$122:Y$151)</f>
        <v>2.5426558288371375</v>
      </c>
      <c r="AX147" s="2">
        <f ca="1">Z147*Sheet2!Y$22/_xlfn.STDEV.S(Z$122:Z$151)</f>
        <v>1.9999928026476144</v>
      </c>
      <c r="AY147" s="2">
        <f ca="1">AA147*Sheet2!Z$22/_xlfn.STDEV.S(AA$122:AA$151)</f>
        <v>0.32012864802269719</v>
      </c>
      <c r="AZ147" s="2">
        <f ca="1">AB147-AVERAGE(AB$122:AB$151)+Sheet2!C$21</f>
        <v>6.1791157546580386</v>
      </c>
      <c r="BA147" s="2">
        <f ca="1">AC147-AVERAGE(AC$122:AC$151)+Sheet2!D$21</f>
        <v>5.4033795616266174</v>
      </c>
      <c r="BB147" s="2">
        <f ca="1">AD147-AVERAGE(AD$122:AD$151)+Sheet2!E$21</f>
        <v>22.654176650507573</v>
      </c>
      <c r="BC147" s="2">
        <f ca="1">AE147-AVERAGE(AE$122:AE$151)+Sheet2!F$21</f>
        <v>9.7437734138876024</v>
      </c>
      <c r="BD147" s="2">
        <f ca="1">AF147-AVERAGE(AF$122:AF$151)+Sheet2!G$21</f>
        <v>31.747906068528671</v>
      </c>
      <c r="BE147" s="2">
        <f ca="1">AG147-AVERAGE(AG$122:AG$151)+Sheet2!H$21</f>
        <v>13.053323366447476</v>
      </c>
      <c r="BF147" s="2">
        <f ca="1">AH147-AVERAGE(AH$122:AH$151)+Sheet2!I$21</f>
        <v>9.2558311948008516</v>
      </c>
      <c r="BG147" s="2">
        <f ca="1">AI147-AVERAGE(AI$122:AI$151)+Sheet2!J$21</f>
        <v>29.284258008123459</v>
      </c>
      <c r="BH147" s="2">
        <f ca="1">AJ147-AVERAGE(AJ$122:AJ$151)+Sheet2!K$21</f>
        <v>19.967907123790546</v>
      </c>
      <c r="BI147" s="2">
        <f ca="1">AK147-AVERAGE(AK$122:AK$151)+Sheet2!L$21</f>
        <v>28.307531521338177</v>
      </c>
      <c r="BJ147" s="2">
        <f ca="1">AL147-AVERAGE(AL$122:AL$151)+Sheet2!M$21</f>
        <v>14.663347413851293</v>
      </c>
      <c r="BK147" s="2">
        <f ca="1">AM147-AVERAGE(AM$122:AM$151)+Sheet2!N$21</f>
        <v>7.4158570243851107</v>
      </c>
      <c r="BL147" s="2">
        <f ca="1">AN147-AVERAGE(AN$122:AN$151)+Sheet2!O$21</f>
        <v>7.6174589864904476</v>
      </c>
      <c r="BM147" s="2">
        <f ca="1">AO147-AVERAGE(AO$122:AO$151)+Sheet2!P$21</f>
        <v>17.086313635586226</v>
      </c>
      <c r="BN147" s="2">
        <f ca="1">AP147-AVERAGE(AP$122:AP$151)+Sheet2!Q$21</f>
        <v>19.982675241955871</v>
      </c>
      <c r="BO147" s="2">
        <f ca="1">AQ147-AVERAGE(AQ$122:AQ$151)+Sheet2!R$21</f>
        <v>8.3784495144425577</v>
      </c>
      <c r="BP147" s="2">
        <f ca="1">AR147-AVERAGE(AR$122:AR$151)+Sheet2!S$21</f>
        <v>5.8195374523528534</v>
      </c>
      <c r="BQ147" s="2">
        <f ca="1">AS147-AVERAGE(AS$122:AS$151)+Sheet2!T$21</f>
        <v>9.477611076023722</v>
      </c>
      <c r="BR147" s="2">
        <f ca="1">AT147-AVERAGE(AT$122:AT$151)+Sheet2!U$21</f>
        <v>24.541986945140749</v>
      </c>
      <c r="BS147" s="2">
        <f ca="1">AU147-AVERAGE(AU$122:AU$151)+Sheet2!V$21</f>
        <v>22.677904429991631</v>
      </c>
      <c r="BT147" s="2">
        <f ca="1">AV147-AVERAGE(AV$122:AV$151)+Sheet2!W$21</f>
        <v>32.032824659937049</v>
      </c>
      <c r="BU147" s="2">
        <f ca="1">AW147-AVERAGE(AW$122:AW$151)+Sheet2!X$21</f>
        <v>20.758794717682438</v>
      </c>
      <c r="BV147" s="2">
        <f ca="1">AX147-AVERAGE(AX$122:AX$151)+Sheet2!Y$21</f>
        <v>15.010512114753247</v>
      </c>
      <c r="BW147" s="2">
        <f ca="1">AY147-AVERAGE(AY$122:AY$151)+Sheet2!Z$21</f>
        <v>10.028846019978868</v>
      </c>
      <c r="BZ147" s="2">
        <f ca="1">BA147-AVERAGE(AH$122:AH$151)+Sheet2!AB$21</f>
        <v>4.6219239165867174</v>
      </c>
      <c r="CA147" s="2">
        <f ca="1">BB147-AVERAGE(AI$122:AI$151)+Sheet2!AC$21</f>
        <v>20.033393376934523</v>
      </c>
      <c r="CB147" s="2">
        <f ca="1">BC147-AVERAGE(AJ$122:AJ$151)+Sheet2!AD$21</f>
        <v>7.9566752607387548</v>
      </c>
      <c r="CC147" s="2">
        <f ca="1">BD147-AVERAGE(AK$122:AK$151)+Sheet2!AE$21</f>
        <v>28.386722961784624</v>
      </c>
    </row>
    <row r="148" spans="2:81" x14ac:dyDescent="0.3">
      <c r="B148">
        <v>147</v>
      </c>
      <c r="C148" s="1">
        <v>5</v>
      </c>
      <c r="D148" s="2">
        <f t="shared" ca="1" si="15"/>
        <v>0.8433700815578199</v>
      </c>
      <c r="E148" s="2">
        <f t="shared" ca="1" si="15"/>
        <v>0.55340282590550305</v>
      </c>
      <c r="F148" s="2">
        <f t="shared" ca="1" si="15"/>
        <v>0.11365459706559966</v>
      </c>
      <c r="G148" s="2">
        <f t="shared" ca="1" si="15"/>
        <v>0.92980205313225772</v>
      </c>
      <c r="H148" s="2">
        <f t="shared" ca="1" si="15"/>
        <v>3.6258398819308368E-2</v>
      </c>
      <c r="I148" s="2">
        <f t="shared" ca="1" si="15"/>
        <v>0.51909624533976984</v>
      </c>
      <c r="J148" s="2">
        <f t="shared" ca="1" si="15"/>
        <v>0.61013772021980361</v>
      </c>
      <c r="K148" s="2">
        <f t="shared" ca="1" si="15"/>
        <v>0.1398660078955567</v>
      </c>
      <c r="L148" s="2">
        <f t="shared" ca="1" si="15"/>
        <v>0.69890033912498684</v>
      </c>
      <c r="M148" s="2">
        <f t="shared" ca="1" si="15"/>
        <v>0.386964701117534</v>
      </c>
      <c r="N148" s="2">
        <f t="shared" ca="1" si="15"/>
        <v>0.97938332606357437</v>
      </c>
      <c r="O148" s="2">
        <f t="shared" ca="1" si="15"/>
        <v>0.19724325059176784</v>
      </c>
      <c r="P148" s="2">
        <f t="shared" ca="1" si="15"/>
        <v>5.2404604582336534E-2</v>
      </c>
      <c r="Q148" s="2">
        <f t="shared" ca="1" si="15"/>
        <v>0.31755404649194763</v>
      </c>
      <c r="R148" s="2">
        <f t="shared" ca="1" si="15"/>
        <v>0.63197741727217149</v>
      </c>
      <c r="S148" s="2">
        <f t="shared" ca="1" si="15"/>
        <v>0.79950514379673221</v>
      </c>
      <c r="T148" s="2">
        <f t="shared" ca="1" si="14"/>
        <v>0.84143512918572116</v>
      </c>
      <c r="U148" s="2">
        <f t="shared" ca="1" si="14"/>
        <v>0.22637194695957186</v>
      </c>
      <c r="V148" s="2">
        <f t="shared" ca="1" si="14"/>
        <v>0.1719072843430689</v>
      </c>
      <c r="W148" s="2">
        <f t="shared" ca="1" si="14"/>
        <v>0.3236015471294188</v>
      </c>
      <c r="X148" s="2">
        <f t="shared" ca="1" si="14"/>
        <v>0.9947964417846934</v>
      </c>
      <c r="Y148" s="2">
        <f t="shared" ca="1" si="14"/>
        <v>8.5831343943418958E-2</v>
      </c>
      <c r="Z148" s="2">
        <f t="shared" ca="1" si="14"/>
        <v>7.4822280142919362E-2</v>
      </c>
      <c r="AA148" s="2">
        <f t="shared" ca="1" si="14"/>
        <v>0.36891176513747526</v>
      </c>
      <c r="AB148" s="2">
        <f ca="1">D148*Sheet2!C$22/_xlfn.STDEV.S(D$122:D$151)</f>
        <v>2.8172194942282425</v>
      </c>
      <c r="AC148" s="2">
        <f ca="1">E148*Sheet2!D$22/_xlfn.STDEV.S(E$122:E$151)</f>
        <v>2.2877881886765352</v>
      </c>
      <c r="AD148" s="2">
        <f ca="1">F148*Sheet2!E$22/_xlfn.STDEV.S(F$122:F$151)</f>
        <v>0.95606262001410269</v>
      </c>
      <c r="AE148" s="2">
        <f ca="1">G148*Sheet2!F$22/_xlfn.STDEV.S(G$122:G$151)</f>
        <v>11.719573309378042</v>
      </c>
      <c r="AF148" s="2">
        <f ca="1">H148*Sheet2!G$22/_xlfn.STDEV.S(H$122:H$151)</f>
        <v>1.1392803401893772</v>
      </c>
      <c r="AG148" s="2">
        <f ca="1">I148*Sheet2!H$22/_xlfn.STDEV.S(I$122:I$151)</f>
        <v>9.7916845401963712</v>
      </c>
      <c r="AH148" s="2">
        <f ca="1">J148*Sheet2!I$22/_xlfn.STDEV.S(J$122:J$151)</f>
        <v>0.97167482183420628</v>
      </c>
      <c r="AI148" s="2">
        <f ca="1">K148*Sheet2!J$22/_xlfn.STDEV.S(K$122:K$151)</f>
        <v>0.67348816010812551</v>
      </c>
      <c r="AJ148" s="2">
        <f ca="1">L148*Sheet2!K$22/_xlfn.STDEV.S(L$122:L$151)</f>
        <v>2.8328499195720522</v>
      </c>
      <c r="AK148" s="2">
        <f ca="1">M148*Sheet2!L$22/_xlfn.STDEV.S(M$122:M$151)</f>
        <v>2.6879951692383224</v>
      </c>
      <c r="AL148" s="2">
        <f ca="1">N148*Sheet2!M$22/_xlfn.STDEV.S(N$122:N$151)</f>
        <v>6.3690071288881214</v>
      </c>
      <c r="AM148" s="2">
        <f ca="1">O148*Sheet2!N$22/_xlfn.STDEV.S(O$122:O$151)</f>
        <v>0.38414936093667357</v>
      </c>
      <c r="AN148" s="2">
        <f ca="1">P148*Sheet2!O$22/_xlfn.STDEV.S(P$122:P$151)</f>
        <v>0.16717784325843893</v>
      </c>
      <c r="AO148" s="2">
        <f ca="1">Q148*Sheet2!P$22/_xlfn.STDEV.S(Q$122:Q$151)</f>
        <v>1.8918284642233862</v>
      </c>
      <c r="AP148" s="2">
        <f ca="1">R148*Sheet2!Q$22/_xlfn.STDEV.S(R$122:R$151)</f>
        <v>5.0092729396815434</v>
      </c>
      <c r="AQ148" s="2">
        <f ca="1">S148*Sheet2!R$22/_xlfn.STDEV.S(S$122:S$151)</f>
        <v>5.4963652235352152</v>
      </c>
      <c r="AR148" s="2">
        <f ca="1">T148*Sheet2!S$22/_xlfn.STDEV.S(T$122:T$151)</f>
        <v>3.3243012330612283</v>
      </c>
      <c r="AS148" s="2">
        <f ca="1">U148*Sheet2!T$22/_xlfn.STDEV.S(U$122:U$151)</f>
        <v>0.59820095973978082</v>
      </c>
      <c r="AT148" s="2">
        <f ca="1">V148*Sheet2!U$22/_xlfn.STDEV.S(V$122:V$151)</f>
        <v>0.85414513388143387</v>
      </c>
      <c r="AU148" s="2">
        <f ca="1">W148*Sheet2!V$22/_xlfn.STDEV.S(W$122:W$151)</f>
        <v>1.5955348480520291</v>
      </c>
      <c r="AV148" s="2">
        <f ca="1">X148*Sheet2!W$22/_xlfn.STDEV.S(X$122:X$151)</f>
        <v>4.1317224435416078</v>
      </c>
      <c r="AW148" s="2">
        <f ca="1">Y148*Sheet2!X$22/_xlfn.STDEV.S(Y$122:Y$151)</f>
        <v>0.36518599610465352</v>
      </c>
      <c r="AX148" s="2">
        <f ca="1">Z148*Sheet2!Y$22/_xlfn.STDEV.S(Z$122:Z$151)</f>
        <v>0.18213156395270746</v>
      </c>
      <c r="AY148" s="2">
        <f ca="1">AA148*Sheet2!Z$22/_xlfn.STDEV.S(AA$122:AA$151)</f>
        <v>0.67836494306050099</v>
      </c>
      <c r="AZ148" s="2">
        <f ca="1">AB148-AVERAGE(AB$122:AB$151)+Sheet2!C$21</f>
        <v>6.2971864670809836</v>
      </c>
      <c r="BA148" s="2">
        <f ca="1">AC148-AVERAGE(AC$122:AC$151)+Sheet2!D$21</f>
        <v>7.4761011507012718</v>
      </c>
      <c r="BB148" s="2">
        <f ca="1">AD148-AVERAGE(AD$122:AD$151)+Sheet2!E$21</f>
        <v>19.426922561995834</v>
      </c>
      <c r="BC148" s="2">
        <f ca="1">AE148-AVERAGE(AE$122:AE$151)+Sheet2!F$21</f>
        <v>9.0037778531916786</v>
      </c>
      <c r="BD148" s="2">
        <f ca="1">AF148-AVERAGE(AF$122:AF$151)+Sheet2!G$21</f>
        <v>26.396632387095423</v>
      </c>
      <c r="BE148" s="2">
        <f ca="1">AG148-AVERAGE(AG$122:AG$151)+Sheet2!H$21</f>
        <v>22.769212197980764</v>
      </c>
      <c r="BF148" s="2">
        <f ca="1">AH148-AVERAGE(AH$122:AH$151)+Sheet2!I$21</f>
        <v>10.135590142393008</v>
      </c>
      <c r="BG148" s="2">
        <f ca="1">AI148-AVERAGE(AI$122:AI$151)+Sheet2!J$21</f>
        <v>26.77236807123905</v>
      </c>
      <c r="BH148" s="2">
        <f ca="1">AJ148-AVERAGE(AJ$122:AJ$151)+Sheet2!K$21</f>
        <v>19.60795479314697</v>
      </c>
      <c r="BI148" s="2">
        <f ca="1">AK148-AVERAGE(AK$122:AK$151)+Sheet2!L$21</f>
        <v>25.472183028092974</v>
      </c>
      <c r="BJ148" s="2">
        <f ca="1">AL148-AVERAGE(AL$122:AL$151)+Sheet2!M$21</f>
        <v>18.525067824703498</v>
      </c>
      <c r="BK148" s="2">
        <f ca="1">AM148-AVERAGE(AM$122:AM$151)+Sheet2!N$21</f>
        <v>7.3465731319679755</v>
      </c>
      <c r="BL148" s="2">
        <f ca="1">AN148-AVERAGE(AN$122:AN$151)+Sheet2!O$21</f>
        <v>6.9169087768204491</v>
      </c>
      <c r="BM148" s="2">
        <f ca="1">AO148-AVERAGE(AO$122:AO$151)+Sheet2!P$21</f>
        <v>17.716558384172757</v>
      </c>
      <c r="BN148" s="2">
        <f ca="1">AP148-AVERAGE(AP$122:AP$151)+Sheet2!Q$21</f>
        <v>22.294299779135088</v>
      </c>
      <c r="BO148" s="2">
        <f ca="1">AQ148-AVERAGE(AQ$122:AQ$151)+Sheet2!R$21</f>
        <v>8.3501363111142286</v>
      </c>
      <c r="BP148" s="2">
        <f ca="1">AR148-AVERAGE(AR$122:AR$151)+Sheet2!S$21</f>
        <v>6.5224763281059701</v>
      </c>
      <c r="BQ148" s="2">
        <f ca="1">AS148-AVERAGE(AS$122:AS$151)+Sheet2!T$21</f>
        <v>8.1261015512328143</v>
      </c>
      <c r="BR148" s="2">
        <f ca="1">AT148-AVERAGE(AT$122:AT$151)+Sheet2!U$21</f>
        <v>21.806227411247853</v>
      </c>
      <c r="BS148" s="2">
        <f ca="1">AU148-AVERAGE(AU$122:AU$151)+Sheet2!V$21</f>
        <v>21.376650070059199</v>
      </c>
      <c r="BT148" s="2">
        <f ca="1">AV148-AVERAGE(AV$122:AV$151)+Sheet2!W$21</f>
        <v>34.662412618240161</v>
      </c>
      <c r="BU148" s="2">
        <f ca="1">AW148-AVERAGE(AW$122:AW$151)+Sheet2!X$21</f>
        <v>18.581324884949954</v>
      </c>
      <c r="BV148" s="2">
        <f ca="1">AX148-AVERAGE(AX$122:AX$151)+Sheet2!Y$21</f>
        <v>13.192650876058341</v>
      </c>
      <c r="BW148" s="2">
        <f ca="1">AY148-AVERAGE(AY$122:AY$151)+Sheet2!Z$21</f>
        <v>10.387082315016674</v>
      </c>
      <c r="BZ148" s="2">
        <f ca="1">BA148-AVERAGE(AH$122:AH$151)+Sheet2!AB$21</f>
        <v>6.6946455056613718</v>
      </c>
      <c r="CA148" s="2">
        <f ca="1">BB148-AVERAGE(AI$122:AI$151)+Sheet2!AC$21</f>
        <v>16.806139288422781</v>
      </c>
      <c r="CB148" s="2">
        <f ca="1">BC148-AVERAGE(AJ$122:AJ$151)+Sheet2!AD$21</f>
        <v>7.2166797000428309</v>
      </c>
      <c r="CC148" s="2">
        <f ca="1">BD148-AVERAGE(AK$122:AK$151)+Sheet2!AE$21</f>
        <v>23.035449280351376</v>
      </c>
    </row>
    <row r="149" spans="2:81" x14ac:dyDescent="0.3">
      <c r="B149">
        <v>148</v>
      </c>
      <c r="C149" s="1">
        <v>5</v>
      </c>
      <c r="D149" s="2">
        <f t="shared" ca="1" si="15"/>
        <v>0.64703538062681032</v>
      </c>
      <c r="E149" s="2">
        <f t="shared" ca="1" si="15"/>
        <v>1.1963095072666907E-2</v>
      </c>
      <c r="F149" s="2">
        <f t="shared" ca="1" si="15"/>
        <v>0.85145154271167944</v>
      </c>
      <c r="G149" s="2">
        <f t="shared" ca="1" si="15"/>
        <v>0.49571308192266161</v>
      </c>
      <c r="H149" s="2">
        <f t="shared" ca="1" si="15"/>
        <v>0.39875478948621446</v>
      </c>
      <c r="I149" s="2">
        <f t="shared" ca="1" si="15"/>
        <v>0.28557262919793824</v>
      </c>
      <c r="J149" s="2">
        <f t="shared" ca="1" si="15"/>
        <v>0.93854188693441298</v>
      </c>
      <c r="K149" s="2">
        <f t="shared" ca="1" si="15"/>
        <v>0.66573157162737806</v>
      </c>
      <c r="L149" s="2">
        <f t="shared" ca="1" si="15"/>
        <v>0.25545224030400238</v>
      </c>
      <c r="M149" s="2">
        <f t="shared" ca="1" si="15"/>
        <v>0.48520587036382357</v>
      </c>
      <c r="N149" s="2">
        <f t="shared" ca="1" si="15"/>
        <v>0.12193906815997801</v>
      </c>
      <c r="O149" s="2">
        <f t="shared" ca="1" si="15"/>
        <v>0.93518287449772342</v>
      </c>
      <c r="P149" s="2">
        <f t="shared" ca="1" si="15"/>
        <v>0.47344399668878789</v>
      </c>
      <c r="Q149" s="2">
        <f t="shared" ca="1" si="14"/>
        <v>0.86554168504999618</v>
      </c>
      <c r="R149" s="2">
        <f t="shared" ca="1" si="14"/>
        <v>0.962161302230504</v>
      </c>
      <c r="S149" s="2">
        <f t="shared" ca="1" si="14"/>
        <v>0.6516456035538315</v>
      </c>
      <c r="T149" s="2">
        <f t="shared" ca="1" si="14"/>
        <v>0.40882631520195678</v>
      </c>
      <c r="U149" s="2">
        <f t="shared" ca="1" si="14"/>
        <v>0.76212700636784114</v>
      </c>
      <c r="V149" s="2">
        <f t="shared" ca="1" si="14"/>
        <v>3.387446829648999E-2</v>
      </c>
      <c r="W149" s="2">
        <f t="shared" ca="1" si="14"/>
        <v>0.37070107768110583</v>
      </c>
      <c r="X149" s="2">
        <f t="shared" ca="1" si="14"/>
        <v>0.25521017610521846</v>
      </c>
      <c r="Y149" s="2">
        <f t="shared" ca="1" si="14"/>
        <v>5.2526791622983571E-2</v>
      </c>
      <c r="Z149" s="2">
        <f t="shared" ca="1" si="14"/>
        <v>0.86024483226343074</v>
      </c>
      <c r="AA149" s="2">
        <f t="shared" ca="1" si="14"/>
        <v>0.30937624806562569</v>
      </c>
      <c r="AB149" s="2">
        <f ca="1">D149*Sheet2!C$22/_xlfn.STDEV.S(D$122:D$151)</f>
        <v>2.1613769893167243</v>
      </c>
      <c r="AC149" s="2">
        <f ca="1">E149*Sheet2!D$22/_xlfn.STDEV.S(E$122:E$151)</f>
        <v>4.9455886970723992E-2</v>
      </c>
      <c r="AD149" s="2">
        <f ca="1">F149*Sheet2!E$22/_xlfn.STDEV.S(F$122:F$151)</f>
        <v>7.1624114972676916</v>
      </c>
      <c r="AE149" s="2">
        <f ca="1">G149*Sheet2!F$22/_xlfn.STDEV.S(G$122:G$151)</f>
        <v>6.2481533402077671</v>
      </c>
      <c r="AF149" s="2">
        <f ca="1">H149*Sheet2!G$22/_xlfn.STDEV.S(H$122:H$151)</f>
        <v>12.529331327672335</v>
      </c>
      <c r="AG149" s="2">
        <f ca="1">I149*Sheet2!H$22/_xlfn.STDEV.S(I$122:I$151)</f>
        <v>5.3867411362038089</v>
      </c>
      <c r="AH149" s="2">
        <f ca="1">J149*Sheet2!I$22/_xlfn.STDEV.S(J$122:J$151)</f>
        <v>1.4946748751124592</v>
      </c>
      <c r="AI149" s="2">
        <f ca="1">K149*Sheet2!J$22/_xlfn.STDEV.S(K$122:K$151)</f>
        <v>3.2056561708404732</v>
      </c>
      <c r="AJ149" s="2">
        <f ca="1">L149*Sheet2!K$22/_xlfn.STDEV.S(L$122:L$151)</f>
        <v>1.0354235330686816</v>
      </c>
      <c r="AK149" s="2">
        <f ca="1">M149*Sheet2!L$22/_xlfn.STDEV.S(M$122:M$151)</f>
        <v>3.3704134559495524</v>
      </c>
      <c r="AL149" s="2">
        <f ca="1">N149*Sheet2!M$22/_xlfn.STDEV.S(N$122:N$151)</f>
        <v>0.7929793919632866</v>
      </c>
      <c r="AM149" s="2">
        <f ca="1">O149*Sheet2!N$22/_xlfn.STDEV.S(O$122:O$151)</f>
        <v>1.821354609191457</v>
      </c>
      <c r="AN149" s="2">
        <f ca="1">P149*Sheet2!O$22/_xlfn.STDEV.S(P$122:P$151)</f>
        <v>1.5103509873016978</v>
      </c>
      <c r="AO149" s="2">
        <f ca="1">Q149*Sheet2!P$22/_xlfn.STDEV.S(Q$122:Q$151)</f>
        <v>5.15646522171141</v>
      </c>
      <c r="AP149" s="2">
        <f ca="1">R149*Sheet2!Q$22/_xlfn.STDEV.S(R$122:R$151)</f>
        <v>7.6264253170241432</v>
      </c>
      <c r="AQ149" s="2">
        <f ca="1">S149*Sheet2!R$22/_xlfn.STDEV.S(S$122:S$151)</f>
        <v>4.4798739085454953</v>
      </c>
      <c r="AR149" s="2">
        <f ca="1">T149*Sheet2!S$22/_xlfn.STDEV.S(T$122:T$151)</f>
        <v>1.6151712432649956</v>
      </c>
      <c r="AS149" s="2">
        <f ca="1">U149*Sheet2!T$22/_xlfn.STDEV.S(U$122:U$151)</f>
        <v>2.0139646841234682</v>
      </c>
      <c r="AT149" s="2">
        <f ca="1">V149*Sheet2!U$22/_xlfn.STDEV.S(V$122:V$151)</f>
        <v>0.16830998388948956</v>
      </c>
      <c r="AU149" s="2">
        <f ca="1">W149*Sheet2!V$22/_xlfn.STDEV.S(W$122:W$151)</f>
        <v>1.8277616188716796</v>
      </c>
      <c r="AV149" s="2">
        <f ca="1">X149*Sheet2!W$22/_xlfn.STDEV.S(X$122:X$151)</f>
        <v>1.0599732449207497</v>
      </c>
      <c r="AW149" s="2">
        <f ca="1">Y149*Sheet2!X$22/_xlfn.STDEV.S(Y$122:Y$151)</f>
        <v>0.22348535907425449</v>
      </c>
      <c r="AX149" s="2">
        <f ca="1">Z149*Sheet2!Y$22/_xlfn.STDEV.S(Z$122:Z$151)</f>
        <v>2.0939984237729758</v>
      </c>
      <c r="AY149" s="2">
        <f ca="1">AA149*Sheet2!Z$22/_xlfn.STDEV.S(AA$122:AA$151)</f>
        <v>0.56888942217687577</v>
      </c>
      <c r="AZ149" s="2">
        <f ca="1">AB149-AVERAGE(AB$122:AB$151)+Sheet2!C$21</f>
        <v>5.641343962169465</v>
      </c>
      <c r="BA149" s="2">
        <f ca="1">AC149-AVERAGE(AC$122:AC$151)+Sheet2!D$21</f>
        <v>5.2377688489954615</v>
      </c>
      <c r="BB149" s="2">
        <f ca="1">AD149-AVERAGE(AD$122:AD$151)+Sheet2!E$21</f>
        <v>25.633271439249423</v>
      </c>
      <c r="BC149" s="2">
        <f ca="1">AE149-AVERAGE(AE$122:AE$151)+Sheet2!F$21</f>
        <v>3.5323578840214029</v>
      </c>
      <c r="BD149" s="2">
        <f ca="1">AF149-AVERAGE(AF$122:AF$151)+Sheet2!G$21</f>
        <v>37.786683374578381</v>
      </c>
      <c r="BE149" s="2">
        <f ca="1">AG149-AVERAGE(AG$122:AG$151)+Sheet2!H$21</f>
        <v>18.364268793988199</v>
      </c>
      <c r="BF149" s="2">
        <f ca="1">AH149-AVERAGE(AH$122:AH$151)+Sheet2!I$21</f>
        <v>10.658590195671263</v>
      </c>
      <c r="BG149" s="2">
        <f ca="1">AI149-AVERAGE(AI$122:AI$151)+Sheet2!J$21</f>
        <v>29.304536081971396</v>
      </c>
      <c r="BH149" s="2">
        <f ca="1">AJ149-AVERAGE(AJ$122:AJ$151)+Sheet2!K$21</f>
        <v>17.810528406643598</v>
      </c>
      <c r="BI149" s="2">
        <f ca="1">AK149-AVERAGE(AK$122:AK$151)+Sheet2!L$21</f>
        <v>26.154601314804204</v>
      </c>
      <c r="BJ149" s="2">
        <f ca="1">AL149-AVERAGE(AL$122:AL$151)+Sheet2!M$21</f>
        <v>12.949040087778664</v>
      </c>
      <c r="BK149" s="2">
        <f ca="1">AM149-AVERAGE(AM$122:AM$151)+Sheet2!N$21</f>
        <v>8.783778380222758</v>
      </c>
      <c r="BL149" s="2">
        <f ca="1">AN149-AVERAGE(AN$122:AN$151)+Sheet2!O$21</f>
        <v>8.2600819208637084</v>
      </c>
      <c r="BM149" s="2">
        <f ca="1">AO149-AVERAGE(AO$122:AO$151)+Sheet2!P$21</f>
        <v>20.98119514166078</v>
      </c>
      <c r="BN149" s="2">
        <f ca="1">AP149-AVERAGE(AP$122:AP$151)+Sheet2!Q$21</f>
        <v>24.911452156477687</v>
      </c>
      <c r="BO149" s="2">
        <f ca="1">AQ149-AVERAGE(AQ$122:AQ$151)+Sheet2!R$21</f>
        <v>7.3336449961245087</v>
      </c>
      <c r="BP149" s="2">
        <f ca="1">AR149-AVERAGE(AR$122:AR$151)+Sheet2!S$21</f>
        <v>4.8133463383097377</v>
      </c>
      <c r="BQ149" s="2">
        <f ca="1">AS149-AVERAGE(AS$122:AS$151)+Sheet2!T$21</f>
        <v>9.5418652756165017</v>
      </c>
      <c r="BR149" s="2">
        <f ca="1">AT149-AVERAGE(AT$122:AT$151)+Sheet2!U$21</f>
        <v>21.120392261255912</v>
      </c>
      <c r="BS149" s="2">
        <f ca="1">AU149-AVERAGE(AU$122:AU$151)+Sheet2!V$21</f>
        <v>21.60887684087885</v>
      </c>
      <c r="BT149" s="2">
        <f ca="1">AV149-AVERAGE(AV$122:AV$151)+Sheet2!W$21</f>
        <v>31.5906634196193</v>
      </c>
      <c r="BU149" s="2">
        <f ca="1">AW149-AVERAGE(AW$122:AW$151)+Sheet2!X$21</f>
        <v>18.439624247919554</v>
      </c>
      <c r="BV149" s="2">
        <f ca="1">AX149-AVERAGE(AX$122:AX$151)+Sheet2!Y$21</f>
        <v>15.104517735878609</v>
      </c>
      <c r="BW149" s="2">
        <f ca="1">AY149-AVERAGE(AY$122:AY$151)+Sheet2!Z$21</f>
        <v>10.277606794133048</v>
      </c>
      <c r="BZ149" s="2">
        <f ca="1">BA149-AVERAGE(AH$122:AH$151)+Sheet2!AB$21</f>
        <v>4.4563132039555615</v>
      </c>
      <c r="CA149" s="2">
        <f ca="1">BB149-AVERAGE(AI$122:AI$151)+Sheet2!AC$21</f>
        <v>23.01248816567637</v>
      </c>
      <c r="CB149" s="2">
        <f ca="1">BC149-AVERAGE(AJ$122:AJ$151)+Sheet2!AD$21</f>
        <v>1.7452597308725553</v>
      </c>
      <c r="CC149" s="2">
        <f ca="1">BD149-AVERAGE(AK$122:AK$151)+Sheet2!AE$21</f>
        <v>34.42550026783433</v>
      </c>
    </row>
    <row r="150" spans="2:81" x14ac:dyDescent="0.3">
      <c r="B150">
        <v>149</v>
      </c>
      <c r="C150" s="1">
        <v>5</v>
      </c>
      <c r="D150" s="2">
        <f t="shared" ca="1" si="15"/>
        <v>0.1068700237437783</v>
      </c>
      <c r="E150" s="2">
        <f t="shared" ca="1" si="15"/>
        <v>0.5371859060989701</v>
      </c>
      <c r="F150" s="2">
        <f t="shared" ca="1" si="15"/>
        <v>0.50039873879689323</v>
      </c>
      <c r="G150" s="2">
        <f t="shared" ca="1" si="15"/>
        <v>0.97807035818638011</v>
      </c>
      <c r="H150" s="2">
        <f t="shared" ca="1" si="15"/>
        <v>1.2587224240579897E-2</v>
      </c>
      <c r="I150" s="2">
        <f t="shared" ca="1" si="15"/>
        <v>0.2624176643669428</v>
      </c>
      <c r="J150" s="2">
        <f t="shared" ca="1" si="15"/>
        <v>4.2894702969910825E-2</v>
      </c>
      <c r="K150" s="2">
        <f t="shared" ca="1" si="15"/>
        <v>0.92256990673547912</v>
      </c>
      <c r="L150" s="2">
        <f t="shared" ca="1" si="15"/>
        <v>0.81265616222411852</v>
      </c>
      <c r="M150" s="2">
        <f t="shared" ca="1" si="15"/>
        <v>0.24547253705264571</v>
      </c>
      <c r="N150" s="2">
        <f t="shared" ca="1" si="15"/>
        <v>0.85998956152561423</v>
      </c>
      <c r="O150" s="2">
        <f t="shared" ca="1" si="15"/>
        <v>0.28849731213714402</v>
      </c>
      <c r="P150" s="2">
        <f t="shared" ca="1" si="15"/>
        <v>0.75324462440830897</v>
      </c>
      <c r="Q150" s="2">
        <f t="shared" ca="1" si="14"/>
        <v>0.54405017425268709</v>
      </c>
      <c r="R150" s="2">
        <f t="shared" ca="1" si="14"/>
        <v>0.67141074473489437</v>
      </c>
      <c r="S150" s="2">
        <f t="shared" ca="1" si="14"/>
        <v>1.3856743892561862E-3</v>
      </c>
      <c r="T150" s="2">
        <f t="shared" ca="1" si="14"/>
        <v>0.64438363830777967</v>
      </c>
      <c r="U150" s="2">
        <f t="shared" ca="1" si="14"/>
        <v>0.50177984555297861</v>
      </c>
      <c r="V150" s="2">
        <f t="shared" ca="1" si="14"/>
        <v>0.71830508469942866</v>
      </c>
      <c r="W150" s="2">
        <f t="shared" ca="1" si="14"/>
        <v>0.14833214839650899</v>
      </c>
      <c r="X150" s="2">
        <f t="shared" ca="1" si="14"/>
        <v>0.98205370714781826</v>
      </c>
      <c r="Y150" s="2">
        <f t="shared" ca="1" si="14"/>
        <v>0.37988420899861797</v>
      </c>
      <c r="Z150" s="2">
        <f t="shared" ca="1" si="14"/>
        <v>0.1567563588677483</v>
      </c>
      <c r="AA150" s="2">
        <f t="shared" ca="1" si="14"/>
        <v>0.71634934878951684</v>
      </c>
      <c r="AB150" s="2">
        <f ca="1">D150*Sheet2!C$22/_xlfn.STDEV.S(D$122:D$151)</f>
        <v>0.35699193132803364</v>
      </c>
      <c r="AC150" s="2">
        <f ca="1">E150*Sheet2!D$22/_xlfn.STDEV.S(E$122:E$151)</f>
        <v>2.220746829555547</v>
      </c>
      <c r="AD150" s="2">
        <f ca="1">F150*Sheet2!E$22/_xlfn.STDEV.S(F$122:F$151)</f>
        <v>4.2093548489708521</v>
      </c>
      <c r="AE150" s="2">
        <f ca="1">G150*Sheet2!F$22/_xlfn.STDEV.S(G$122:G$151)</f>
        <v>12.327965103841787</v>
      </c>
      <c r="AF150" s="2">
        <f ca="1">H150*Sheet2!G$22/_xlfn.STDEV.S(H$122:H$151)</f>
        <v>0.39550497489732739</v>
      </c>
      <c r="AG150" s="2">
        <f ca="1">I150*Sheet2!H$22/_xlfn.STDEV.S(I$122:I$151)</f>
        <v>4.9499702807027308</v>
      </c>
      <c r="AH150" s="2">
        <f ca="1">J150*Sheet2!I$22/_xlfn.STDEV.S(J$122:J$151)</f>
        <v>6.8311958898237088E-2</v>
      </c>
      <c r="AI150" s="2">
        <f ca="1">K150*Sheet2!J$22/_xlfn.STDEV.S(K$122:K$151)</f>
        <v>4.4423939626730542</v>
      </c>
      <c r="AJ150" s="2">
        <f ca="1">L150*Sheet2!K$22/_xlfn.STDEV.S(L$122:L$151)</f>
        <v>3.2939359375308985</v>
      </c>
      <c r="AK150" s="2">
        <f ca="1">M150*Sheet2!L$22/_xlfn.STDEV.S(M$122:M$151)</f>
        <v>1.7051400085657293</v>
      </c>
      <c r="AL150" s="2">
        <f ca="1">N150*Sheet2!M$22/_xlfn.STDEV.S(N$122:N$151)</f>
        <v>5.5925800474271732</v>
      </c>
      <c r="AM150" s="2">
        <f ca="1">O150*Sheet2!N$22/_xlfn.STDEV.S(O$122:O$151)</f>
        <v>0.56187503378154813</v>
      </c>
      <c r="AN150" s="2">
        <f ca="1">P150*Sheet2!O$22/_xlfn.STDEV.S(P$122:P$151)</f>
        <v>2.4029531900530445</v>
      </c>
      <c r="AO150" s="2">
        <f ca="1">Q150*Sheet2!P$22/_xlfn.STDEV.S(Q$122:Q$151)</f>
        <v>3.2411793110091129</v>
      </c>
      <c r="AP150" s="2">
        <f ca="1">R150*Sheet2!Q$22/_xlfn.STDEV.S(R$122:R$151)</f>
        <v>5.3218352160888802</v>
      </c>
      <c r="AQ150" s="2">
        <f ca="1">S150*Sheet2!R$22/_xlfn.STDEV.S(S$122:S$151)</f>
        <v>9.5261082224975049E-3</v>
      </c>
      <c r="AR150" s="2">
        <f ca="1">T150*Sheet2!S$22/_xlfn.STDEV.S(T$122:T$151)</f>
        <v>2.5457997284520597</v>
      </c>
      <c r="AS150" s="2">
        <f ca="1">U150*Sheet2!T$22/_xlfn.STDEV.S(U$122:U$151)</f>
        <v>1.3259822571631537</v>
      </c>
      <c r="AT150" s="2">
        <f ca="1">V150*Sheet2!U$22/_xlfn.STDEV.S(V$122:V$151)</f>
        <v>3.5689982253101964</v>
      </c>
      <c r="AU150" s="2">
        <f ca="1">W150*Sheet2!V$22/_xlfn.STDEV.S(W$122:W$151)</f>
        <v>0.73135964259899944</v>
      </c>
      <c r="AV150" s="2">
        <f ca="1">X150*Sheet2!W$22/_xlfn.STDEV.S(X$122:X$151)</f>
        <v>4.0787976033634328</v>
      </c>
      <c r="AW150" s="2">
        <f ca="1">Y150*Sheet2!X$22/_xlfn.STDEV.S(Y$122:Y$151)</f>
        <v>1.6162905867935622</v>
      </c>
      <c r="AX150" s="2">
        <f ca="1">Z150*Sheet2!Y$22/_xlfn.STDEV.S(Z$122:Z$151)</f>
        <v>0.38157458908737435</v>
      </c>
      <c r="AY150" s="2">
        <f ca="1">AA150*Sheet2!Z$22/_xlfn.STDEV.S(AA$122:AA$151)</f>
        <v>1.3172425797316041</v>
      </c>
      <c r="AZ150" s="2">
        <f ca="1">AB150-AVERAGE(AB$122:AB$151)+Sheet2!C$21</f>
        <v>3.8369589041807743</v>
      </c>
      <c r="BA150" s="2">
        <f ca="1">AC150-AVERAGE(AC$122:AC$151)+Sheet2!D$21</f>
        <v>7.409059791580284</v>
      </c>
      <c r="BB150" s="2">
        <f ca="1">AD150-AVERAGE(AD$122:AD$151)+Sheet2!E$21</f>
        <v>22.680214790952583</v>
      </c>
      <c r="BC150" s="2">
        <f ca="1">AE150-AVERAGE(AE$122:AE$151)+Sheet2!F$21</f>
        <v>9.6121696476554241</v>
      </c>
      <c r="BD150" s="2">
        <f ca="1">AF150-AVERAGE(AF$122:AF$151)+Sheet2!G$21</f>
        <v>25.652857021803371</v>
      </c>
      <c r="BE150" s="2">
        <f ca="1">AG150-AVERAGE(AG$122:AG$151)+Sheet2!H$21</f>
        <v>17.927497938487122</v>
      </c>
      <c r="BF150" s="2">
        <f ca="1">AH150-AVERAGE(AH$122:AH$151)+Sheet2!I$21</f>
        <v>9.2322272794570388</v>
      </c>
      <c r="BG150" s="2">
        <f ca="1">AI150-AVERAGE(AI$122:AI$151)+Sheet2!J$21</f>
        <v>30.541273873803977</v>
      </c>
      <c r="BH150" s="2">
        <f ca="1">AJ150-AVERAGE(AJ$122:AJ$151)+Sheet2!K$21</f>
        <v>20.069040811105815</v>
      </c>
      <c r="BI150" s="2">
        <f ca="1">AK150-AVERAGE(AK$122:AK$151)+Sheet2!L$21</f>
        <v>24.489327867420382</v>
      </c>
      <c r="BJ150" s="2">
        <f ca="1">AL150-AVERAGE(AL$122:AL$151)+Sheet2!M$21</f>
        <v>17.74864074324255</v>
      </c>
      <c r="BK150" s="2">
        <f ca="1">AM150-AVERAGE(AM$122:AM$151)+Sheet2!N$21</f>
        <v>7.5242988048128501</v>
      </c>
      <c r="BL150" s="2">
        <f ca="1">AN150-AVERAGE(AN$122:AN$151)+Sheet2!O$21</f>
        <v>9.1526841236150549</v>
      </c>
      <c r="BM150" s="2">
        <f ca="1">AO150-AVERAGE(AO$122:AO$151)+Sheet2!P$21</f>
        <v>19.065909230958482</v>
      </c>
      <c r="BN150" s="2">
        <f ca="1">AP150-AVERAGE(AP$122:AP$151)+Sheet2!Q$21</f>
        <v>22.606862055542422</v>
      </c>
      <c r="BO150" s="2">
        <f ca="1">AQ150-AVERAGE(AQ$122:AQ$151)+Sheet2!R$21</f>
        <v>2.8632971958015108</v>
      </c>
      <c r="BP150" s="2">
        <f ca="1">AR150-AVERAGE(AR$122:AR$151)+Sheet2!S$21</f>
        <v>5.743974823496802</v>
      </c>
      <c r="BQ150" s="2">
        <f ca="1">AS150-AVERAGE(AS$122:AS$151)+Sheet2!T$21</f>
        <v>8.8538828486561876</v>
      </c>
      <c r="BR150" s="2">
        <f ca="1">AT150-AVERAGE(AT$122:AT$151)+Sheet2!U$21</f>
        <v>24.521080502676618</v>
      </c>
      <c r="BS150" s="2">
        <f ca="1">AU150-AVERAGE(AU$122:AU$151)+Sheet2!V$21</f>
        <v>20.512474864606173</v>
      </c>
      <c r="BT150" s="2">
        <f ca="1">AV150-AVERAGE(AV$122:AV$151)+Sheet2!W$21</f>
        <v>34.609487778061983</v>
      </c>
      <c r="BU150" s="2">
        <f ca="1">AW150-AVERAGE(AW$122:AW$151)+Sheet2!X$21</f>
        <v>19.832429475638861</v>
      </c>
      <c r="BV150" s="2">
        <f ca="1">AX150-AVERAGE(AX$122:AX$151)+Sheet2!Y$21</f>
        <v>13.392093901193007</v>
      </c>
      <c r="BW150" s="2">
        <f ca="1">AY150-AVERAGE(AY$122:AY$151)+Sheet2!Z$21</f>
        <v>11.025959951687776</v>
      </c>
      <c r="BZ150" s="2">
        <f ca="1">BA150-AVERAGE(AH$122:AH$151)+Sheet2!AB$21</f>
        <v>6.6276041465403841</v>
      </c>
      <c r="CA150" s="2">
        <f ca="1">BB150-AVERAGE(AI$122:AI$151)+Sheet2!AC$21</f>
        <v>20.059431517379533</v>
      </c>
      <c r="CB150" s="2">
        <f ca="1">BC150-AVERAGE(AJ$122:AJ$151)+Sheet2!AD$21</f>
        <v>7.8250714945065765</v>
      </c>
      <c r="CC150" s="2">
        <f ca="1">BD150-AVERAGE(AK$122:AK$151)+Sheet2!AE$21</f>
        <v>22.291673915059324</v>
      </c>
    </row>
    <row r="151" spans="2:81" x14ac:dyDescent="0.3">
      <c r="B151">
        <v>150</v>
      </c>
      <c r="C151" s="1">
        <v>5</v>
      </c>
      <c r="D151" s="2">
        <f t="shared" ca="1" si="15"/>
        <v>0.58183513777883389</v>
      </c>
      <c r="E151" s="2">
        <f t="shared" ca="1" si="15"/>
        <v>0.98486298644738079</v>
      </c>
      <c r="F151" s="2">
        <f t="shared" ca="1" si="15"/>
        <v>0.69301752541273431</v>
      </c>
      <c r="G151" s="2">
        <f t="shared" ca="1" si="15"/>
        <v>0.43640638841514567</v>
      </c>
      <c r="H151" s="2">
        <f t="shared" ca="1" si="15"/>
        <v>0.80125557346087783</v>
      </c>
      <c r="I151" s="2">
        <f t="shared" ca="1" si="15"/>
        <v>0.47590380605362503</v>
      </c>
      <c r="J151" s="2">
        <f t="shared" ca="1" si="15"/>
        <v>6.5955773742811363E-2</v>
      </c>
      <c r="K151" s="2">
        <f t="shared" ca="1" si="15"/>
        <v>0.59493569462908347</v>
      </c>
      <c r="L151" s="2">
        <f t="shared" ca="1" si="15"/>
        <v>5.3650237721396543E-2</v>
      </c>
      <c r="M151" s="2">
        <f t="shared" ca="1" si="15"/>
        <v>0.72742846765363978</v>
      </c>
      <c r="N151" s="2">
        <f t="shared" ca="1" si="15"/>
        <v>0.20838579311194494</v>
      </c>
      <c r="O151" s="2">
        <f t="shared" ca="1" si="15"/>
        <v>0.14795322664030297</v>
      </c>
      <c r="P151" s="2">
        <f t="shared" ca="1" si="15"/>
        <v>0.27829671193890781</v>
      </c>
      <c r="Q151" s="2">
        <f t="shared" ca="1" si="14"/>
        <v>0.98847342421342843</v>
      </c>
      <c r="R151" s="2">
        <f t="shared" ca="1" si="14"/>
        <v>0.24748294076019439</v>
      </c>
      <c r="S151" s="2">
        <f t="shared" ca="1" si="14"/>
        <v>0.86546737110791649</v>
      </c>
      <c r="T151" s="2">
        <f t="shared" ca="1" si="14"/>
        <v>0.4600278238219232</v>
      </c>
      <c r="U151" s="2">
        <f t="shared" ca="1" si="14"/>
        <v>0.2395046422279451</v>
      </c>
      <c r="V151" s="2">
        <f t="shared" ca="1" si="14"/>
        <v>6.9083650764600879E-3</v>
      </c>
      <c r="W151" s="2">
        <f t="shared" ca="1" si="14"/>
        <v>0.72786428930812053</v>
      </c>
      <c r="X151" s="2">
        <f t="shared" ca="1" si="14"/>
        <v>0.36424668865714094</v>
      </c>
      <c r="Y151" s="2">
        <f t="shared" ca="1" si="14"/>
        <v>0.4343570611651133</v>
      </c>
      <c r="Z151" s="2">
        <f t="shared" ca="1" si="14"/>
        <v>0.78883290607302237</v>
      </c>
      <c r="AA151" s="2">
        <f t="shared" ca="1" si="14"/>
        <v>7.1343634246117893E-2</v>
      </c>
      <c r="AB151" s="2">
        <f ca="1">D151*Sheet2!C$22/_xlfn.STDEV.S(D$122:D$151)</f>
        <v>1.9435800823640299</v>
      </c>
      <c r="AC151" s="2">
        <f ca="1">E151*Sheet2!D$22/_xlfn.STDEV.S(E$122:E$151)</f>
        <v>4.0714607920049852</v>
      </c>
      <c r="AD151" s="2">
        <f ca="1">F151*Sheet2!E$22/_xlfn.STDEV.S(F$122:F$151)</f>
        <v>5.829664335349011</v>
      </c>
      <c r="AE151" s="2">
        <f ca="1">G151*Sheet2!F$22/_xlfn.STDEV.S(G$122:G$151)</f>
        <v>5.500629563553681</v>
      </c>
      <c r="AF151" s="2">
        <f ca="1">H151*Sheet2!G$22/_xlfn.STDEV.S(H$122:H$151)</f>
        <v>25.176366084456795</v>
      </c>
      <c r="AG151" s="2">
        <f ca="1">I151*Sheet2!H$22/_xlfn.STDEV.S(I$122:I$151)</f>
        <v>8.9769478823831523</v>
      </c>
      <c r="AH151" s="2">
        <f ca="1">J151*Sheet2!I$22/_xlfn.STDEV.S(J$122:J$151)</f>
        <v>0.10503786698746596</v>
      </c>
      <c r="AI151" s="2">
        <f ca="1">K151*Sheet2!J$22/_xlfn.STDEV.S(K$122:K$151)</f>
        <v>2.8647571514130568</v>
      </c>
      <c r="AJ151" s="2">
        <f ca="1">L151*Sheet2!K$22/_xlfn.STDEV.S(L$122:L$151)</f>
        <v>0.21746029169818443</v>
      </c>
      <c r="AK151" s="2">
        <f ca="1">M151*Sheet2!L$22/_xlfn.STDEV.S(M$122:M$151)</f>
        <v>5.052978220939905</v>
      </c>
      <c r="AL151" s="2">
        <f ca="1">N151*Sheet2!M$22/_xlfn.STDEV.S(N$122:N$151)</f>
        <v>1.3551492725768846</v>
      </c>
      <c r="AM151" s="2">
        <f ca="1">O151*Sheet2!N$22/_xlfn.STDEV.S(O$122:O$151)</f>
        <v>0.28815250859977121</v>
      </c>
      <c r="AN151" s="2">
        <f ca="1">P151*Sheet2!O$22/_xlfn.STDEV.S(P$122:P$151)</f>
        <v>0.88780450608615724</v>
      </c>
      <c r="AO151" s="2">
        <f ca="1">Q151*Sheet2!P$22/_xlfn.STDEV.S(Q$122:Q$151)</f>
        <v>5.8888311476854103</v>
      </c>
      <c r="AP151" s="2">
        <f ca="1">R151*Sheet2!Q$22/_xlfn.STDEV.S(R$122:R$151)</f>
        <v>1.9616359134063028</v>
      </c>
      <c r="AQ151" s="2">
        <f ca="1">S151*Sheet2!R$22/_xlfn.STDEV.S(S$122:S$151)</f>
        <v>5.9498363426057059</v>
      </c>
      <c r="AR151" s="2">
        <f ca="1">T151*Sheet2!S$22/_xlfn.STDEV.S(T$122:T$151)</f>
        <v>1.817455688418439</v>
      </c>
      <c r="AS151" s="2">
        <f ca="1">U151*Sheet2!T$22/_xlfn.STDEV.S(U$122:U$151)</f>
        <v>0.6329048663811544</v>
      </c>
      <c r="AT151" s="2">
        <f ca="1">V151*Sheet2!U$22/_xlfn.STDEV.S(V$122:V$151)</f>
        <v>3.4325167986243833E-2</v>
      </c>
      <c r="AU151" s="2">
        <f ca="1">W151*Sheet2!V$22/_xlfn.STDEV.S(W$122:W$151)</f>
        <v>3.5887740604011249</v>
      </c>
      <c r="AV151" s="2">
        <f ca="1">X151*Sheet2!W$22/_xlfn.STDEV.S(X$122:X$151)</f>
        <v>1.5128383609921934</v>
      </c>
      <c r="AW151" s="2">
        <f ca="1">Y151*Sheet2!X$22/_xlfn.STDEV.S(Y$122:Y$151)</f>
        <v>1.8480558355376184</v>
      </c>
      <c r="AX151" s="2">
        <f ca="1">Z151*Sheet2!Y$22/_xlfn.STDEV.S(Z$122:Z$151)</f>
        <v>1.9201683055636576</v>
      </c>
      <c r="AY151" s="2">
        <f ca="1">AA151*Sheet2!Z$22/_xlfn.STDEV.S(AA$122:AA$151)</f>
        <v>0.13118860648172007</v>
      </c>
      <c r="AZ151" s="2">
        <f ca="1">AB151-AVERAGE(AB$122:AB$151)+Sheet2!C$21</f>
        <v>5.4235470552167708</v>
      </c>
      <c r="BA151" s="2">
        <f ca="1">AC151-AVERAGE(AC$122:AC$151)+Sheet2!D$21</f>
        <v>9.2597737540297231</v>
      </c>
      <c r="BB151" s="2">
        <f ca="1">AD151-AVERAGE(AD$122:AD$151)+Sheet2!E$21</f>
        <v>24.300524277330741</v>
      </c>
      <c r="BC151" s="2">
        <f ca="1">AE151-AVERAGE(AE$122:AE$151)+Sheet2!F$21</f>
        <v>2.7848341073673168</v>
      </c>
      <c r="BD151" s="2">
        <f ca="1">AF151-AVERAGE(AF$122:AF$151)+Sheet2!G$21</f>
        <v>50.433718131362838</v>
      </c>
      <c r="BE151" s="2">
        <f ca="1">AG151-AVERAGE(AG$122:AG$151)+Sheet2!H$21</f>
        <v>21.954475540167543</v>
      </c>
      <c r="BF151" s="2">
        <f ca="1">AH151-AVERAGE(AH$122:AH$151)+Sheet2!I$21</f>
        <v>9.2689531875462681</v>
      </c>
      <c r="BG151" s="2">
        <f ca="1">AI151-AVERAGE(AI$122:AI$151)+Sheet2!J$21</f>
        <v>28.963637062543981</v>
      </c>
      <c r="BH151" s="2">
        <f ca="1">AJ151-AVERAGE(AJ$122:AJ$151)+Sheet2!K$21</f>
        <v>16.992565165273103</v>
      </c>
      <c r="BI151" s="2">
        <f ca="1">AK151-AVERAGE(AK$122:AK$151)+Sheet2!L$21</f>
        <v>27.837166079794557</v>
      </c>
      <c r="BJ151" s="2">
        <f ca="1">AL151-AVERAGE(AL$122:AL$151)+Sheet2!M$21</f>
        <v>13.511209968392262</v>
      </c>
      <c r="BK151" s="2">
        <f ca="1">AM151-AVERAGE(AM$122:AM$151)+Sheet2!N$21</f>
        <v>7.2505762796310727</v>
      </c>
      <c r="BL151" s="2">
        <f ca="1">AN151-AVERAGE(AN$122:AN$151)+Sheet2!O$21</f>
        <v>7.6375354396481674</v>
      </c>
      <c r="BM151" s="2">
        <f ca="1">AO151-AVERAGE(AO$122:AO$151)+Sheet2!P$21</f>
        <v>21.713561067634778</v>
      </c>
      <c r="BN151" s="2">
        <f ca="1">AP151-AVERAGE(AP$122:AP$151)+Sheet2!Q$21</f>
        <v>19.246662752859844</v>
      </c>
      <c r="BO151" s="2">
        <f ca="1">AQ151-AVERAGE(AQ$122:AQ$151)+Sheet2!R$21</f>
        <v>8.8036074301847194</v>
      </c>
      <c r="BP151" s="2">
        <f ca="1">AR151-AVERAGE(AR$122:AR$151)+Sheet2!S$21</f>
        <v>5.0156307834631813</v>
      </c>
      <c r="BQ151" s="2">
        <f ca="1">AS151-AVERAGE(AS$122:AS$151)+Sheet2!T$21</f>
        <v>8.1608054578741882</v>
      </c>
      <c r="BR151" s="2">
        <f ca="1">AT151-AVERAGE(AT$122:AT$151)+Sheet2!U$21</f>
        <v>20.986407445352665</v>
      </c>
      <c r="BS151" s="2">
        <f ca="1">AU151-AVERAGE(AU$122:AU$151)+Sheet2!V$21</f>
        <v>23.369889282408295</v>
      </c>
      <c r="BT151" s="2">
        <f ca="1">AV151-AVERAGE(AV$122:AV$151)+Sheet2!W$21</f>
        <v>32.043528535690747</v>
      </c>
      <c r="BU151" s="2">
        <f ca="1">AW151-AVERAGE(AW$122:AW$151)+Sheet2!X$21</f>
        <v>20.064194724382919</v>
      </c>
      <c r="BV151" s="2">
        <f ca="1">AX151-AVERAGE(AX$122:AX$151)+Sheet2!Y$21</f>
        <v>14.930687617669291</v>
      </c>
      <c r="BW151" s="2">
        <f ca="1">AY151-AVERAGE(AY$122:AY$151)+Sheet2!Z$21</f>
        <v>9.8399059784378924</v>
      </c>
      <c r="BZ151" s="2">
        <f ca="1">BA151-AVERAGE(AH$122:AH$151)+Sheet2!AB$21</f>
        <v>8.4783181089898232</v>
      </c>
      <c r="CA151" s="2">
        <f ca="1">BB151-AVERAGE(AI$122:AI$151)+Sheet2!AC$21</f>
        <v>21.679741003757687</v>
      </c>
      <c r="CB151" s="2">
        <f ca="1">BC151-AVERAGE(AJ$122:AJ$151)+Sheet2!AD$21</f>
        <v>0.99773595421846917</v>
      </c>
      <c r="CC151" s="2">
        <f ca="1">BD151-AVERAGE(AK$122:AK$151)+Sheet2!AE$21</f>
        <v>47.072535024618787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6FA1-6C2C-4B74-BA78-385C672CC2E0}">
  <dimension ref="A1:CS151"/>
  <sheetViews>
    <sheetView tabSelected="1" topLeftCell="AS1" workbookViewId="0">
      <selection activeCell="X2" sqref="A2:X151"/>
    </sheetView>
  </sheetViews>
  <sheetFormatPr defaultColWidth="9.109375" defaultRowHeight="14.4" x14ac:dyDescent="0.3"/>
  <cols>
    <col min="1" max="24" width="9.109375" style="8"/>
    <col min="25" max="48" width="9.109375" style="5"/>
    <col min="49" max="49" width="9.109375" style="6"/>
    <col min="50" max="73" width="9.109375" style="7"/>
    <col min="74" max="16384" width="9.109375" style="5"/>
  </cols>
  <sheetData>
    <row r="1" spans="1:97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P1" s="8" t="s">
        <v>76</v>
      </c>
      <c r="Q1" s="8" t="s">
        <v>77</v>
      </c>
      <c r="R1" s="8" t="s">
        <v>78</v>
      </c>
      <c r="S1" s="8" t="s">
        <v>79</v>
      </c>
      <c r="T1" s="8" t="s">
        <v>80</v>
      </c>
      <c r="U1" s="8" t="s">
        <v>81</v>
      </c>
      <c r="V1" s="8" t="s">
        <v>82</v>
      </c>
      <c r="W1" s="8" t="s">
        <v>83</v>
      </c>
      <c r="X1" s="8" t="s">
        <v>84</v>
      </c>
      <c r="Y1" s="5" t="s">
        <v>61</v>
      </c>
      <c r="Z1" s="5" t="s">
        <v>62</v>
      </c>
      <c r="AA1" s="5" t="s">
        <v>63</v>
      </c>
      <c r="AB1" s="5" t="s">
        <v>64</v>
      </c>
      <c r="AC1" s="5" t="s">
        <v>65</v>
      </c>
      <c r="AD1" s="5" t="s">
        <v>66</v>
      </c>
      <c r="AE1" s="5" t="s">
        <v>67</v>
      </c>
      <c r="AF1" s="5" t="s">
        <v>68</v>
      </c>
      <c r="AG1" s="5" t="s">
        <v>69</v>
      </c>
      <c r="AH1" s="5" t="s">
        <v>70</v>
      </c>
      <c r="AI1" s="5" t="s">
        <v>71</v>
      </c>
      <c r="AJ1" s="5" t="s">
        <v>72</v>
      </c>
      <c r="AK1" s="5" t="s">
        <v>73</v>
      </c>
      <c r="AL1" s="5" t="s">
        <v>74</v>
      </c>
      <c r="AM1" s="5" t="s">
        <v>75</v>
      </c>
      <c r="AN1" s="5" t="s">
        <v>76</v>
      </c>
      <c r="AO1" s="5" t="s">
        <v>77</v>
      </c>
      <c r="AP1" s="5" t="s">
        <v>78</v>
      </c>
      <c r="AQ1" s="5" t="s">
        <v>79</v>
      </c>
      <c r="AR1" s="5" t="s">
        <v>80</v>
      </c>
      <c r="AS1" s="5" t="s">
        <v>81</v>
      </c>
      <c r="AT1" s="5" t="s">
        <v>82</v>
      </c>
      <c r="AU1" s="5" t="s">
        <v>83</v>
      </c>
      <c r="AV1" s="5" t="s">
        <v>84</v>
      </c>
      <c r="AX1" s="7" t="s">
        <v>61</v>
      </c>
      <c r="AY1" s="7" t="s">
        <v>62</v>
      </c>
      <c r="AZ1" s="7" t="s">
        <v>63</v>
      </c>
      <c r="BA1" s="7" t="s">
        <v>64</v>
      </c>
      <c r="BB1" s="7" t="s">
        <v>65</v>
      </c>
      <c r="BC1" s="7" t="s">
        <v>66</v>
      </c>
      <c r="BD1" s="7" t="s">
        <v>67</v>
      </c>
      <c r="BE1" s="7" t="s">
        <v>68</v>
      </c>
      <c r="BF1" s="7" t="s">
        <v>69</v>
      </c>
      <c r="BG1" s="7" t="s">
        <v>70</v>
      </c>
      <c r="BH1" s="7" t="s">
        <v>71</v>
      </c>
      <c r="BI1" s="7" t="s">
        <v>72</v>
      </c>
      <c r="BJ1" s="7" t="s">
        <v>73</v>
      </c>
      <c r="BK1" s="7" t="s">
        <v>74</v>
      </c>
      <c r="BL1" s="7" t="s">
        <v>75</v>
      </c>
      <c r="BM1" s="7" t="s">
        <v>76</v>
      </c>
      <c r="BN1" s="7" t="s">
        <v>77</v>
      </c>
      <c r="BO1" s="7" t="s">
        <v>78</v>
      </c>
      <c r="BP1" s="7" t="s">
        <v>79</v>
      </c>
      <c r="BQ1" s="7" t="s">
        <v>80</v>
      </c>
      <c r="BR1" s="7" t="s">
        <v>81</v>
      </c>
      <c r="BS1" s="7" t="s">
        <v>82</v>
      </c>
      <c r="BT1" s="7" t="s">
        <v>83</v>
      </c>
      <c r="BU1" s="7" t="s">
        <v>84</v>
      </c>
    </row>
    <row r="2" spans="1:97" x14ac:dyDescent="0.3">
      <c r="A2" s="8" cm="1">
        <f t="array" aca="1" ref="A2" ca="1">[1]!UNIFORM_INV(RAND(),Sheet2!C$13-SQRT(3)*Sheet2!C$14,Sheet2!C$13+SQRT(3)*Sheet2!C$14)</f>
        <v>4.0650905055091968</v>
      </c>
      <c r="B2" s="8" cm="1">
        <f t="array" aca="1" ref="B2" ca="1">[1]!UNIFORM_INV(RAND(),Sheet2!D$13-SQRT(3)*Sheet2!D$14,Sheet2!D$13+SQRT(3)*Sheet2!D$14)</f>
        <v>9.5461670305103965</v>
      </c>
      <c r="C2" s="8" cm="1">
        <f t="array" aca="1" ref="C2" ca="1">[1]!UNIFORM_INV(RAND(),Sheet2!E$13-SQRT(3)*Sheet2!E$14,Sheet2!E$13+SQRT(3)*Sheet2!E$14)</f>
        <v>20.193347854421265</v>
      </c>
      <c r="D2" s="8" cm="1">
        <f t="array" aca="1" ref="D2" ca="1">[1]!UNIFORM_INV(RAND(),Sheet2!F$13-SQRT(3)*Sheet2!F$14,Sheet2!F$13+SQRT(3)*Sheet2!F$14)</f>
        <v>21.170883110268495</v>
      </c>
      <c r="E2" s="8" cm="1">
        <f t="array" aca="1" ref="E2" ca="1">[1]!UNIFORM_INV(RAND(),Sheet2!G$13-SQRT(3)*Sheet2!G$14,Sheet2!G$13+SQRT(3)*Sheet2!G$14)</f>
        <v>17.03107123903462</v>
      </c>
      <c r="F2" s="8" cm="1">
        <f t="array" aca="1" ref="F2" ca="1">[1]!UNIFORM_INV(RAND(),Sheet2!H$13-SQRT(3)*Sheet2!H$14,Sheet2!H$13+SQRT(3)*Sheet2!H$14)</f>
        <v>24.594930497162732</v>
      </c>
      <c r="G2" s="8" cm="1">
        <f t="array" aca="1" ref="G2" ca="1">[1]!UNIFORM_INV(RAND(),Sheet2!I$13-SQRT(3)*Sheet2!I$14,Sheet2!I$13+SQRT(3)*Sheet2!I$14)</f>
        <v>11.283134791041423</v>
      </c>
      <c r="H2" s="8" cm="1">
        <f t="array" aca="1" ref="H2" ca="1">[1]!UNIFORM_INV(RAND(),Sheet2!J$13-SQRT(3)*Sheet2!J$14,Sheet2!J$13+SQRT(3)*Sheet2!J$14)</f>
        <v>20.314383727854825</v>
      </c>
      <c r="I2" s="8" cm="1">
        <f t="array" aca="1" ref="I2" ca="1">[1]!UNIFORM_INV(RAND(),Sheet2!K$13-SQRT(3)*Sheet2!K$14,Sheet2!K$13+SQRT(3)*Sheet2!K$14)</f>
        <v>26.391136201583471</v>
      </c>
      <c r="J2" s="8" cm="1">
        <f t="array" aca="1" ref="J2" ca="1">[1]!UNIFORM_INV(RAND(),Sheet2!L$13-SQRT(3)*Sheet2!L$14,Sheet2!L$13+SQRT(3)*Sheet2!L$14)</f>
        <v>20.067818673472708</v>
      </c>
      <c r="K2" s="8" cm="1">
        <f t="array" aca="1" ref="K2" ca="1">[1]!UNIFORM_INV(RAND(),Sheet2!M$13-SQRT(3)*Sheet2!M$14,Sheet2!M$13+SQRT(3)*Sheet2!M$14)</f>
        <v>21.273880147873491</v>
      </c>
      <c r="L2" s="8" cm="1">
        <f t="array" aca="1" ref="L2" ca="1">[1]!UNIFORM_INV(RAND(),Sheet2!N$13-SQRT(3)*Sheet2!N$14,Sheet2!N$13+SQRT(3)*Sheet2!N$14)</f>
        <v>8.7056420253762354</v>
      </c>
      <c r="M2" s="8" cm="1">
        <f t="array" aca="1" ref="M2" ca="1">[1]!UNIFORM_INV(RAND(),Sheet2!O$13-SQRT(3)*Sheet2!O$14,Sheet2!O$13+SQRT(3)*Sheet2!O$14)</f>
        <v>4.893514908394093</v>
      </c>
      <c r="N2" s="8" cm="1">
        <f t="array" aca="1" ref="N2" ca="1">[1]!UNIFORM_INV(RAND(),Sheet2!P$13-SQRT(3)*Sheet2!P$14,Sheet2!P$13+SQRT(3)*Sheet2!P$14)</f>
        <v>19.38675175960535</v>
      </c>
      <c r="O2" s="8" cm="1">
        <f t="array" aca="1" ref="O2" ca="1">[1]!UNIFORM_INV(RAND(),Sheet2!Q$13-SQRT(3)*Sheet2!Q$14,Sheet2!Q$13+SQRT(3)*Sheet2!Q$14)</f>
        <v>15.510004182553168</v>
      </c>
      <c r="P2" s="8" cm="1">
        <f t="array" aca="1" ref="P2" ca="1">[1]!UNIFORM_INV(RAND(),Sheet2!R$13-SQRT(3)*Sheet2!R$14,Sheet2!R$13+SQRT(3)*Sheet2!R$14)</f>
        <v>8.4466146874748667</v>
      </c>
      <c r="Q2" s="8" cm="1">
        <f t="array" aca="1" ref="Q2" ca="1">[1]!UNIFORM_INV(RAND(),Sheet2!S$13-SQRT(3)*Sheet2!S$14,Sheet2!S$13+SQRT(3)*Sheet2!S$14)</f>
        <v>3.9541164524012871</v>
      </c>
      <c r="R2" s="8" cm="1">
        <f t="array" aca="1" ref="R2" ca="1">[1]!UNIFORM_INV(RAND(),Sheet2!T$13-SQRT(3)*Sheet2!T$14,Sheet2!T$13+SQRT(3)*Sheet2!T$14)</f>
        <v>12.440608955677028</v>
      </c>
      <c r="S2" s="8" cm="1">
        <f t="array" aca="1" ref="S2" ca="1">[1]!UNIFORM_INV(RAND(),Sheet2!U$13-SQRT(3)*Sheet2!U$14,Sheet2!U$13+SQRT(3)*Sheet2!U$14)</f>
        <v>23.256394825303374</v>
      </c>
      <c r="T2" s="8" cm="1">
        <f t="array" aca="1" ref="T2" ca="1">[1]!UNIFORM_INV(RAND(),Sheet2!V$13-SQRT(3)*Sheet2!V$14,Sheet2!V$13+SQRT(3)*Sheet2!V$14)</f>
        <v>25.649072144842055</v>
      </c>
      <c r="U2" s="8" cm="1">
        <f t="array" aca="1" ref="U2" ca="1">[1]!UNIFORM_INV(RAND(),Sheet2!W$13-SQRT(3)*Sheet2!W$14,Sheet2!W$13+SQRT(3)*Sheet2!W$14)</f>
        <v>24.011883388450421</v>
      </c>
      <c r="V2" s="8" cm="1">
        <f t="array" aca="1" ref="V2" ca="1">[1]!UNIFORM_INV(RAND(),Sheet2!X$13-SQRT(3)*Sheet2!X$14,Sheet2!X$13+SQRT(3)*Sheet2!X$14)</f>
        <v>22.142061571174914</v>
      </c>
      <c r="W2" s="8" cm="1">
        <f t="array" aca="1" ref="W2" ca="1">[1]!UNIFORM_INV(RAND(),Sheet2!Y$13-SQRT(3)*Sheet2!Y$14,Sheet2!Y$13+SQRT(3)*Sheet2!Y$14)</f>
        <v>20.389723098662863</v>
      </c>
      <c r="X2" s="8" t="e" cm="1">
        <f t="array" aca="1" ref="X2" ca="1">F2UNIFORM_INV(RAND(),Sheet2!Z$13-SQRT(3)*Sheet2!Z$14,Sheet2!Z$13+SQRT(3)*Sheet2!Z$14)</f>
        <v>#NAME?</v>
      </c>
      <c r="Y2" s="5">
        <f ca="1">AVERAGE(A2:A31)</f>
        <v>3.2303905173933596</v>
      </c>
      <c r="Z2" s="5">
        <f t="shared" ref="Z2:AQ2" ca="1" si="0">AVERAGE(B2:B31)</f>
        <v>6.9753455124714945</v>
      </c>
      <c r="AA2" s="5">
        <f t="shared" ca="1" si="0"/>
        <v>18.457476578945066</v>
      </c>
      <c r="AB2" s="5">
        <f t="shared" ca="1" si="0"/>
        <v>21.122323212015154</v>
      </c>
      <c r="AC2" s="5">
        <f t="shared" ca="1" si="0"/>
        <v>19.365769779538553</v>
      </c>
      <c r="AD2" s="5">
        <f t="shared" ca="1" si="0"/>
        <v>28.299666290636939</v>
      </c>
      <c r="AE2" s="5">
        <f t="shared" ca="1" si="0"/>
        <v>11.933001241893155</v>
      </c>
      <c r="AF2" s="5">
        <f t="shared" ca="1" si="0"/>
        <v>19.885590278501251</v>
      </c>
      <c r="AG2" s="5">
        <f t="shared" ca="1" si="0"/>
        <v>28.597484815622515</v>
      </c>
      <c r="AH2" s="5">
        <f t="shared" ca="1" si="0"/>
        <v>19.575365459174737</v>
      </c>
      <c r="AI2" s="5">
        <f t="shared" ca="1" si="0"/>
        <v>20.126542370626971</v>
      </c>
      <c r="AJ2" s="5">
        <f t="shared" ca="1" si="0"/>
        <v>8.8069065252294099</v>
      </c>
      <c r="AK2" s="5">
        <f t="shared" ca="1" si="0"/>
        <v>6.077046784916206</v>
      </c>
      <c r="AL2" s="5">
        <f t="shared" ca="1" si="0"/>
        <v>22.208915575170565</v>
      </c>
      <c r="AM2" s="5">
        <f t="shared" ca="1" si="0"/>
        <v>13.118182658310731</v>
      </c>
      <c r="AN2" s="5">
        <f t="shared" ca="1" si="0"/>
        <v>9.6173427423200035</v>
      </c>
      <c r="AO2" s="5">
        <f t="shared" ca="1" si="0"/>
        <v>3.7535604630282497</v>
      </c>
      <c r="AP2" s="5">
        <f t="shared" ca="1" si="0"/>
        <v>12.110120859033437</v>
      </c>
      <c r="AQ2" s="5">
        <f t="shared" ca="1" si="0"/>
        <v>23.500061717683941</v>
      </c>
      <c r="AR2" s="5">
        <f ca="1">AVERAGE(T2:T31)</f>
        <v>24.553894597540843</v>
      </c>
      <c r="AS2" s="5">
        <f ca="1">AVERAGE(U2:U31)</f>
        <v>24.654021767022972</v>
      </c>
      <c r="AT2" s="5">
        <f t="shared" ref="AT2" ca="1" si="1">AVERAGE(V2:V31)</f>
        <v>21.333313645543161</v>
      </c>
      <c r="AU2" s="5">
        <f ca="1">AVERAGE(W2:W31)</f>
        <v>21.998669598522991</v>
      </c>
      <c r="AV2" s="5" t="e">
        <f t="shared" ref="AV2" ca="1" si="2">AVERAGE(X2:X31)</f>
        <v>#NAME?</v>
      </c>
      <c r="AX2" s="7">
        <f ca="1">Sheet2!C$13+('RNG HERE'!A2-'RNG HERE'!Y$2)*Sheet2!C$14/'RNG HERE'!Y$3</f>
        <v>4.0185368940876902</v>
      </c>
      <c r="AY2" s="7">
        <f ca="1">Sheet2!D$13+('RNG HERE'!B2-'RNG HERE'!Z$2)*Sheet2!D$14/'RNG HERE'!Z$3</f>
        <v>9.3643420654468184</v>
      </c>
      <c r="AZ2" s="7">
        <f ca="1">Sheet2!E$13+('RNG HERE'!C2-'RNG HERE'!AA$2)*Sheet2!E$14/'RNG HERE'!AA$3</f>
        <v>20.615035147453995</v>
      </c>
      <c r="BA2" s="7">
        <f ca="1">Sheet2!F$13+('RNG HERE'!D2-'RNG HERE'!AB$2)*Sheet2!F$14/'RNG HERE'!AB$3</f>
        <v>21.355591542060477</v>
      </c>
      <c r="BB2" s="7">
        <f ca="1">Sheet2!G$13+('RNG HERE'!E2-'RNG HERE'!AC$2)*Sheet2!G$14/'RNG HERE'!AC$3</f>
        <v>16.994361339917059</v>
      </c>
      <c r="BC2" s="7">
        <f ca="1">Sheet2!H$13+('RNG HERE'!F2-'RNG HERE'!AD$2)*Sheet2!H$14/'RNG HERE'!AD$3</f>
        <v>24.953998958017568</v>
      </c>
      <c r="BD2" s="7">
        <f ca="1">Sheet2!I$13+('RNG HERE'!G2-'RNG HERE'!AE$2)*Sheet2!I$14/'RNG HERE'!AE$3</f>
        <v>11.38978705145326</v>
      </c>
      <c r="BE2" s="7">
        <f ca="1">Sheet2!J$13+('RNG HERE'!H2-'RNG HERE'!AF$2)*Sheet2!J$14/'RNG HERE'!AF$3</f>
        <v>20.266921065544409</v>
      </c>
      <c r="BF2" s="7">
        <f ca="1">Sheet2!K$13+('RNG HERE'!I2-'RNG HERE'!AG$2)*Sheet2!K$14/'RNG HERE'!AG$3</f>
        <v>26.399927962183529</v>
      </c>
      <c r="BG2" s="7">
        <f ca="1">Sheet2!L$13+('RNG HERE'!J2-'RNG HERE'!AH$2)*Sheet2!L$14/'RNG HERE'!AH$3</f>
        <v>20.01677968839909</v>
      </c>
      <c r="BH2" s="7">
        <f ca="1">Sheet2!M$13+('RNG HERE'!K2-'RNG HERE'!AI$2)*Sheet2!M$14/'RNG HERE'!AI$3</f>
        <v>21.434978196325066</v>
      </c>
      <c r="BI2" s="7">
        <f ca="1">Sheet2!N$13+('RNG HERE'!L2-'RNG HERE'!AJ$2)*Sheet2!N$14/'RNG HERE'!AJ$3</f>
        <v>8.3914257008229409</v>
      </c>
      <c r="BJ2" s="7">
        <f ca="1">Sheet2!O$13+('RNG HERE'!M2-'RNG HERE'!AK$2)*Sheet2!O$14/'RNG HERE'!AK$3</f>
        <v>4.8287812833066139</v>
      </c>
      <c r="BK2" s="7">
        <f ca="1">Sheet2!P$13+('RNG HERE'!N2-'RNG HERE'!AL$2)*Sheet2!P$14/'RNG HERE'!AL$3</f>
        <v>19.093047154580702</v>
      </c>
      <c r="BL2" s="7">
        <f ca="1">Sheet2!Q$13+('RNG HERE'!O2-'RNG HERE'!AM$2)*Sheet2!Q$14/'RNG HERE'!AM$3</f>
        <v>15.526819936965747</v>
      </c>
      <c r="BM2" s="7">
        <f ca="1">Sheet2!R$13+('RNG HERE'!P2-'RNG HERE'!AN$2)*Sheet2!R$14/'RNG HERE'!AN$3</f>
        <v>8.4606312558725314</v>
      </c>
      <c r="BN2" s="7">
        <f ca="1">Sheet2!S$13+('RNG HERE'!Q2-'RNG HERE'!AO$2)*Sheet2!S$14/'RNG HERE'!AO$3</f>
        <v>3.9808233750578221</v>
      </c>
      <c r="BO2" s="7">
        <f ca="1">Sheet2!T$13+('RNG HERE'!R2-'RNG HERE'!AP$2)*Sheet2!T$14/'RNG HERE'!AP$3</f>
        <v>13.103346400667162</v>
      </c>
      <c r="BP2" s="7">
        <f ca="1">Sheet2!U$13+('RNG HERE'!S2-'RNG HERE'!AQ$2)*Sheet2!U$14/'RNG HERE'!AQ$3</f>
        <v>23.463744834341838</v>
      </c>
      <c r="BQ2" s="7">
        <f ca="1">Sheet2!V$13+('RNG HERE'!T2-'RNG HERE'!AR$2)*Sheet2!V$14/'RNG HERE'!AR$3</f>
        <v>25.273583715643348</v>
      </c>
      <c r="BR2" s="7">
        <f ca="1">Sheet2!W$13+('RNG HERE'!U2-'RNG HERE'!AS$2)*Sheet2!W$14/'RNG HERE'!AS$3</f>
        <v>24.05897953298707</v>
      </c>
      <c r="BS2" s="7">
        <f ca="1">Sheet2!X$13+('RNG HERE'!V2-'RNG HERE'!AT$2)*Sheet2!X$14/'RNG HERE'!AT$3</f>
        <v>22.476811099257805</v>
      </c>
      <c r="BT2" s="7">
        <f ca="1">Sheet2!Y$13+('RNG HERE'!W2-'RNG HERE'!AU$2)*Sheet2!Y$14/'RNG HERE'!AU$3</f>
        <v>19.992569172679787</v>
      </c>
      <c r="BU2" s="7" t="e">
        <f ca="1">Sheet2!Z$13+('RNG HERE'!X2-'RNG HERE'!AV$2)*Sheet2!Z$14/'RNG HERE'!AV$3</f>
        <v>#NAME?</v>
      </c>
      <c r="BV2" s="5">
        <f ca="1">AVERAGE(AX2:AX31)</f>
        <v>3.2</v>
      </c>
      <c r="BW2" s="5">
        <f t="shared" ref="BW2" ca="1" si="3">AVERAGE(AY2:AY31)</f>
        <v>6.799999999999998</v>
      </c>
      <c r="BX2" s="5">
        <f t="shared" ref="BX2" ca="1" si="4">AVERAGE(AZ2:AZ31)</f>
        <v>18.699999999999996</v>
      </c>
      <c r="BY2" s="5">
        <f t="shared" ref="BY2" ca="1" si="5">AVERAGE(BA2:BA31)</f>
        <v>21.300000000000008</v>
      </c>
      <c r="BZ2" s="5">
        <f t="shared" ref="BZ2" ca="1" si="6">AVERAGE(BB2:BB31)</f>
        <v>19.399999999999995</v>
      </c>
      <c r="CA2" s="5">
        <f t="shared" ref="CA2" ca="1" si="7">AVERAGE(BC2:BC31)</f>
        <v>28.800000000000004</v>
      </c>
      <c r="CB2" s="5">
        <f t="shared" ref="CB2" ca="1" si="8">AVERAGE(BD2:BD31)</f>
        <v>11.999999999999996</v>
      </c>
      <c r="CC2" s="5">
        <f t="shared" ref="CC2" ca="1" si="9">AVERAGE(BE2:BE31)</f>
        <v>19.800000000000004</v>
      </c>
      <c r="CD2" s="5">
        <f t="shared" ref="CD2" ca="1" si="10">AVERAGE(BF2:BF31)</f>
        <v>28.4</v>
      </c>
      <c r="CE2" s="5">
        <f t="shared" ref="CE2" ca="1" si="11">AVERAGE(BG2:BG31)</f>
        <v>19.499999999999996</v>
      </c>
      <c r="CF2" s="5">
        <f t="shared" ref="CF2" ca="1" si="12">AVERAGE(BH2:BH31)</f>
        <v>20.300000000000004</v>
      </c>
      <c r="CG2" s="5">
        <f t="shared" ref="CG2" ca="1" si="13">AVERAGE(BI2:BI31)</f>
        <v>8.5</v>
      </c>
      <c r="CH2" s="5">
        <f t="shared" ref="CH2" ca="1" si="14">AVERAGE(BJ2:BJ31)</f>
        <v>6.1000000000000032</v>
      </c>
      <c r="CI2" s="5">
        <f t="shared" ref="CI2" ca="1" si="15">AVERAGE(BK2:BK31)</f>
        <v>22.099999999999998</v>
      </c>
      <c r="CJ2" s="5">
        <f t="shared" ref="CJ2" ca="1" si="16">AVERAGE(BL2:BL31)</f>
        <v>13.300000000000008</v>
      </c>
      <c r="CK2" s="5">
        <f t="shared" ref="CK2" ca="1" si="17">AVERAGE(BM2:BM31)</f>
        <v>9.6999999999999993</v>
      </c>
      <c r="CL2" s="5">
        <f t="shared" ref="CL2" ca="1" si="18">AVERAGE(BN2:BN31)</f>
        <v>3.8</v>
      </c>
      <c r="CM2" s="5">
        <f t="shared" ref="CM2" ca="1" si="19">AVERAGE(BO2:BO31)</f>
        <v>12.699999999999994</v>
      </c>
      <c r="CN2" s="5">
        <f t="shared" ref="CN2" ca="1" si="20">AVERAGE(BP2:BP31)</f>
        <v>23.7</v>
      </c>
      <c r="CO2" s="5">
        <f ca="1">AVERAGE(BQ2:BQ31)</f>
        <v>24.100000000000005</v>
      </c>
      <c r="CP2" s="5">
        <f ca="1">AVERAGE(BR2:BR31)</f>
        <v>24.7</v>
      </c>
      <c r="CQ2" s="5">
        <f t="shared" ref="CQ2" ca="1" si="21">AVERAGE(BS2:BS31)</f>
        <v>21.499999999999993</v>
      </c>
      <c r="CR2" s="5">
        <f ca="1">AVERAGE(BT2:BT31)</f>
        <v>21.699999999999996</v>
      </c>
      <c r="CS2" s="5" t="e">
        <f t="shared" ref="CS2" ca="1" si="22">AVERAGE(BU2:BU31)</f>
        <v>#NAME?</v>
      </c>
    </row>
    <row r="3" spans="1:97" x14ac:dyDescent="0.3">
      <c r="A3" s="8" cm="1">
        <f t="array" aca="1" ref="A3" ca="1">[1]!UNIFORM_INV(RAND(),Sheet2!C$13-SQRT(3)*Sheet2!C$14,Sheet2!C$13+SQRT(3)*Sheet2!C$14)</f>
        <v>3.8121925863131803</v>
      </c>
      <c r="B3" s="8" cm="1">
        <f t="array" aca="1" ref="B3" ca="1">[1]!UNIFORM_INV(RAND(),Sheet2!D$13-SQRT(3)*Sheet2!D$14,Sheet2!D$13+SQRT(3)*Sheet2!D$14)</f>
        <v>4.8628457096321416</v>
      </c>
      <c r="C3" s="8" cm="1">
        <f t="array" aca="1" ref="C3" ca="1">[1]!UNIFORM_INV(RAND(),Sheet2!E$13-SQRT(3)*Sheet2!E$14,Sheet2!E$13+SQRT(3)*Sheet2!E$14)</f>
        <v>16.692078968838242</v>
      </c>
      <c r="D3" s="8" cm="1">
        <f t="array" aca="1" ref="D3" ca="1">[1]!UNIFORM_INV(RAND(),Sheet2!F$13-SQRT(3)*Sheet2!F$14,Sheet2!F$13+SQRT(3)*Sheet2!F$14)</f>
        <v>22.701368169733289</v>
      </c>
      <c r="E3" s="8" cm="1">
        <f t="array" aca="1" ref="E3" ca="1">[1]!UNIFORM_INV(RAND(),Sheet2!G$13-SQRT(3)*Sheet2!G$14,Sheet2!G$13+SQRT(3)*Sheet2!G$14)</f>
        <v>21.251343416904781</v>
      </c>
      <c r="F3" s="8" cm="1">
        <f t="array" aca="1" ref="F3" ca="1">[1]!UNIFORM_INV(RAND(),Sheet2!H$13-SQRT(3)*Sheet2!H$14,Sheet2!H$13+SQRT(3)*Sheet2!H$14)</f>
        <v>33.022379565413573</v>
      </c>
      <c r="G3" s="8" cm="1">
        <f t="array" aca="1" ref="G3" ca="1">[1]!UNIFORM_INV(RAND(),Sheet2!I$13-SQRT(3)*Sheet2!I$14,Sheet2!I$13+SQRT(3)*Sheet2!I$14)</f>
        <v>11.530851852864586</v>
      </c>
      <c r="H3" s="8" cm="1">
        <f t="array" aca="1" ref="H3" ca="1">[1]!UNIFORM_INV(RAND(),Sheet2!J$13-SQRT(3)*Sheet2!J$14,Sheet2!J$13+SQRT(3)*Sheet2!J$14)</f>
        <v>21.104798752804349</v>
      </c>
      <c r="I3" s="8" cm="1">
        <f t="array" aca="1" ref="I3" ca="1">[1]!UNIFORM_INV(RAND(),Sheet2!K$13-SQRT(3)*Sheet2!K$14,Sheet2!K$13+SQRT(3)*Sheet2!K$14)</f>
        <v>26.111851855236804</v>
      </c>
      <c r="J3" s="8" cm="1">
        <f t="array" aca="1" ref="J3" ca="1">[1]!UNIFORM_INV(RAND(),Sheet2!L$13-SQRT(3)*Sheet2!L$14,Sheet2!L$13+SQRT(3)*Sheet2!L$14)</f>
        <v>19.365662682086725</v>
      </c>
      <c r="K3" s="8" cm="1">
        <f t="array" aca="1" ref="K3" ca="1">[1]!UNIFORM_INV(RAND(),Sheet2!M$13-SQRT(3)*Sheet2!M$14,Sheet2!M$13+SQRT(3)*Sheet2!M$14)</f>
        <v>20.430033202735341</v>
      </c>
      <c r="L3" s="8" cm="1">
        <f t="array" aca="1" ref="L3" ca="1">[1]!UNIFORM_INV(RAND(),Sheet2!N$13-SQRT(3)*Sheet2!N$14,Sheet2!N$13+SQRT(3)*Sheet2!N$14)</f>
        <v>8.361383050465399</v>
      </c>
      <c r="M3" s="8" cm="1">
        <f t="array" aca="1" ref="M3" ca="1">[1]!UNIFORM_INV(RAND(),Sheet2!O$13-SQRT(3)*Sheet2!O$14,Sheet2!O$13+SQRT(3)*Sheet2!O$14)</f>
        <v>6.2824474162426842</v>
      </c>
      <c r="N3" s="8" cm="1">
        <f t="array" aca="1" ref="N3" ca="1">[1]!UNIFORM_INV(RAND(),Sheet2!P$13-SQRT(3)*Sheet2!P$14,Sheet2!P$13+SQRT(3)*Sheet2!P$14)</f>
        <v>19.926316387205794</v>
      </c>
      <c r="O3" s="8" cm="1">
        <f t="array" aca="1" ref="O3" ca="1">[1]!UNIFORM_INV(RAND(),Sheet2!Q$13-SQRT(3)*Sheet2!Q$14,Sheet2!Q$13+SQRT(3)*Sheet2!Q$14)</f>
        <v>13.655873885545111</v>
      </c>
      <c r="P3" s="8" cm="1">
        <f t="array" aca="1" ref="P3" ca="1">[1]!UNIFORM_INV(RAND(),Sheet2!R$13-SQRT(3)*Sheet2!R$14,Sheet2!R$13+SQRT(3)*Sheet2!R$14)</f>
        <v>8.1090925026840406</v>
      </c>
      <c r="Q3" s="8" cm="1">
        <f t="array" aca="1" ref="Q3" ca="1">[1]!UNIFORM_INV(RAND(),Sheet2!S$13-SQRT(3)*Sheet2!S$14,Sheet2!S$13+SQRT(3)*Sheet2!S$14)</f>
        <v>3.6244963161159687</v>
      </c>
      <c r="R3" s="8" cm="1">
        <f t="array" aca="1" ref="R3" ca="1">[1]!UNIFORM_INV(RAND(),Sheet2!T$13-SQRT(3)*Sheet2!T$14,Sheet2!T$13+SQRT(3)*Sheet2!T$14)</f>
        <v>11.630678540058749</v>
      </c>
      <c r="S3" s="8" cm="1">
        <f t="array" aca="1" ref="S3" ca="1">[1]!UNIFORM_INV(RAND(),Sheet2!U$13-SQRT(3)*Sheet2!U$14,Sheet2!U$13+SQRT(3)*Sheet2!U$14)</f>
        <v>22.629379781387392</v>
      </c>
      <c r="T3" s="8" cm="1">
        <f t="array" aca="1" ref="T3" ca="1">[1]!UNIFORM_INV(RAND(),Sheet2!V$13-SQRT(3)*Sheet2!V$14,Sheet2!V$13+SQRT(3)*Sheet2!V$14)</f>
        <v>23.176957983486183</v>
      </c>
      <c r="U3" s="8" cm="1">
        <f t="array" aca="1" ref="U3" ca="1">[1]!UNIFORM_INV(RAND(),Sheet2!W$13-SQRT(3)*Sheet2!W$14,Sheet2!W$13+SQRT(3)*Sheet2!W$14)</f>
        <v>22.671825857428484</v>
      </c>
      <c r="V3" s="8" cm="1">
        <f t="array" aca="1" ref="V3" ca="1">[1]!UNIFORM_INV(RAND(),Sheet2!X$13-SQRT(3)*Sheet2!X$14,Sheet2!X$13+SQRT(3)*Sheet2!X$14)</f>
        <v>21.014585584919313</v>
      </c>
      <c r="W3" s="8" cm="1">
        <f t="array" aca="1" ref="W3" ca="1">[1]!UNIFORM_INV(RAND(),Sheet2!Y$13-SQRT(3)*Sheet2!Y$14,Sheet2!Y$13+SQRT(3)*Sheet2!Y$14)</f>
        <v>21.922183138338191</v>
      </c>
      <c r="X3" s="8" cm="1">
        <f t="array" aca="1" ref="X3" ca="1">[1]!UNIFORM_INV(RAND(),Sheet2!Z$13-SQRT(3)*Sheet2!Z$14,Sheet2!Z$13+SQRT(3)*Sheet2!Z$14)</f>
        <v>8.9678792910534391</v>
      </c>
      <c r="Y3" s="5">
        <f ca="1">_xlfn.STDEV.S(A2:A31)</f>
        <v>0.50987316157945561</v>
      </c>
      <c r="Z3" s="5">
        <f t="shared" ref="Z3:AV3" ca="1" si="23">_xlfn.STDEV.S(B2:B31)</f>
        <v>1.8045481508972234</v>
      </c>
      <c r="AA3" s="5">
        <f t="shared" ca="1" si="23"/>
        <v>1.1783766272484406</v>
      </c>
      <c r="AB3" s="5">
        <f t="shared" ca="1" si="23"/>
        <v>1.8343759239684658</v>
      </c>
      <c r="AC3" s="5">
        <f t="shared" ca="1" si="23"/>
        <v>1.7469196195750329</v>
      </c>
      <c r="AD3" s="5">
        <f t="shared" ca="1" si="23"/>
        <v>2.408173940304362</v>
      </c>
      <c r="AE3" s="5">
        <f t="shared" ca="1" si="23"/>
        <v>0.74548813931202162</v>
      </c>
      <c r="AF3" s="5">
        <f t="shared" ca="1" si="23"/>
        <v>0.73467398409813978</v>
      </c>
      <c r="AG3" s="5">
        <f t="shared" ca="1" si="23"/>
        <v>1.6547018599748322</v>
      </c>
      <c r="AH3" s="5">
        <f t="shared" ca="1" si="23"/>
        <v>1.5246828785350146</v>
      </c>
      <c r="AI3" s="5">
        <f t="shared" ca="1" si="23"/>
        <v>1.010889707803617</v>
      </c>
      <c r="AJ3" s="5">
        <f t="shared" ca="1" si="23"/>
        <v>0.93267468103143369</v>
      </c>
      <c r="AK3" s="5">
        <f t="shared" ca="1" si="23"/>
        <v>1.1172257245557002</v>
      </c>
      <c r="AL3" s="5">
        <f t="shared" ca="1" si="23"/>
        <v>2.1586559914593102</v>
      </c>
      <c r="AM3" s="5">
        <f t="shared" ca="1" si="23"/>
        <v>1.3963266314886587</v>
      </c>
      <c r="AN3" s="5">
        <f t="shared" ca="1" si="23"/>
        <v>0.94461641088854897</v>
      </c>
      <c r="AO3" s="5">
        <f t="shared" ca="1" si="23"/>
        <v>0.77638852010274506</v>
      </c>
      <c r="AP3" s="5">
        <f t="shared" ca="1" si="23"/>
        <v>1.0651750577816594</v>
      </c>
      <c r="AQ3" s="5">
        <f t="shared" ca="1" si="23"/>
        <v>1.1345088725232071</v>
      </c>
      <c r="AR3" s="5">
        <f t="shared" ca="1" si="23"/>
        <v>1.0265098995267941</v>
      </c>
      <c r="AS3" s="5">
        <f t="shared" ca="1" si="23"/>
        <v>1.5026159341639194</v>
      </c>
      <c r="AT3" s="5">
        <f t="shared" ca="1" si="23"/>
        <v>0.49676826537674579</v>
      </c>
      <c r="AU3" s="5">
        <f t="shared" ca="1" si="23"/>
        <v>1.1307841986561837</v>
      </c>
      <c r="AV3" s="5" t="e">
        <f t="shared" ca="1" si="23"/>
        <v>#NAME?</v>
      </c>
      <c r="AX3" s="7">
        <f ca="1">Sheet2!C$13+('RNG HERE'!A3-'RNG HERE'!Y$2)*Sheet2!C$14/'RNG HERE'!Y$3</f>
        <v>3.7705360791275502</v>
      </c>
      <c r="AY3" s="7">
        <f ca="1">Sheet2!D$13+('RNG HERE'!B3-'RNG HERE'!Z$2)*Sheet2!D$14/'RNG HERE'!Z$3</f>
        <v>4.6928245038957659</v>
      </c>
      <c r="AZ3" s="7">
        <f ca="1">Sheet2!E$13+('RNG HERE'!C3-'RNG HERE'!AA$2)*Sheet2!E$14/'RNG HERE'!AA$3</f>
        <v>16.75239102671458</v>
      </c>
      <c r="BA3" s="7">
        <f ca="1">Sheet2!F$13+('RNG HERE'!D3-'RNG HERE'!AB$2)*Sheet2!F$14/'RNG HERE'!AB$3</f>
        <v>23.107696213126427</v>
      </c>
      <c r="BB3" s="7">
        <f ca="1">Sheet2!G$13+('RNG HERE'!E3-'RNG HERE'!AC$2)*Sheet2!G$14/'RNG HERE'!AC$3</f>
        <v>21.342867038201142</v>
      </c>
      <c r="BC3" s="7">
        <f ca="1">Sheet2!H$13+('RNG HERE'!F3-'RNG HERE'!AD$2)*Sheet2!H$14/'RNG HERE'!AD$3</f>
        <v>33.702795013822531</v>
      </c>
      <c r="BD3" s="7">
        <f ca="1">Sheet2!I$13+('RNG HERE'!G3-'RNG HERE'!AE$2)*Sheet2!I$14/'RNG HERE'!AE$3</f>
        <v>11.622388932197115</v>
      </c>
      <c r="BE3" s="7">
        <f ca="1">Sheet2!J$13+('RNG HERE'!H3-'RNG HERE'!AF$2)*Sheet2!J$14/'RNG HERE'!AF$3</f>
        <v>21.127618509099388</v>
      </c>
      <c r="BF3" s="7">
        <f ca="1">Sheet2!K$13+('RNG HERE'!I3-'RNG HERE'!AG$2)*Sheet2!K$14/'RNG HERE'!AG$3</f>
        <v>26.146754547894641</v>
      </c>
      <c r="BG3" s="7">
        <f ca="1">Sheet2!L$13+('RNG HERE'!J3-'RNG HERE'!AH$2)*Sheet2!L$14/'RNG HERE'!AH$3</f>
        <v>19.279938210060308</v>
      </c>
      <c r="BH3" s="7">
        <f ca="1">Sheet2!M$13+('RNG HERE'!K3-'RNG HERE'!AI$2)*Sheet2!M$14/'RNG HERE'!AI$3</f>
        <v>20.600221507614091</v>
      </c>
      <c r="BI3" s="7">
        <f ca="1">Sheet2!N$13+('RNG HERE'!L3-'RNG HERE'!AJ$2)*Sheet2!N$14/'RNG HERE'!AJ$3</f>
        <v>8.0223163190499474</v>
      </c>
      <c r="BJ3" s="7">
        <f ca="1">Sheet2!O$13+('RNG HERE'!M3-'RNG HERE'!AK$2)*Sheet2!O$14/'RNG HERE'!AK$3</f>
        <v>6.3206185842075868</v>
      </c>
      <c r="BK3" s="7">
        <f ca="1">Sheet2!P$13+('RNG HERE'!N3-'RNG HERE'!AL$2)*Sheet2!P$14/'RNG HERE'!AL$3</f>
        <v>19.66794127777171</v>
      </c>
      <c r="BL3" s="7">
        <f ca="1">Sheet2!Q$13+('RNG HERE'!O3-'RNG HERE'!AM$2)*Sheet2!Q$14/'RNG HERE'!AM$3</f>
        <v>13.800598197901213</v>
      </c>
      <c r="BM3" s="7">
        <f ca="1">Sheet2!R$13+('RNG HERE'!P3-'RNG HERE'!AN$2)*Sheet2!R$14/'RNG HERE'!AN$3</f>
        <v>8.1033198849284922</v>
      </c>
      <c r="BN3" s="7">
        <f ca="1">Sheet2!S$13+('RNG HERE'!Q3-'RNG HERE'!AO$2)*Sheet2!S$14/'RNG HERE'!AO$3</f>
        <v>3.6836344169197131</v>
      </c>
      <c r="BO3" s="7">
        <f ca="1">Sheet2!T$13+('RNG HERE'!R3-'RNG HERE'!AP$2)*Sheet2!T$14/'RNG HERE'!AP$3</f>
        <v>12.114861425721767</v>
      </c>
      <c r="BP3" s="7">
        <f ca="1">Sheet2!U$13+('RNG HERE'!S3-'RNG HERE'!AQ$2)*Sheet2!U$14/'RNG HERE'!AQ$3</f>
        <v>22.855801992278721</v>
      </c>
      <c r="BQ3" s="7">
        <f ca="1">Sheet2!V$13+('RNG HERE'!T3-'RNG HERE'!AR$2)*Sheet2!V$14/'RNG HERE'!AR$3</f>
        <v>22.624485466571393</v>
      </c>
      <c r="BR3" s="7">
        <f ca="1">Sheet2!W$13+('RNG HERE'!U3-'RNG HERE'!AS$2)*Sheet2!W$14/'RNG HERE'!AS$3</f>
        <v>22.721254934950412</v>
      </c>
      <c r="BS3" s="7">
        <f ca="1">Sheet2!X$13+('RNG HERE'!V3-'RNG HERE'!AT$2)*Sheet2!X$14/'RNG HERE'!AT$3</f>
        <v>21.115038138095887</v>
      </c>
      <c r="BT3" s="7">
        <f ca="1">Sheet2!Y$13+('RNG HERE'!W3-'RNG HERE'!AU$2)*Sheet2!Y$14/'RNG HERE'!AU$3</f>
        <v>21.618831769730392</v>
      </c>
      <c r="BU3" s="7" t="e">
        <f ca="1">Sheet2!Z$13+('RNG HERE'!X3-'RNG HERE'!AV$2)*Sheet2!Z$14/'RNG HERE'!AV$3</f>
        <v>#NAME?</v>
      </c>
      <c r="BV3" s="5">
        <f ca="1">_xlfn.STDEV.S(AX2:AX31)</f>
        <v>0.5</v>
      </c>
      <c r="BW3" s="5">
        <f t="shared" ref="BW3:CS3" ca="1" si="24">_xlfn.STDEV.S(AY2:AY31)</f>
        <v>1.8000000000000025</v>
      </c>
      <c r="BX3" s="5">
        <f t="shared" ca="1" si="24"/>
        <v>1.2999999999999998</v>
      </c>
      <c r="BY3" s="5">
        <f t="shared" ca="1" si="24"/>
        <v>2.0999999999999996</v>
      </c>
      <c r="BZ3" s="5">
        <f t="shared" ca="1" si="24"/>
        <v>1.8</v>
      </c>
      <c r="CA3" s="5">
        <f t="shared" ca="1" si="24"/>
        <v>2.4999999999999996</v>
      </c>
      <c r="CB3" s="5">
        <f t="shared" ca="1" si="24"/>
        <v>0.70000000000000007</v>
      </c>
      <c r="CC3" s="5">
        <f t="shared" ca="1" si="24"/>
        <v>0.79999999999999971</v>
      </c>
      <c r="CD3" s="5">
        <f t="shared" ca="1" si="24"/>
        <v>1.4999999999999996</v>
      </c>
      <c r="CE3" s="5">
        <f t="shared" ca="1" si="24"/>
        <v>1.5999999999999999</v>
      </c>
      <c r="CF3" s="5">
        <f t="shared" ca="1" si="24"/>
        <v>1</v>
      </c>
      <c r="CG3" s="5">
        <f t="shared" ca="1" si="24"/>
        <v>1.0000000000000155</v>
      </c>
      <c r="CH3" s="5">
        <f t="shared" ca="1" si="24"/>
        <v>1.1999999999999835</v>
      </c>
      <c r="CI3" s="5">
        <f t="shared" ca="1" si="24"/>
        <v>2.3000000000000127</v>
      </c>
      <c r="CJ3" s="5">
        <f t="shared" ca="1" si="24"/>
        <v>1.2999999999999843</v>
      </c>
      <c r="CK3" s="5">
        <f t="shared" ca="1" si="24"/>
        <v>1</v>
      </c>
      <c r="CL3" s="5">
        <f t="shared" ca="1" si="24"/>
        <v>0.69999999999999807</v>
      </c>
      <c r="CM3" s="5">
        <f t="shared" ca="1" si="24"/>
        <v>1.3000000000000271</v>
      </c>
      <c r="CN3" s="5">
        <f t="shared" ca="1" si="24"/>
        <v>1.1000000000000001</v>
      </c>
      <c r="CO3" s="5">
        <f t="shared" ca="1" si="24"/>
        <v>1.1000000000000001</v>
      </c>
      <c r="CP3" s="5">
        <f t="shared" ca="1" si="24"/>
        <v>1.5000000000000002</v>
      </c>
      <c r="CQ3" s="5">
        <f t="shared" ca="1" si="24"/>
        <v>0.59999999999999964</v>
      </c>
      <c r="CR3" s="5">
        <f t="shared" ca="1" si="24"/>
        <v>1.2000000000000002</v>
      </c>
      <c r="CS3" s="5" t="e">
        <f t="shared" ca="1" si="24"/>
        <v>#NAME?</v>
      </c>
    </row>
    <row r="4" spans="1:97" x14ac:dyDescent="0.3">
      <c r="A4" s="8" cm="1">
        <f t="array" aca="1" ref="A4" ca="1">[1]!UNIFORM_INV(RAND(),Sheet2!C$13-SQRT(3)*Sheet2!C$14,Sheet2!C$13+SQRT(3)*Sheet2!C$14)</f>
        <v>3.101011712323392</v>
      </c>
      <c r="B4" s="8" cm="1">
        <f t="array" aca="1" ref="B4" ca="1">[1]!UNIFORM_INV(RAND(),Sheet2!D$13-SQRT(3)*Sheet2!D$14,Sheet2!D$13+SQRT(3)*Sheet2!D$14)</f>
        <v>8.0320045815644079</v>
      </c>
      <c r="C4" s="8" cm="1">
        <f t="array" aca="1" ref="C4" ca="1">[1]!UNIFORM_INV(RAND(),Sheet2!E$13-SQRT(3)*Sheet2!E$14,Sheet2!E$13+SQRT(3)*Sheet2!E$14)</f>
        <v>18.336856347273987</v>
      </c>
      <c r="D4" s="8" cm="1">
        <f t="array" aca="1" ref="D4" ca="1">[1]!UNIFORM_INV(RAND(),Sheet2!F$13-SQRT(3)*Sheet2!F$14,Sheet2!F$13+SQRT(3)*Sheet2!F$14)</f>
        <v>20.066640246473284</v>
      </c>
      <c r="E4" s="8" cm="1">
        <f t="array" aca="1" ref="E4" ca="1">[1]!UNIFORM_INV(RAND(),Sheet2!G$13-SQRT(3)*Sheet2!G$14,Sheet2!G$13+SQRT(3)*Sheet2!G$14)</f>
        <v>17.025202630547941</v>
      </c>
      <c r="F4" s="8" cm="1">
        <f t="array" aca="1" ref="F4" ca="1">[1]!UNIFORM_INV(RAND(),Sheet2!H$13-SQRT(3)*Sheet2!H$14,Sheet2!H$13+SQRT(3)*Sheet2!H$14)</f>
        <v>26.04572454078901</v>
      </c>
      <c r="G4" s="8" cm="1">
        <f t="array" aca="1" ref="G4" ca="1">[1]!UNIFORM_INV(RAND(),Sheet2!I$13-SQRT(3)*Sheet2!I$14,Sheet2!I$13+SQRT(3)*Sheet2!I$14)</f>
        <v>11.11319519501931</v>
      </c>
      <c r="H4" s="8" cm="1">
        <f t="array" aca="1" ref="H4" ca="1">[1]!UNIFORM_INV(RAND(),Sheet2!J$13-SQRT(3)*Sheet2!J$14,Sheet2!J$13+SQRT(3)*Sheet2!J$14)</f>
        <v>18.472531170121741</v>
      </c>
      <c r="I4" s="8" cm="1">
        <f t="array" aca="1" ref="I4" ca="1">[1]!UNIFORM_INV(RAND(),Sheet2!K$13-SQRT(3)*Sheet2!K$14,Sheet2!K$13+SQRT(3)*Sheet2!K$14)</f>
        <v>27.275294813859421</v>
      </c>
      <c r="J4" s="8" cm="1">
        <f t="array" aca="1" ref="J4" ca="1">[1]!UNIFORM_INV(RAND(),Sheet2!L$13-SQRT(3)*Sheet2!L$14,Sheet2!L$13+SQRT(3)*Sheet2!L$14)</f>
        <v>17.122761111217137</v>
      </c>
      <c r="K4" s="8" cm="1">
        <f t="array" aca="1" ref="K4" ca="1">[1]!UNIFORM_INV(RAND(),Sheet2!M$13-SQRT(3)*Sheet2!M$14,Sheet2!M$13+SQRT(3)*Sheet2!M$14)</f>
        <v>20.403976463230073</v>
      </c>
      <c r="L4" s="8" cm="1">
        <f t="array" aca="1" ref="L4" ca="1">[1]!UNIFORM_INV(RAND(),Sheet2!N$13-SQRT(3)*Sheet2!N$14,Sheet2!N$13+SQRT(3)*Sheet2!N$14)</f>
        <v>9.2487947903249541</v>
      </c>
      <c r="M4" s="8" cm="1">
        <f t="array" aca="1" ref="M4" ca="1">[1]!UNIFORM_INV(RAND(),Sheet2!O$13-SQRT(3)*Sheet2!O$14,Sheet2!O$13+SQRT(3)*Sheet2!O$14)</f>
        <v>7.2168011709971243</v>
      </c>
      <c r="N4" s="8" cm="1">
        <f t="array" aca="1" ref="N4" ca="1">[1]!UNIFORM_INV(RAND(),Sheet2!P$13-SQRT(3)*Sheet2!P$14,Sheet2!P$13+SQRT(3)*Sheet2!P$14)</f>
        <v>18.399619631542059</v>
      </c>
      <c r="O4" s="8" cm="1">
        <f t="array" aca="1" ref="O4" ca="1">[1]!UNIFORM_INV(RAND(),Sheet2!Q$13-SQRT(3)*Sheet2!Q$14,Sheet2!Q$13+SQRT(3)*Sheet2!Q$14)</f>
        <v>12.370431418823522</v>
      </c>
      <c r="P4" s="8" cm="1">
        <f t="array" aca="1" ref="P4" ca="1">[1]!UNIFORM_INV(RAND(),Sheet2!R$13-SQRT(3)*Sheet2!R$14,Sheet2!R$13+SQRT(3)*Sheet2!R$14)</f>
        <v>8.4223895519901042</v>
      </c>
      <c r="Q4" s="8" cm="1">
        <f t="array" aca="1" ref="Q4" ca="1">[1]!UNIFORM_INV(RAND(),Sheet2!S$13-SQRT(3)*Sheet2!S$14,Sheet2!S$13+SQRT(3)*Sheet2!S$14)</f>
        <v>4.74739754133783</v>
      </c>
      <c r="R4" s="8" cm="1">
        <f t="array" aca="1" ref="R4" ca="1">[1]!UNIFORM_INV(RAND(),Sheet2!T$13-SQRT(3)*Sheet2!T$14,Sheet2!T$13+SQRT(3)*Sheet2!T$14)</f>
        <v>12.889908150224226</v>
      </c>
      <c r="S4" s="8" cm="1">
        <f t="array" aca="1" ref="S4" ca="1">[1]!UNIFORM_INV(RAND(),Sheet2!U$13-SQRT(3)*Sheet2!U$14,Sheet2!U$13+SQRT(3)*Sheet2!U$14)</f>
        <v>24.669579443316085</v>
      </c>
      <c r="T4" s="8" cm="1">
        <f t="array" aca="1" ref="T4" ca="1">[1]!UNIFORM_INV(RAND(),Sheet2!V$13-SQRT(3)*Sheet2!V$14,Sheet2!V$13+SQRT(3)*Sheet2!V$14)</f>
        <v>25.106861207223776</v>
      </c>
      <c r="U4" s="8" cm="1">
        <f t="array" aca="1" ref="U4" ca="1">[1]!UNIFORM_INV(RAND(),Sheet2!W$13-SQRT(3)*Sheet2!W$14,Sheet2!W$13+SQRT(3)*Sheet2!W$14)</f>
        <v>24.328778167452796</v>
      </c>
      <c r="V4" s="8" cm="1">
        <f t="array" aca="1" ref="V4" ca="1">[1]!UNIFORM_INV(RAND(),Sheet2!X$13-SQRT(3)*Sheet2!X$14,Sheet2!X$13+SQRT(3)*Sheet2!X$14)</f>
        <v>21.725417960803039</v>
      </c>
      <c r="W4" s="8" cm="1">
        <f t="array" aca="1" ref="W4" ca="1">[1]!UNIFORM_INV(RAND(),Sheet2!Y$13-SQRT(3)*Sheet2!Y$14,Sheet2!Y$13+SQRT(3)*Sheet2!Y$14)</f>
        <v>22.397823769678091</v>
      </c>
      <c r="X4" s="8" cm="1">
        <f t="array" aca="1" ref="X4" ca="1">[1]!UNIFORM_INV(RAND(),Sheet2!Z$13-SQRT(3)*Sheet2!Z$14,Sheet2!Z$13+SQRT(3)*Sheet2!Z$14)</f>
        <v>7.5614888539963738</v>
      </c>
      <c r="AX4" s="7">
        <f ca="1">Sheet2!C$13+('RNG HERE'!A4-'RNG HERE'!Y$2)*Sheet2!C$14/'RNG HERE'!Y$3</f>
        <v>3.0731264804474261</v>
      </c>
      <c r="AY4" s="7">
        <f ca="1">Sheet2!D$13+('RNG HERE'!B4-'RNG HERE'!Z$2)*Sheet2!D$14/'RNG HERE'!Z$3</f>
        <v>7.8539958844664657</v>
      </c>
      <c r="AZ4" s="7">
        <f ca="1">Sheet2!E$13+('RNG HERE'!C4-'RNG HERE'!AA$2)*Sheet2!E$14/'RNG HERE'!AA$3</f>
        <v>18.566930234742898</v>
      </c>
      <c r="BA4" s="7">
        <f ca="1">Sheet2!F$13+('RNG HERE'!D4-'RNG HERE'!AB$2)*Sheet2!F$14/'RNG HERE'!AB$3</f>
        <v>20.091450433539361</v>
      </c>
      <c r="BB4" s="7">
        <f ca="1">Sheet2!G$13+('RNG HERE'!E4-'RNG HERE'!AC$2)*Sheet2!G$14/'RNG HERE'!AC$3</f>
        <v>16.988314412996296</v>
      </c>
      <c r="BC4" s="7">
        <f ca="1">Sheet2!H$13+('RNG HERE'!F4-'RNG HERE'!AD$2)*Sheet2!H$14/'RNG HERE'!AD$3</f>
        <v>26.46011321677717</v>
      </c>
      <c r="BD4" s="7">
        <f ca="1">Sheet2!I$13+('RNG HERE'!G4-'RNG HERE'!AE$2)*Sheet2!I$14/'RNG HERE'!AE$3</f>
        <v>11.230216816941869</v>
      </c>
      <c r="BE4" s="7">
        <f ca="1">Sheet2!J$13+('RNG HERE'!H4-'RNG HERE'!AF$2)*Sheet2!J$14/'RNG HERE'!AF$3</f>
        <v>18.261293973691874</v>
      </c>
      <c r="BF4" s="7">
        <f ca="1">Sheet2!K$13+('RNG HERE'!I4-'RNG HERE'!AG$2)*Sheet2!K$14/'RNG HERE'!AG$3</f>
        <v>27.201424564377533</v>
      </c>
      <c r="BG4" s="7">
        <f ca="1">Sheet2!L$13+('RNG HERE'!J4-'RNG HERE'!AH$2)*Sheet2!L$14/'RNG HERE'!AH$3</f>
        <v>16.926240556657476</v>
      </c>
      <c r="BH4" s="7">
        <f ca="1">Sheet2!M$13+('RNG HERE'!K4-'RNG HERE'!AI$2)*Sheet2!M$14/'RNG HERE'!AI$3</f>
        <v>20.574445461716977</v>
      </c>
      <c r="BI4" s="7">
        <f ca="1">Sheet2!N$13+('RNG HERE'!L4-'RNG HERE'!AJ$2)*Sheet2!N$14/'RNG HERE'!AJ$3</f>
        <v>8.9737860629033754</v>
      </c>
      <c r="BJ4" s="7">
        <f ca="1">Sheet2!O$13+('RNG HERE'!M4-'RNG HERE'!AK$2)*Sheet2!O$14/'RNG HERE'!AK$3</f>
        <v>7.3241977903265809</v>
      </c>
      <c r="BK4" s="7">
        <f ca="1">Sheet2!P$13+('RNG HERE'!N4-'RNG HERE'!AL$2)*Sheet2!P$14/'RNG HERE'!AL$3</f>
        <v>18.041279803261922</v>
      </c>
      <c r="BL4" s="7">
        <f ca="1">Sheet2!Q$13+('RNG HERE'!O4-'RNG HERE'!AM$2)*Sheet2!Q$14/'RNG HERE'!AM$3</f>
        <v>12.603832936068105</v>
      </c>
      <c r="BM4" s="7">
        <f ca="1">Sheet2!R$13+('RNG HERE'!P4-'RNG HERE'!AN$2)*Sheet2!R$14/'RNG HERE'!AN$3</f>
        <v>8.4349857820002594</v>
      </c>
      <c r="BN4" s="7">
        <f ca="1">Sheet2!S$13+('RNG HERE'!Q4-'RNG HERE'!AO$2)*Sheet2!S$14/'RNG HERE'!AO$3</f>
        <v>4.6960538915807781</v>
      </c>
      <c r="BO4" s="7">
        <f ca="1">Sheet2!T$13+('RNG HERE'!R4-'RNG HERE'!AP$2)*Sheet2!T$14/'RNG HERE'!AP$3</f>
        <v>13.651696597796059</v>
      </c>
      <c r="BP4" s="7">
        <f ca="1">Sheet2!U$13+('RNG HERE'!S4-'RNG HERE'!AQ$2)*Sheet2!U$14/'RNG HERE'!AQ$3</f>
        <v>24.833943972896556</v>
      </c>
      <c r="BQ4" s="7">
        <f ca="1">Sheet2!V$13+('RNG HERE'!T4-'RNG HERE'!AR$2)*Sheet2!V$14/'RNG HERE'!AR$3</f>
        <v>24.692554704958646</v>
      </c>
      <c r="BR4" s="7">
        <f ca="1">Sheet2!W$13+('RNG HERE'!U4-'RNG HERE'!AS$2)*Sheet2!W$14/'RNG HERE'!AS$3</f>
        <v>24.375322623524074</v>
      </c>
      <c r="BS4" s="7">
        <f ca="1">Sheet2!X$13+('RNG HERE'!V4-'RNG HERE'!AT$2)*Sheet2!X$14/'RNG HERE'!AT$3</f>
        <v>21.973586188074041</v>
      </c>
      <c r="BT4" s="7">
        <f ca="1">Sheet2!Y$13+('RNG HERE'!W4-'RNG HERE'!AU$2)*Sheet2!Y$14/'RNG HERE'!AU$3</f>
        <v>22.12358657465796</v>
      </c>
      <c r="BU4" s="7" t="e">
        <f ca="1">Sheet2!Z$13+('RNG HERE'!X4-'RNG HERE'!AV$2)*Sheet2!Z$14/'RNG HERE'!AV$3</f>
        <v>#NAME?</v>
      </c>
      <c r="BV4" s="5">
        <f ca="1">BV2-Sheet2!C13</f>
        <v>0</v>
      </c>
      <c r="BW4" s="5">
        <f ca="1">BW2-Sheet2!D13</f>
        <v>0</v>
      </c>
      <c r="BX4" s="5">
        <f ca="1">BX2-Sheet2!E13</f>
        <v>0</v>
      </c>
      <c r="BY4" s="5">
        <f ca="1">BY2-Sheet2!F13</f>
        <v>0</v>
      </c>
      <c r="BZ4" s="5">
        <f ca="1">BZ2-Sheet2!G13</f>
        <v>0</v>
      </c>
      <c r="CA4" s="5">
        <f ca="1">CA2-Sheet2!H13</f>
        <v>0</v>
      </c>
      <c r="CB4" s="5">
        <f ca="1">CB2-Sheet2!I13</f>
        <v>0</v>
      </c>
      <c r="CC4" s="5">
        <f ca="1">CC2-Sheet2!J13</f>
        <v>0</v>
      </c>
      <c r="CD4" s="5">
        <f ca="1">CD2-Sheet2!K13</f>
        <v>0</v>
      </c>
      <c r="CE4" s="5">
        <f ca="1">CE2-Sheet2!L13</f>
        <v>0</v>
      </c>
      <c r="CF4" s="5">
        <f ca="1">CF2-Sheet2!M13</f>
        <v>0</v>
      </c>
      <c r="CG4" s="5">
        <f ca="1">CG2-Sheet2!N13</f>
        <v>0</v>
      </c>
      <c r="CH4" s="5">
        <f ca="1">CH2-Sheet2!O13</f>
        <v>0</v>
      </c>
      <c r="CI4" s="5">
        <f ca="1">CI2-Sheet2!P13</f>
        <v>0</v>
      </c>
      <c r="CJ4" s="5">
        <f ca="1">CJ2-Sheet2!Q13</f>
        <v>0</v>
      </c>
      <c r="CK4" s="5">
        <f ca="1">CK2-Sheet2!R13</f>
        <v>0</v>
      </c>
      <c r="CL4" s="5">
        <f ca="1">CL2-Sheet2!S13</f>
        <v>0</v>
      </c>
      <c r="CM4" s="5">
        <f ca="1">CM2-Sheet2!T13</f>
        <v>0</v>
      </c>
      <c r="CN4" s="5">
        <f ca="1">CN2-Sheet2!U13</f>
        <v>0</v>
      </c>
      <c r="CO4" s="5">
        <f ca="1">CO2-Sheet2!V13</f>
        <v>0</v>
      </c>
      <c r="CP4" s="5">
        <f ca="1">CP2-Sheet2!W13</f>
        <v>0</v>
      </c>
      <c r="CQ4" s="5">
        <f ca="1">CQ2-Sheet2!X13</f>
        <v>0</v>
      </c>
      <c r="CR4" s="5">
        <f ca="1">CR2-Sheet2!Y13</f>
        <v>0</v>
      </c>
      <c r="CS4" s="5" t="e">
        <f ca="1">CS2-Sheet2!Z13</f>
        <v>#NAME?</v>
      </c>
    </row>
    <row r="5" spans="1:97" x14ac:dyDescent="0.3">
      <c r="A5" s="8" cm="1">
        <f t="array" aca="1" ref="A5" ca="1">[1]!UNIFORM_INV(RAND(),Sheet2!C$13-SQRT(3)*Sheet2!C$14,Sheet2!C$13+SQRT(3)*Sheet2!C$14)</f>
        <v>3.5142818156857469</v>
      </c>
      <c r="B5" s="8" cm="1">
        <f t="array" aca="1" ref="B5" ca="1">[1]!UNIFORM_INV(RAND(),Sheet2!D$13-SQRT(3)*Sheet2!D$14,Sheet2!D$13+SQRT(3)*Sheet2!D$14)</f>
        <v>5.0026933459676854</v>
      </c>
      <c r="C5" s="8" cm="1">
        <f t="array" aca="1" ref="C5" ca="1">[1]!UNIFORM_INV(RAND(),Sheet2!E$13-SQRT(3)*Sheet2!E$14,Sheet2!E$13+SQRT(3)*Sheet2!E$14)</f>
        <v>17.25660284710068</v>
      </c>
      <c r="D5" s="8" cm="1">
        <f t="array" aca="1" ref="D5" ca="1">[1]!UNIFORM_INV(RAND(),Sheet2!F$13-SQRT(3)*Sheet2!F$14,Sheet2!F$13+SQRT(3)*Sheet2!F$14)</f>
        <v>23.873091242513546</v>
      </c>
      <c r="E5" s="8" cm="1">
        <f t="array" aca="1" ref="E5" ca="1">[1]!UNIFORM_INV(RAND(),Sheet2!G$13-SQRT(3)*Sheet2!G$14,Sheet2!G$13+SQRT(3)*Sheet2!G$14)</f>
        <v>19.893992372910613</v>
      </c>
      <c r="F5" s="8" cm="1">
        <f t="array" aca="1" ref="F5" ca="1">[1]!UNIFORM_INV(RAND(),Sheet2!H$13-SQRT(3)*Sheet2!H$14,Sheet2!H$13+SQRT(3)*Sheet2!H$14)</f>
        <v>32.16686619122023</v>
      </c>
      <c r="G5" s="8" cm="1">
        <f t="array" aca="1" ref="G5" ca="1">[1]!UNIFORM_INV(RAND(),Sheet2!I$13-SQRT(3)*Sheet2!I$14,Sheet2!I$13+SQRT(3)*Sheet2!I$14)</f>
        <v>10.891142819050806</v>
      </c>
      <c r="H5" s="8" cm="1">
        <f t="array" aca="1" ref="H5" ca="1">[1]!UNIFORM_INV(RAND(),Sheet2!J$13-SQRT(3)*Sheet2!J$14,Sheet2!J$13+SQRT(3)*Sheet2!J$14)</f>
        <v>19.304976460767961</v>
      </c>
      <c r="I5" s="8" cm="1">
        <f t="array" aca="1" ref="I5" ca="1">[1]!UNIFORM_INV(RAND(),Sheet2!K$13-SQRT(3)*Sheet2!K$14,Sheet2!K$13+SQRT(3)*Sheet2!K$14)</f>
        <v>29.417824540991667</v>
      </c>
      <c r="J5" s="8" cm="1">
        <f t="array" aca="1" ref="J5" ca="1">[1]!UNIFORM_INV(RAND(),Sheet2!L$13-SQRT(3)*Sheet2!L$14,Sheet2!L$13+SQRT(3)*Sheet2!L$14)</f>
        <v>17.274582260498189</v>
      </c>
      <c r="K5" s="8" cm="1">
        <f t="array" aca="1" ref="K5" ca="1">[1]!UNIFORM_INV(RAND(),Sheet2!M$13-SQRT(3)*Sheet2!M$14,Sheet2!M$13+SQRT(3)*Sheet2!M$14)</f>
        <v>19.435925617859201</v>
      </c>
      <c r="L5" s="8" cm="1">
        <f t="array" aca="1" ref="L5" ca="1">[1]!UNIFORM_INV(RAND(),Sheet2!N$13-SQRT(3)*Sheet2!N$14,Sheet2!N$13+SQRT(3)*Sheet2!N$14)</f>
        <v>7.134710979795198</v>
      </c>
      <c r="M5" s="8" cm="1">
        <f t="array" aca="1" ref="M5" ca="1">[1]!UNIFORM_INV(RAND(),Sheet2!O$13-SQRT(3)*Sheet2!O$14,Sheet2!O$13+SQRT(3)*Sheet2!O$14)</f>
        <v>7.5606900424516379</v>
      </c>
      <c r="N5" s="8" cm="1">
        <f t="array" aca="1" ref="N5" ca="1">[1]!UNIFORM_INV(RAND(),Sheet2!P$13-SQRT(3)*Sheet2!P$14,Sheet2!P$13+SQRT(3)*Sheet2!P$14)</f>
        <v>24.013135747017554</v>
      </c>
      <c r="O5" s="8" cm="1">
        <f t="array" aca="1" ref="O5" ca="1">[1]!UNIFORM_INV(RAND(),Sheet2!Q$13-SQRT(3)*Sheet2!Q$14,Sheet2!Q$13+SQRT(3)*Sheet2!Q$14)</f>
        <v>11.373215261105067</v>
      </c>
      <c r="P5" s="8" cm="1">
        <f t="array" aca="1" ref="P5" ca="1">[1]!UNIFORM_INV(RAND(),Sheet2!R$13-SQRT(3)*Sheet2!R$14,Sheet2!R$13+SQRT(3)*Sheet2!R$14)</f>
        <v>8.6103783484057494</v>
      </c>
      <c r="Q5" s="8" cm="1">
        <f t="array" aca="1" ref="Q5" ca="1">[1]!UNIFORM_INV(RAND(),Sheet2!S$13-SQRT(3)*Sheet2!S$14,Sheet2!S$13+SQRT(3)*Sheet2!S$14)</f>
        <v>4.5179528205550774</v>
      </c>
      <c r="R5" s="8" cm="1">
        <f t="array" aca="1" ref="R5" ca="1">[1]!UNIFORM_INV(RAND(),Sheet2!T$13-SQRT(3)*Sheet2!T$14,Sheet2!T$13+SQRT(3)*Sheet2!T$14)</f>
        <v>13.116613849131936</v>
      </c>
      <c r="S5" s="8" cm="1">
        <f t="array" aca="1" ref="S5" ca="1">[1]!UNIFORM_INV(RAND(),Sheet2!U$13-SQRT(3)*Sheet2!U$14,Sheet2!U$13+SQRT(3)*Sheet2!U$14)</f>
        <v>25.370668213155867</v>
      </c>
      <c r="T5" s="8" cm="1">
        <f t="array" aca="1" ref="T5" ca="1">[1]!UNIFORM_INV(RAND(),Sheet2!V$13-SQRT(3)*Sheet2!V$14,Sheet2!V$13+SQRT(3)*Sheet2!V$14)</f>
        <v>24.982725837864159</v>
      </c>
      <c r="U5" s="8" cm="1">
        <f t="array" aca="1" ref="U5" ca="1">[1]!UNIFORM_INV(RAND(),Sheet2!W$13-SQRT(3)*Sheet2!W$14,Sheet2!W$13+SQRT(3)*Sheet2!W$14)</f>
        <v>26.741074842493916</v>
      </c>
      <c r="V5" s="8" cm="1">
        <f t="array" aca="1" ref="V5" ca="1">[1]!UNIFORM_INV(RAND(),Sheet2!X$13-SQRT(3)*Sheet2!X$14,Sheet2!X$13+SQRT(3)*Sheet2!X$14)</f>
        <v>20.544541487958984</v>
      </c>
      <c r="W5" s="8" cm="1">
        <f t="array" aca="1" ref="W5" ca="1">[1]!UNIFORM_INV(RAND(),Sheet2!Y$13-SQRT(3)*Sheet2!Y$14,Sheet2!Y$13+SQRT(3)*Sheet2!Y$14)</f>
        <v>19.716387240908485</v>
      </c>
      <c r="X5" s="8" cm="1">
        <f t="array" aca="1" ref="X5" ca="1">[1]!UNIFORM_INV(RAND(),Sheet2!Z$13-SQRT(3)*Sheet2!Z$14,Sheet2!Z$13+SQRT(3)*Sheet2!Z$14)</f>
        <v>7.9743917136526266</v>
      </c>
      <c r="AX5" s="7">
        <f ca="1">Sheet2!C$13+('RNG HERE'!A5-'RNG HERE'!Y$2)*Sheet2!C$14/'RNG HERE'!Y$3</f>
        <v>3.4783940396205257</v>
      </c>
      <c r="AY5" s="7">
        <f ca="1">Sheet2!D$13+('RNG HERE'!B5-'RNG HERE'!Z$2)*Sheet2!D$14/'RNG HERE'!Z$3</f>
        <v>4.8323196707489302</v>
      </c>
      <c r="AZ5" s="7">
        <f ca="1">Sheet2!E$13+('RNG HERE'!C5-'RNG HERE'!AA$2)*Sheet2!E$14/'RNG HERE'!AA$3</f>
        <v>17.37518090965278</v>
      </c>
      <c r="BA5" s="7">
        <f ca="1">Sheet2!F$13+('RNG HERE'!D5-'RNG HERE'!AB$2)*Sheet2!F$14/'RNG HERE'!AB$3</f>
        <v>24.449088901880906</v>
      </c>
      <c r="BB5" s="7">
        <f ca="1">Sheet2!G$13+('RNG HERE'!E5-'RNG HERE'!AC$2)*Sheet2!G$14/'RNG HERE'!AC$3</f>
        <v>19.944272705747618</v>
      </c>
      <c r="BC5" s="7">
        <f ca="1">Sheet2!H$13+('RNG HERE'!F5-'RNG HERE'!AD$2)*Sheet2!H$14/'RNG HERE'!AD$3</f>
        <v>32.814660066554957</v>
      </c>
      <c r="BD5" s="7">
        <f ca="1">Sheet2!I$13+('RNG HERE'!G5-'RNG HERE'!AE$2)*Sheet2!I$14/'RNG HERE'!AE$3</f>
        <v>11.02171361617814</v>
      </c>
      <c r="BE5" s="7">
        <f ca="1">Sheet2!J$13+('RNG HERE'!H5-'RNG HERE'!AF$2)*Sheet2!J$14/'RNG HERE'!AF$3</f>
        <v>19.167758945817546</v>
      </c>
      <c r="BF5" s="7">
        <f ca="1">Sheet2!K$13+('RNG HERE'!I5-'RNG HERE'!AG$2)*Sheet2!K$14/'RNG HERE'!AG$3</f>
        <v>29.143644288930965</v>
      </c>
      <c r="BG5" s="7">
        <f ca="1">Sheet2!L$13+('RNG HERE'!J5-'RNG HERE'!AH$2)*Sheet2!L$14/'RNG HERE'!AH$3</f>
        <v>17.085561450378719</v>
      </c>
      <c r="BH5" s="7">
        <f ca="1">Sheet2!M$13+('RNG HERE'!K5-'RNG HERE'!AI$2)*Sheet2!M$14/'RNG HERE'!AI$3</f>
        <v>19.616822846808592</v>
      </c>
      <c r="BI5" s="7">
        <f ca="1">Sheet2!N$13+('RNG HERE'!L5-'RNG HERE'!AJ$2)*Sheet2!N$14/'RNG HERE'!AJ$3</f>
        <v>6.7070966657045403</v>
      </c>
      <c r="BJ5" s="7">
        <f ca="1">Sheet2!O$13+('RNG HERE'!M5-'RNG HERE'!AK$2)*Sheet2!O$14/'RNG HERE'!AK$3</f>
        <v>7.6935650870825931</v>
      </c>
      <c r="BK5" s="7">
        <f ca="1">Sheet2!P$13+('RNG HERE'!N5-'RNG HERE'!AL$2)*Sheet2!P$14/'RNG HERE'!AL$3</f>
        <v>24.0223565087102</v>
      </c>
      <c r="BL5" s="7">
        <f ca="1">Sheet2!Q$13+('RNG HERE'!O5-'RNG HERE'!AM$2)*Sheet2!Q$14/'RNG HERE'!AM$3</f>
        <v>11.675410476881828</v>
      </c>
      <c r="BM5" s="7">
        <f ca="1">Sheet2!R$13+('RNG HERE'!P5-'RNG HERE'!AN$2)*Sheet2!R$14/'RNG HERE'!AN$3</f>
        <v>8.6339965066168407</v>
      </c>
      <c r="BN5" s="7">
        <f ca="1">Sheet2!S$13+('RNG HERE'!Q5-'RNG HERE'!AO$2)*Sheet2!S$14/'RNG HERE'!AO$3</f>
        <v>4.4891841345077701</v>
      </c>
      <c r="BO5" s="7">
        <f ca="1">Sheet2!T$13+('RNG HERE'!R5-'RNG HERE'!AP$2)*Sheet2!T$14/'RNG HERE'!AP$3</f>
        <v>13.928381079306359</v>
      </c>
      <c r="BP5" s="7">
        <f ca="1">Sheet2!U$13+('RNG HERE'!S5-'RNG HERE'!AQ$2)*Sheet2!U$14/'RNG HERE'!AQ$3</f>
        <v>25.513707406662018</v>
      </c>
      <c r="BQ5" s="7">
        <f ca="1">Sheet2!V$13+('RNG HERE'!T5-'RNG HERE'!AR$2)*Sheet2!V$14/'RNG HERE'!AR$3</f>
        <v>24.559532211596888</v>
      </c>
      <c r="BR5" s="7">
        <f ca="1">Sheet2!W$13+('RNG HERE'!U5-'RNG HERE'!AS$2)*Sheet2!W$14/'RNG HERE'!AS$3</f>
        <v>26.783419682986604</v>
      </c>
      <c r="BS5" s="7">
        <f ca="1">Sheet2!X$13+('RNG HERE'!V5-'RNG HERE'!AT$2)*Sheet2!X$14/'RNG HERE'!AT$3</f>
        <v>20.547315765648623</v>
      </c>
      <c r="BT5" s="7">
        <f ca="1">Sheet2!Y$13+('RNG HERE'!W5-'RNG HERE'!AU$2)*Sheet2!Y$14/'RNG HERE'!AU$3</f>
        <v>19.278018129018687</v>
      </c>
      <c r="BU5" s="7" t="e">
        <f ca="1">Sheet2!Z$13+('RNG HERE'!X5-'RNG HERE'!AV$2)*Sheet2!Z$14/'RNG HERE'!AV$3</f>
        <v>#NAME?</v>
      </c>
      <c r="BV5" s="5">
        <f ca="1">BV3-Sheet2!C14</f>
        <v>0</v>
      </c>
      <c r="BW5" s="5">
        <f ca="1">BW3-Sheet2!D14</f>
        <v>2.4424906541753444E-15</v>
      </c>
      <c r="BX5" s="5">
        <f ca="1">BX3-Sheet2!E14</f>
        <v>0</v>
      </c>
      <c r="BY5" s="5">
        <f ca="1">BY3-Sheet2!F14</f>
        <v>0</v>
      </c>
      <c r="BZ5" s="5">
        <f ca="1">BZ3-Sheet2!G14</f>
        <v>0</v>
      </c>
      <c r="CA5" s="5">
        <f ca="1">CA3-Sheet2!H14</f>
        <v>0</v>
      </c>
      <c r="CB5" s="5">
        <f ca="1">CB3-Sheet2!I14</f>
        <v>0</v>
      </c>
      <c r="CC5" s="5">
        <f ca="1">CC3-Sheet2!J14</f>
        <v>0</v>
      </c>
      <c r="CD5" s="5">
        <f ca="1">CD3-Sheet2!K14</f>
        <v>0</v>
      </c>
      <c r="CE5" s="5">
        <f ca="1">CE3-Sheet2!L14</f>
        <v>0</v>
      </c>
      <c r="CF5" s="5">
        <f ca="1">CF3-Sheet2!M14</f>
        <v>0</v>
      </c>
      <c r="CG5" s="5">
        <f ca="1">CG3-Sheet2!N14</f>
        <v>1.5543122344752192E-14</v>
      </c>
      <c r="CH5" s="5">
        <f ca="1">CH3-Sheet2!O14</f>
        <v>-1.6431300764452317E-14</v>
      </c>
      <c r="CI5" s="5">
        <f ca="1">CI3-Sheet2!P14</f>
        <v>1.2878587085651816E-14</v>
      </c>
      <c r="CJ5" s="5">
        <f ca="1">CJ3-Sheet2!Q14</f>
        <v>-1.5765166949677223E-14</v>
      </c>
      <c r="CK5" s="5">
        <f ca="1">CK3-Sheet2!R14</f>
        <v>0</v>
      </c>
      <c r="CL5" s="5">
        <f ca="1">CL3-Sheet2!S14</f>
        <v>-1.8873791418627661E-15</v>
      </c>
      <c r="CM5" s="5">
        <f ca="1">CM3-Sheet2!T14</f>
        <v>2.708944180085382E-14</v>
      </c>
      <c r="CN5" s="5">
        <f ca="1">CN3-Sheet2!U14</f>
        <v>0</v>
      </c>
      <c r="CO5" s="5">
        <f ca="1">CO3-Sheet2!V14</f>
        <v>0</v>
      </c>
      <c r="CP5" s="5">
        <f ca="1">CP3-Sheet2!W14</f>
        <v>0</v>
      </c>
      <c r="CQ5" s="5">
        <f ca="1">CQ3-Sheet2!X14</f>
        <v>0</v>
      </c>
      <c r="CR5" s="5">
        <f ca="1">CR3-Sheet2!Y14</f>
        <v>0</v>
      </c>
      <c r="CS5" s="5" t="e">
        <f ca="1">CS3-Sheet2!Z14</f>
        <v>#NAME?</v>
      </c>
    </row>
    <row r="6" spans="1:97" x14ac:dyDescent="0.3">
      <c r="A6" s="8" cm="1">
        <f t="array" aca="1" ref="A6" ca="1">[1]!UNIFORM_INV(RAND(),Sheet2!C$13-SQRT(3)*Sheet2!C$14,Sheet2!C$13+SQRT(3)*Sheet2!C$14)</f>
        <v>3.7737911067012195</v>
      </c>
      <c r="B6" s="8" cm="1">
        <f t="array" aca="1" ref="B6" ca="1">[1]!UNIFORM_INV(RAND(),Sheet2!D$13-SQRT(3)*Sheet2!D$14,Sheet2!D$13+SQRT(3)*Sheet2!D$14)</f>
        <v>6.3323507336198031</v>
      </c>
      <c r="C6" s="8" cm="1">
        <f t="array" aca="1" ref="C6" ca="1">[1]!UNIFORM_INV(RAND(),Sheet2!E$13-SQRT(3)*Sheet2!E$14,Sheet2!E$13+SQRT(3)*Sheet2!E$14)</f>
        <v>17.246048311586556</v>
      </c>
      <c r="D6" s="8" cm="1">
        <f t="array" aca="1" ref="D6" ca="1">[1]!UNIFORM_INV(RAND(),Sheet2!F$13-SQRT(3)*Sheet2!F$14,Sheet2!F$13+SQRT(3)*Sheet2!F$14)</f>
        <v>22.153831193087417</v>
      </c>
      <c r="E6" s="8" cm="1">
        <f t="array" aca="1" ref="E6" ca="1">[1]!UNIFORM_INV(RAND(),Sheet2!G$13-SQRT(3)*Sheet2!G$14,Sheet2!G$13+SQRT(3)*Sheet2!G$14)</f>
        <v>22.347019856984094</v>
      </c>
      <c r="F6" s="8" cm="1">
        <f t="array" aca="1" ref="F6" ca="1">[1]!UNIFORM_INV(RAND(),Sheet2!H$13-SQRT(3)*Sheet2!H$14,Sheet2!H$13+SQRT(3)*Sheet2!H$14)</f>
        <v>29.907533098256874</v>
      </c>
      <c r="G6" s="8" cm="1">
        <f t="array" aca="1" ref="G6" ca="1">[1]!UNIFORM_INV(RAND(),Sheet2!I$13-SQRT(3)*Sheet2!I$14,Sheet2!I$13+SQRT(3)*Sheet2!I$14)</f>
        <v>11.845505065166078</v>
      </c>
      <c r="H6" s="8" cm="1">
        <f t="array" aca="1" ref="H6" ca="1">[1]!UNIFORM_INV(RAND(),Sheet2!J$13-SQRT(3)*Sheet2!J$14,Sheet2!J$13+SQRT(3)*Sheet2!J$14)</f>
        <v>18.490477033897029</v>
      </c>
      <c r="I6" s="8" cm="1">
        <f t="array" aca="1" ref="I6" ca="1">[1]!UNIFORM_INV(RAND(),Sheet2!K$13-SQRT(3)*Sheet2!K$14,Sheet2!K$13+SQRT(3)*Sheet2!K$14)</f>
        <v>30.922368845856266</v>
      </c>
      <c r="J6" s="8" cm="1">
        <f t="array" aca="1" ref="J6" ca="1">[1]!UNIFORM_INV(RAND(),Sheet2!L$13-SQRT(3)*Sheet2!L$14,Sheet2!L$13+SQRT(3)*Sheet2!L$14)</f>
        <v>19.570068940302935</v>
      </c>
      <c r="K6" s="8" cm="1">
        <f t="array" aca="1" ref="K6" ca="1">[1]!UNIFORM_INV(RAND(),Sheet2!M$13-SQRT(3)*Sheet2!M$14,Sheet2!M$13+SQRT(3)*Sheet2!M$14)</f>
        <v>18.721028642976698</v>
      </c>
      <c r="L6" s="8" cm="1">
        <f t="array" aca="1" ref="L6" ca="1">[1]!UNIFORM_INV(RAND(),Sheet2!N$13-SQRT(3)*Sheet2!N$14,Sheet2!N$13+SQRT(3)*Sheet2!N$14)</f>
        <v>8.9834377265492815</v>
      </c>
      <c r="M6" s="8" cm="1">
        <f t="array" aca="1" ref="M6" ca="1">[1]!UNIFORM_INV(RAND(),Sheet2!O$13-SQRT(3)*Sheet2!O$14,Sheet2!O$13+SQRT(3)*Sheet2!O$14)</f>
        <v>5.4701179599261014</v>
      </c>
      <c r="N6" s="8" cm="1">
        <f t="array" aca="1" ref="N6" ca="1">[1]!UNIFORM_INV(RAND(),Sheet2!P$13-SQRT(3)*Sheet2!P$14,Sheet2!P$13+SQRT(3)*Sheet2!P$14)</f>
        <v>23.566893224675187</v>
      </c>
      <c r="O6" s="8" cm="1">
        <f t="array" aca="1" ref="O6" ca="1">[1]!UNIFORM_INV(RAND(),Sheet2!Q$13-SQRT(3)*Sheet2!Q$14,Sheet2!Q$13+SQRT(3)*Sheet2!Q$14)</f>
        <v>14.437609666351301</v>
      </c>
      <c r="P6" s="8" cm="1">
        <f t="array" aca="1" ref="P6" ca="1">[1]!UNIFORM_INV(RAND(),Sheet2!R$13-SQRT(3)*Sheet2!R$14,Sheet2!R$13+SQRT(3)*Sheet2!R$14)</f>
        <v>11.27866938466677</v>
      </c>
      <c r="Q6" s="8" cm="1">
        <f t="array" aca="1" ref="Q6" ca="1">[1]!UNIFORM_INV(RAND(),Sheet2!S$13-SQRT(3)*Sheet2!S$14,Sheet2!S$13+SQRT(3)*Sheet2!S$14)</f>
        <v>3.9806823460302088</v>
      </c>
      <c r="R6" s="8" cm="1">
        <f t="array" aca="1" ref="R6" ca="1">[1]!UNIFORM_INV(RAND(),Sheet2!T$13-SQRT(3)*Sheet2!T$14,Sheet2!T$13+SQRT(3)*Sheet2!T$14)</f>
        <v>10.586144205215909</v>
      </c>
      <c r="S6" s="8" cm="1">
        <f t="array" aca="1" ref="S6" ca="1">[1]!UNIFORM_INV(RAND(),Sheet2!U$13-SQRT(3)*Sheet2!U$14,Sheet2!U$13+SQRT(3)*Sheet2!U$14)</f>
        <v>23.995476092307513</v>
      </c>
      <c r="T6" s="8" cm="1">
        <f t="array" aca="1" ref="T6" ca="1">[1]!UNIFORM_INV(RAND(),Sheet2!V$13-SQRT(3)*Sheet2!V$14,Sheet2!V$13+SQRT(3)*Sheet2!V$14)</f>
        <v>24.75753972188889</v>
      </c>
      <c r="U6" s="8" cm="1">
        <f t="array" aca="1" ref="U6" ca="1">[1]!UNIFORM_INV(RAND(),Sheet2!W$13-SQRT(3)*Sheet2!W$14,Sheet2!W$13+SQRT(3)*Sheet2!W$14)</f>
        <v>25.101567442777995</v>
      </c>
      <c r="V6" s="8" cm="1">
        <f t="array" aca="1" ref="V6" ca="1">[1]!UNIFORM_INV(RAND(),Sheet2!X$13-SQRT(3)*Sheet2!X$14,Sheet2!X$13+SQRT(3)*Sheet2!X$14)</f>
        <v>21.628878730005709</v>
      </c>
      <c r="W6" s="8" cm="1">
        <f t="array" aca="1" ref="W6" ca="1">[1]!UNIFORM_INV(RAND(),Sheet2!Y$13-SQRT(3)*Sheet2!Y$14,Sheet2!Y$13+SQRT(3)*Sheet2!Y$14)</f>
        <v>22.54556205924964</v>
      </c>
      <c r="X6" s="8" cm="1">
        <f t="array" aca="1" ref="X6" ca="1">[1]!UNIFORM_INV(RAND(),Sheet2!Z$13-SQRT(3)*Sheet2!Z$14,Sheet2!Z$13+SQRT(3)*Sheet2!Z$14)</f>
        <v>8.7086671286403554</v>
      </c>
      <c r="AX6" s="7">
        <f ca="1">Sheet2!C$13+('RNG HERE'!A6-'RNG HERE'!Y$2)*Sheet2!C$14/'RNG HERE'!Y$3</f>
        <v>3.7328782040856447</v>
      </c>
      <c r="AY6" s="7">
        <f ca="1">Sheet2!D$13+('RNG HERE'!B6-'RNG HERE'!Z$2)*Sheet2!D$14/'RNG HERE'!Z$3</f>
        <v>6.1586258136932566</v>
      </c>
      <c r="AZ6" s="7">
        <f ca="1">Sheet2!E$13+('RNG HERE'!C6-'RNG HERE'!AA$2)*Sheet2!E$14/'RNG HERE'!AA$3</f>
        <v>17.363537012573456</v>
      </c>
      <c r="BA6" s="7">
        <f ca="1">Sheet2!F$13+('RNG HERE'!D6-'RNG HERE'!AB$2)*Sheet2!F$14/'RNG HERE'!AB$3</f>
        <v>22.480873959338442</v>
      </c>
      <c r="BB6" s="7">
        <f ca="1">Sheet2!G$13+('RNG HERE'!E6-'RNG HERE'!AC$2)*Sheet2!G$14/'RNG HERE'!AC$3</f>
        <v>22.471835749779604</v>
      </c>
      <c r="BC6" s="7">
        <f ca="1">Sheet2!H$13+('RNG HERE'!F6-'RNG HERE'!AD$2)*Sheet2!H$14/'RNG HERE'!AD$3</f>
        <v>30.469176362958983</v>
      </c>
      <c r="BD6" s="7">
        <f ca="1">Sheet2!I$13+('RNG HERE'!G6-'RNG HERE'!AE$2)*Sheet2!I$14/'RNG HERE'!AE$3</f>
        <v>11.917842658415093</v>
      </c>
      <c r="BE6" s="7">
        <f ca="1">Sheet2!J$13+('RNG HERE'!H6-'RNG HERE'!AF$2)*Sheet2!J$14/'RNG HERE'!AF$3</f>
        <v>18.280835554489588</v>
      </c>
      <c r="BF6" s="7">
        <f ca="1">Sheet2!K$13+('RNG HERE'!I6-'RNG HERE'!AG$2)*Sheet2!K$14/'RNG HERE'!AG$3</f>
        <v>30.507525306947841</v>
      </c>
      <c r="BG6" s="7">
        <f ca="1">Sheet2!L$13+('RNG HERE'!J6-'RNG HERE'!AH$2)*Sheet2!L$14/'RNG HERE'!AH$3</f>
        <v>19.494441840782638</v>
      </c>
      <c r="BH6" s="7">
        <f ca="1">Sheet2!M$13+('RNG HERE'!K6-'RNG HERE'!AI$2)*Sheet2!M$14/'RNG HERE'!AI$3</f>
        <v>18.909627027755516</v>
      </c>
      <c r="BI6" s="7">
        <f ca="1">Sheet2!N$13+('RNG HERE'!L6-'RNG HERE'!AJ$2)*Sheet2!N$14/'RNG HERE'!AJ$3</f>
        <v>8.6892741433965455</v>
      </c>
      <c r="BJ6" s="7">
        <f ca="1">Sheet2!O$13+('RNG HERE'!M6-'RNG HERE'!AK$2)*Sheet2!O$14/'RNG HERE'!AK$3</f>
        <v>5.4481043499264548</v>
      </c>
      <c r="BK6" s="7">
        <f ca="1">Sheet2!P$13+('RNG HERE'!N6-'RNG HERE'!AL$2)*Sheet2!P$14/'RNG HERE'!AL$3</f>
        <v>23.546895015332741</v>
      </c>
      <c r="BL6" s="7">
        <f ca="1">Sheet2!Q$13+('RNG HERE'!O6-'RNG HERE'!AM$2)*Sheet2!Q$14/'RNG HERE'!AM$3</f>
        <v>14.528405354285956</v>
      </c>
      <c r="BM6" s="7">
        <f ca="1">Sheet2!R$13+('RNG HERE'!P6-'RNG HERE'!AN$2)*Sheet2!R$14/'RNG HERE'!AN$3</f>
        <v>11.458731505399157</v>
      </c>
      <c r="BN6" s="7">
        <f ca="1">Sheet2!S$13+('RNG HERE'!Q6-'RNG HERE'!AO$2)*Sheet2!S$14/'RNG HERE'!AO$3</f>
        <v>4.004775462265119</v>
      </c>
      <c r="BO6" s="7">
        <f ca="1">Sheet2!T$13+('RNG HERE'!R6-'RNG HERE'!AP$2)*Sheet2!T$14/'RNG HERE'!AP$3</f>
        <v>10.840052533628807</v>
      </c>
      <c r="BP6" s="7">
        <f ca="1">Sheet2!U$13+('RNG HERE'!S6-'RNG HERE'!AQ$2)*Sheet2!U$14/'RNG HERE'!AQ$3</f>
        <v>24.180345130200628</v>
      </c>
      <c r="BQ6" s="7">
        <f ca="1">Sheet2!V$13+('RNG HERE'!T6-'RNG HERE'!AR$2)*Sheet2!V$14/'RNG HERE'!AR$3</f>
        <v>24.318224526510768</v>
      </c>
      <c r="BR6" s="7">
        <f ca="1">Sheet2!W$13+('RNG HERE'!U6-'RNG HERE'!AS$2)*Sheet2!W$14/'RNG HERE'!AS$3</f>
        <v>25.14676653452771</v>
      </c>
      <c r="BS6" s="7">
        <f ca="1">Sheet2!X$13+('RNG HERE'!V6-'RNG HERE'!AT$2)*Sheet2!X$14/'RNG HERE'!AT$3</f>
        <v>21.856985465935583</v>
      </c>
      <c r="BT6" s="7">
        <f ca="1">Sheet2!Y$13+('RNG HERE'!W6-'RNG HERE'!AU$2)*Sheet2!Y$14/'RNG HERE'!AU$3</f>
        <v>22.280367990330859</v>
      </c>
      <c r="BU6" s="7" t="e">
        <f ca="1">Sheet2!Z$13+('RNG HERE'!X6-'RNG HERE'!AV$2)*Sheet2!Z$14/'RNG HERE'!AV$3</f>
        <v>#NAME?</v>
      </c>
    </row>
    <row r="7" spans="1:97" x14ac:dyDescent="0.3">
      <c r="A7" s="8" cm="1">
        <f t="array" aca="1" ref="A7" ca="1">[1]!UNIFORM_INV(RAND(),Sheet2!C$13-SQRT(3)*Sheet2!C$14,Sheet2!C$13+SQRT(3)*Sheet2!C$14)</f>
        <v>2.8235393099709625</v>
      </c>
      <c r="B7" s="8" cm="1">
        <f t="array" aca="1" ref="B7" ca="1">[1]!UNIFORM_INV(RAND(),Sheet2!D$13-SQRT(3)*Sheet2!D$14,Sheet2!D$13+SQRT(3)*Sheet2!D$14)</f>
        <v>8.5070646282302302</v>
      </c>
      <c r="C7" s="8" cm="1">
        <f t="array" aca="1" ref="C7" ca="1">[1]!UNIFORM_INV(RAND(),Sheet2!E$13-SQRT(3)*Sheet2!E$14,Sheet2!E$13+SQRT(3)*Sheet2!E$14)</f>
        <v>20.833978266388897</v>
      </c>
      <c r="D7" s="8" cm="1">
        <f t="array" aca="1" ref="D7" ca="1">[1]!UNIFORM_INV(RAND(),Sheet2!F$13-SQRT(3)*Sheet2!F$14,Sheet2!F$13+SQRT(3)*Sheet2!F$14)</f>
        <v>20.100867083451476</v>
      </c>
      <c r="E7" s="8" cm="1">
        <f t="array" aca="1" ref="E7" ca="1">[1]!UNIFORM_INV(RAND(),Sheet2!G$13-SQRT(3)*Sheet2!G$14,Sheet2!G$13+SQRT(3)*Sheet2!G$14)</f>
        <v>20.412745125788831</v>
      </c>
      <c r="F7" s="8" cm="1">
        <f t="array" aca="1" ref="F7" ca="1">[1]!UNIFORM_INV(RAND(),Sheet2!H$13-SQRT(3)*Sheet2!H$14,Sheet2!H$13+SQRT(3)*Sheet2!H$14)</f>
        <v>30.37657791649346</v>
      </c>
      <c r="G7" s="8" cm="1">
        <f t="array" aca="1" ref="G7" ca="1">[1]!UNIFORM_INV(RAND(),Sheet2!I$13-SQRT(3)*Sheet2!I$14,Sheet2!I$13+SQRT(3)*Sheet2!I$14)</f>
        <v>12.278274098100471</v>
      </c>
      <c r="H7" s="8" cm="1">
        <f t="array" aca="1" ref="H7" ca="1">[1]!UNIFORM_INV(RAND(),Sheet2!J$13-SQRT(3)*Sheet2!J$14,Sheet2!J$13+SQRT(3)*Sheet2!J$14)</f>
        <v>18.982975480522292</v>
      </c>
      <c r="I7" s="8" cm="1">
        <f t="array" aca="1" ref="I7" ca="1">[1]!UNIFORM_INV(RAND(),Sheet2!K$13-SQRT(3)*Sheet2!K$14,Sheet2!K$13+SQRT(3)*Sheet2!K$14)</f>
        <v>27.747667614504664</v>
      </c>
      <c r="J7" s="8" cm="1">
        <f t="array" aca="1" ref="J7" ca="1">[1]!UNIFORM_INV(RAND(),Sheet2!L$13-SQRT(3)*Sheet2!L$14,Sheet2!L$13+SQRT(3)*Sheet2!L$14)</f>
        <v>18.623833697410042</v>
      </c>
      <c r="K7" s="8" cm="1">
        <f t="array" aca="1" ref="K7" ca="1">[1]!UNIFORM_INV(RAND(),Sheet2!M$13-SQRT(3)*Sheet2!M$14,Sheet2!M$13+SQRT(3)*Sheet2!M$14)</f>
        <v>19.281439680925171</v>
      </c>
      <c r="L7" s="8" cm="1">
        <f t="array" aca="1" ref="L7" ca="1">[1]!UNIFORM_INV(RAND(),Sheet2!N$13-SQRT(3)*Sheet2!N$14,Sheet2!N$13+SQRT(3)*Sheet2!N$14)</f>
        <v>8.3629697411019865</v>
      </c>
      <c r="M7" s="8" cm="1">
        <f t="array" aca="1" ref="M7" ca="1">[1]!UNIFORM_INV(RAND(),Sheet2!O$13-SQRT(3)*Sheet2!O$14,Sheet2!O$13+SQRT(3)*Sheet2!O$14)</f>
        <v>7.4600765986659132</v>
      </c>
      <c r="N7" s="8" cm="1">
        <f t="array" aca="1" ref="N7" ca="1">[1]!UNIFORM_INV(RAND(),Sheet2!P$13-SQRT(3)*Sheet2!P$14,Sheet2!P$13+SQRT(3)*Sheet2!P$14)</f>
        <v>19.109185727900378</v>
      </c>
      <c r="O7" s="8" cm="1">
        <f t="array" aca="1" ref="O7" ca="1">[1]!UNIFORM_INV(RAND(),Sheet2!Q$13-SQRT(3)*Sheet2!Q$14,Sheet2!Q$13+SQRT(3)*Sheet2!Q$14)</f>
        <v>13.716281043227516</v>
      </c>
      <c r="P7" s="8" cm="1">
        <f t="array" aca="1" ref="P7" ca="1">[1]!UNIFORM_INV(RAND(),Sheet2!R$13-SQRT(3)*Sheet2!R$14,Sheet2!R$13+SQRT(3)*Sheet2!R$14)</f>
        <v>9.1787569072584922</v>
      </c>
      <c r="Q7" s="8" cm="1">
        <f t="array" aca="1" ref="Q7" ca="1">[1]!UNIFORM_INV(RAND(),Sheet2!S$13-SQRT(3)*Sheet2!S$14,Sheet2!S$13+SQRT(3)*Sheet2!S$14)</f>
        <v>2.6272788254781445</v>
      </c>
      <c r="R7" s="8" cm="1">
        <f t="array" aca="1" ref="R7" ca="1">[1]!UNIFORM_INV(RAND(),Sheet2!T$13-SQRT(3)*Sheet2!T$14,Sheet2!T$13+SQRT(3)*Sheet2!T$14)</f>
        <v>11.011719827199665</v>
      </c>
      <c r="S7" s="8" cm="1">
        <f t="array" aca="1" ref="S7" ca="1">[1]!UNIFORM_INV(RAND(),Sheet2!U$13-SQRT(3)*Sheet2!U$14,Sheet2!U$13+SQRT(3)*Sheet2!U$14)</f>
        <v>22.844551948338857</v>
      </c>
      <c r="T7" s="8" cm="1">
        <f t="array" aca="1" ref="T7" ca="1">[1]!UNIFORM_INV(RAND(),Sheet2!V$13-SQRT(3)*Sheet2!V$14,Sheet2!V$13+SQRT(3)*Sheet2!V$14)</f>
        <v>24.641706447166982</v>
      </c>
      <c r="U7" s="8" cm="1">
        <f t="array" aca="1" ref="U7" ca="1">[1]!UNIFORM_INV(RAND(),Sheet2!W$13-SQRT(3)*Sheet2!W$14,Sheet2!W$13+SQRT(3)*Sheet2!W$14)</f>
        <v>22.380122316355532</v>
      </c>
      <c r="V7" s="8" cm="1">
        <f t="array" aca="1" ref="V7" ca="1">[1]!UNIFORM_INV(RAND(),Sheet2!X$13-SQRT(3)*Sheet2!X$14,Sheet2!X$13+SQRT(3)*Sheet2!X$14)</f>
        <v>21.14327138956228</v>
      </c>
      <c r="W7" s="8" cm="1">
        <f t="array" aca="1" ref="W7" ca="1">[1]!UNIFORM_INV(RAND(),Sheet2!Y$13-SQRT(3)*Sheet2!Y$14,Sheet2!Y$13+SQRT(3)*Sheet2!Y$14)</f>
        <v>22.043064482966788</v>
      </c>
      <c r="X7" s="8" cm="1">
        <f t="array" aca="1" ref="X7" ca="1">[1]!UNIFORM_INV(RAND(),Sheet2!Z$13-SQRT(3)*Sheet2!Z$14,Sheet2!Z$13+SQRT(3)*Sheet2!Z$14)</f>
        <v>7.42672270788949</v>
      </c>
      <c r="AX7" s="7">
        <f ca="1">Sheet2!C$13+('RNG HERE'!A7-'RNG HERE'!Y$2)*Sheet2!C$14/'RNG HERE'!Y$3</f>
        <v>2.801027041546885</v>
      </c>
      <c r="AY7" s="7">
        <f ca="1">Sheet2!D$13+('RNG HERE'!B7-'RNG HERE'!Z$2)*Sheet2!D$14/'RNG HERE'!Z$3</f>
        <v>8.3278585982839495</v>
      </c>
      <c r="AZ7" s="7">
        <f ca="1">Sheet2!E$13+('RNG HERE'!C7-'RNG HERE'!AA$2)*Sheet2!E$14/'RNG HERE'!AA$3</f>
        <v>21.321786721017187</v>
      </c>
      <c r="BA7" s="7">
        <f ca="1">Sheet2!F$13+('RNG HERE'!D7-'RNG HERE'!AB$2)*Sheet2!F$14/'RNG HERE'!AB$3</f>
        <v>20.130633436715016</v>
      </c>
      <c r="BB7" s="7">
        <f ca="1">Sheet2!G$13+('RNG HERE'!E7-'RNG HERE'!AC$2)*Sheet2!G$14/'RNG HERE'!AC$3</f>
        <v>20.478787828663204</v>
      </c>
      <c r="BC7" s="7">
        <f ca="1">Sheet2!H$13+('RNG HERE'!F7-'RNG HERE'!AD$2)*Sheet2!H$14/'RNG HERE'!AD$3</f>
        <v>30.956106325104187</v>
      </c>
      <c r="BD7" s="7">
        <f ca="1">Sheet2!I$13+('RNG HERE'!G7-'RNG HERE'!AE$2)*Sheet2!I$14/'RNG HERE'!AE$3</f>
        <v>12.324205022990933</v>
      </c>
      <c r="BE7" s="7">
        <f ca="1">Sheet2!J$13+('RNG HERE'!H7-'RNG HERE'!AF$2)*Sheet2!J$14/'RNG HERE'!AF$3</f>
        <v>18.817126162062781</v>
      </c>
      <c r="BF7" s="7">
        <f ca="1">Sheet2!K$13+('RNG HERE'!I7-'RNG HERE'!AG$2)*Sheet2!K$14/'RNG HERE'!AG$3</f>
        <v>27.62963415192138</v>
      </c>
      <c r="BG7" s="7">
        <f ca="1">Sheet2!L$13+('RNG HERE'!J7-'RNG HERE'!AH$2)*Sheet2!L$14/'RNG HERE'!AH$3</f>
        <v>18.501463950138699</v>
      </c>
      <c r="BH7" s="7">
        <f ca="1">Sheet2!M$13+('RNG HERE'!K7-'RNG HERE'!AI$2)*Sheet2!M$14/'RNG HERE'!AI$3</f>
        <v>19.464001094107513</v>
      </c>
      <c r="BI7" s="7">
        <f ca="1">Sheet2!N$13+('RNG HERE'!L7-'RNG HERE'!AJ$2)*Sheet2!N$14/'RNG HERE'!AJ$3</f>
        <v>8.0240175452854814</v>
      </c>
      <c r="BJ7" s="7">
        <f ca="1">Sheet2!O$13+('RNG HERE'!M7-'RNG HERE'!AK$2)*Sheet2!O$14/'RNG HERE'!AK$3</f>
        <v>7.5854972813659964</v>
      </c>
      <c r="BK7" s="7">
        <f ca="1">Sheet2!P$13+('RNG HERE'!N7-'RNG HERE'!AL$2)*Sheet2!P$14/'RNG HERE'!AL$3</f>
        <v>18.797306714488688</v>
      </c>
      <c r="BL7" s="7">
        <f ca="1">Sheet2!Q$13+('RNG HERE'!O7-'RNG HERE'!AM$2)*Sheet2!Q$14/'RNG HERE'!AM$3</f>
        <v>13.856838122870204</v>
      </c>
      <c r="BM7" s="7">
        <f ca="1">Sheet2!R$13+('RNG HERE'!P7-'RNG HERE'!AN$2)*Sheet2!R$14/'RNG HERE'!AN$3</f>
        <v>9.235699538981164</v>
      </c>
      <c r="BN7" s="7">
        <f ca="1">Sheet2!S$13+('RNG HERE'!Q7-'RNG HERE'!AO$2)*Sheet2!S$14/'RNG HERE'!AO$3</f>
        <v>2.7845327102714768</v>
      </c>
      <c r="BO7" s="7">
        <f ca="1">Sheet2!T$13+('RNG HERE'!R7-'RNG HERE'!AP$2)*Sheet2!T$14/'RNG HERE'!AP$3</f>
        <v>11.359449138475226</v>
      </c>
      <c r="BP7" s="7">
        <f ca="1">Sheet2!U$13+('RNG HERE'!S7-'RNG HERE'!AQ$2)*Sheet2!U$14/'RNG HERE'!AQ$3</f>
        <v>23.064429169534904</v>
      </c>
      <c r="BQ7" s="7">
        <f ca="1">Sheet2!V$13+('RNG HERE'!T7-'RNG HERE'!AR$2)*Sheet2!V$14/'RNG HERE'!AR$3</f>
        <v>24.194098492993863</v>
      </c>
      <c r="BR7" s="7">
        <f ca="1">Sheet2!W$13+('RNG HERE'!U7-'RNG HERE'!AS$2)*Sheet2!W$14/'RNG HERE'!AS$3</f>
        <v>22.430059226412361</v>
      </c>
      <c r="BS7" s="7">
        <f ca="1">Sheet2!X$13+('RNG HERE'!V7-'RNG HERE'!AT$2)*Sheet2!X$14/'RNG HERE'!AT$3</f>
        <v>21.270465704965972</v>
      </c>
      <c r="BT7" s="7">
        <f ca="1">Sheet2!Y$13+('RNG HERE'!W7-'RNG HERE'!AU$2)*Sheet2!Y$14/'RNG HERE'!AU$3</f>
        <v>21.747112314972092</v>
      </c>
      <c r="BU7" s="7" t="e">
        <f ca="1">Sheet2!Z$13+('RNG HERE'!X7-'RNG HERE'!AV$2)*Sheet2!Z$14/'RNG HERE'!AV$3</f>
        <v>#NAME?</v>
      </c>
    </row>
    <row r="8" spans="1:97" x14ac:dyDescent="0.3">
      <c r="A8" s="8" cm="1">
        <f t="array" aca="1" ref="A8" ca="1">[1]!UNIFORM_INV(RAND(),Sheet2!C$13-SQRT(3)*Sheet2!C$14,Sheet2!C$13+SQRT(3)*Sheet2!C$14)</f>
        <v>3.441224073820365</v>
      </c>
      <c r="B8" s="8" cm="1">
        <f t="array" aca="1" ref="B8" ca="1">[1]!UNIFORM_INV(RAND(),Sheet2!D$13-SQRT(3)*Sheet2!D$14,Sheet2!D$13+SQRT(3)*Sheet2!D$14)</f>
        <v>5.860212111454369</v>
      </c>
      <c r="C8" s="8" cm="1">
        <f t="array" aca="1" ref="C8" ca="1">[1]!UNIFORM_INV(RAND(),Sheet2!E$13-SQRT(3)*Sheet2!E$14,Sheet2!E$13+SQRT(3)*Sheet2!E$14)</f>
        <v>19.355308914091694</v>
      </c>
      <c r="D8" s="8" cm="1">
        <f t="array" aca="1" ref="D8" ca="1">[1]!UNIFORM_INV(RAND(),Sheet2!F$13-SQRT(3)*Sheet2!F$14,Sheet2!F$13+SQRT(3)*Sheet2!F$14)</f>
        <v>19.910572037616486</v>
      </c>
      <c r="E8" s="8" cm="1">
        <f t="array" aca="1" ref="E8" ca="1">[1]!UNIFORM_INV(RAND(),Sheet2!G$13-SQRT(3)*Sheet2!G$14,Sheet2!G$13+SQRT(3)*Sheet2!G$14)</f>
        <v>17.269740711802008</v>
      </c>
      <c r="F8" s="8" cm="1">
        <f t="array" aca="1" ref="F8" ca="1">[1]!UNIFORM_INV(RAND(),Sheet2!H$13-SQRT(3)*Sheet2!H$14,Sheet2!H$13+SQRT(3)*Sheet2!H$14)</f>
        <v>31.676139688972569</v>
      </c>
      <c r="G8" s="8" cm="1">
        <f t="array" aca="1" ref="G8" ca="1">[1]!UNIFORM_INV(RAND(),Sheet2!I$13-SQRT(3)*Sheet2!I$14,Sheet2!I$13+SQRT(3)*Sheet2!I$14)</f>
        <v>12.612815661960951</v>
      </c>
      <c r="H8" s="8" cm="1">
        <f t="array" aca="1" ref="H8" ca="1">[1]!UNIFORM_INV(RAND(),Sheet2!J$13-SQRT(3)*Sheet2!J$14,Sheet2!J$13+SQRT(3)*Sheet2!J$14)</f>
        <v>19.563675284441892</v>
      </c>
      <c r="I8" s="8" cm="1">
        <f t="array" aca="1" ref="I8" ca="1">[1]!UNIFORM_INV(RAND(),Sheet2!K$13-SQRT(3)*Sheet2!K$14,Sheet2!K$13+SQRT(3)*Sheet2!K$14)</f>
        <v>28.524557476938675</v>
      </c>
      <c r="J8" s="8" cm="1">
        <f t="array" aca="1" ref="J8" ca="1">[1]!UNIFORM_INV(RAND(),Sheet2!L$13-SQRT(3)*Sheet2!L$14,Sheet2!L$13+SQRT(3)*Sheet2!L$14)</f>
        <v>21.128041443895867</v>
      </c>
      <c r="K8" s="8" cm="1">
        <f t="array" aca="1" ref="K8" ca="1">[1]!UNIFORM_INV(RAND(),Sheet2!M$13-SQRT(3)*Sheet2!M$14,Sheet2!M$13+SQRT(3)*Sheet2!M$14)</f>
        <v>19.510805889935732</v>
      </c>
      <c r="L8" s="8" cm="1">
        <f t="array" aca="1" ref="L8" ca="1">[1]!UNIFORM_INV(RAND(),Sheet2!N$13-SQRT(3)*Sheet2!N$14,Sheet2!N$13+SQRT(3)*Sheet2!N$14)</f>
        <v>9.4862988222982949</v>
      </c>
      <c r="M8" s="8" cm="1">
        <f t="array" aca="1" ref="M8" ca="1">[1]!UNIFORM_INV(RAND(),Sheet2!O$13-SQRT(3)*Sheet2!O$14,Sheet2!O$13+SQRT(3)*Sheet2!O$14)</f>
        <v>4.4864744603618201</v>
      </c>
      <c r="N8" s="8" cm="1">
        <f t="array" aca="1" ref="N8" ca="1">[1]!UNIFORM_INV(RAND(),Sheet2!P$13-SQRT(3)*Sheet2!P$14,Sheet2!P$13+SQRT(3)*Sheet2!P$14)</f>
        <v>23.306733449308634</v>
      </c>
      <c r="O8" s="8" cm="1">
        <f t="array" aca="1" ref="O8" ca="1">[1]!UNIFORM_INV(RAND(),Sheet2!Q$13-SQRT(3)*Sheet2!Q$14,Sheet2!Q$13+SQRT(3)*Sheet2!Q$14)</f>
        <v>11.2238676869601</v>
      </c>
      <c r="P8" s="8" cm="1">
        <f t="array" aca="1" ref="P8" ca="1">[1]!UNIFORM_INV(RAND(),Sheet2!R$13-SQRT(3)*Sheet2!R$14,Sheet2!R$13+SQRT(3)*Sheet2!R$14)</f>
        <v>9.9187251920791972</v>
      </c>
      <c r="Q8" s="8" cm="1">
        <f t="array" aca="1" ref="Q8" ca="1">[1]!UNIFORM_INV(RAND(),Sheet2!S$13-SQRT(3)*Sheet2!S$14,Sheet2!S$13+SQRT(3)*Sheet2!S$14)</f>
        <v>3.1580463650459478</v>
      </c>
      <c r="R8" s="8" cm="1">
        <f t="array" aca="1" ref="R8" ca="1">[1]!UNIFORM_INV(RAND(),Sheet2!T$13-SQRT(3)*Sheet2!T$14,Sheet2!T$13+SQRT(3)*Sheet2!T$14)</f>
        <v>10.68386760574406</v>
      </c>
      <c r="S8" s="8" cm="1">
        <f t="array" aca="1" ref="S8" ca="1">[1]!UNIFORM_INV(RAND(),Sheet2!U$13-SQRT(3)*Sheet2!U$14,Sheet2!U$13+SQRT(3)*Sheet2!U$14)</f>
        <v>24.969132531141845</v>
      </c>
      <c r="T8" s="8" cm="1">
        <f t="array" aca="1" ref="T8" ca="1">[1]!UNIFORM_INV(RAND(),Sheet2!V$13-SQRT(3)*Sheet2!V$14,Sheet2!V$13+SQRT(3)*Sheet2!V$14)</f>
        <v>25.606139381874367</v>
      </c>
      <c r="U8" s="8" cm="1">
        <f t="array" aca="1" ref="U8" ca="1">[1]!UNIFORM_INV(RAND(),Sheet2!W$13-SQRT(3)*Sheet2!W$14,Sheet2!W$13+SQRT(3)*Sheet2!W$14)</f>
        <v>25.502601571064705</v>
      </c>
      <c r="V8" s="8" cm="1">
        <f t="array" aca="1" ref="V8" ca="1">[1]!UNIFORM_INV(RAND(),Sheet2!X$13-SQRT(3)*Sheet2!X$14,Sheet2!X$13+SQRT(3)*Sheet2!X$14)</f>
        <v>22.404810787068346</v>
      </c>
      <c r="W8" s="8" cm="1">
        <f t="array" aca="1" ref="W8" ca="1">[1]!UNIFORM_INV(RAND(),Sheet2!Y$13-SQRT(3)*Sheet2!Y$14,Sheet2!Y$13+SQRT(3)*Sheet2!Y$14)</f>
        <v>22.052271808233495</v>
      </c>
      <c r="X8" s="8" cm="1">
        <f t="array" aca="1" ref="X8" ca="1">[1]!UNIFORM_INV(RAND(),Sheet2!Z$13-SQRT(3)*Sheet2!Z$14,Sheet2!Z$13+SQRT(3)*Sheet2!Z$14)</f>
        <v>7.6442774454457894</v>
      </c>
      <c r="AX8" s="7">
        <f ca="1">Sheet2!C$13+('RNG HERE'!A8-'RNG HERE'!Y$2)*Sheet2!C$14/'RNG HERE'!Y$3</f>
        <v>3.4067509846702833</v>
      </c>
      <c r="AY8" s="7">
        <f ca="1">Sheet2!D$13+('RNG HERE'!B8-'RNG HERE'!Z$2)*Sheet2!D$14/'RNG HERE'!Z$3</f>
        <v>5.6876771612700807</v>
      </c>
      <c r="AZ8" s="7">
        <f ca="1">Sheet2!E$13+('RNG HERE'!C8-'RNG HERE'!AA$2)*Sheet2!E$14/'RNG HERE'!AA$3</f>
        <v>19.690499988459578</v>
      </c>
      <c r="BA8" s="7">
        <f ca="1">Sheet2!F$13+('RNG HERE'!D8-'RNG HERE'!AB$2)*Sheet2!F$14/'RNG HERE'!AB$3</f>
        <v>19.912782999935981</v>
      </c>
      <c r="BB8" s="7">
        <f ca="1">Sheet2!G$13+('RNG HERE'!E8-'RNG HERE'!AC$2)*Sheet2!G$14/'RNG HERE'!AC$3</f>
        <v>17.240282815735053</v>
      </c>
      <c r="BC8" s="7">
        <f ca="1">Sheet2!H$13+('RNG HERE'!F8-'RNG HERE'!AD$2)*Sheet2!H$14/'RNG HERE'!AD$3</f>
        <v>32.305221676293122</v>
      </c>
      <c r="BD8" s="7">
        <f ca="1">Sheet2!I$13+('RNG HERE'!G8-'RNG HERE'!AE$2)*Sheet2!I$14/'RNG HERE'!AE$3</f>
        <v>12.638333554825724</v>
      </c>
      <c r="BE8" s="7">
        <f ca="1">Sheet2!J$13+('RNG HERE'!H8-'RNG HERE'!AF$2)*Sheet2!J$14/'RNG HERE'!AF$3</f>
        <v>19.449460848183396</v>
      </c>
      <c r="BF8" s="7">
        <f ca="1">Sheet2!K$13+('RNG HERE'!I8-'RNG HERE'!AG$2)*Sheet2!K$14/'RNG HERE'!AG$3</f>
        <v>28.333890804940882</v>
      </c>
      <c r="BG8" s="7">
        <f ca="1">Sheet2!L$13+('RNG HERE'!J8-'RNG HERE'!AH$2)*Sheet2!L$14/'RNG HERE'!AH$3</f>
        <v>21.129375925006006</v>
      </c>
      <c r="BH8" s="7">
        <f ca="1">Sheet2!M$13+('RNG HERE'!K8-'RNG HERE'!AI$2)*Sheet2!M$14/'RNG HERE'!AI$3</f>
        <v>19.690896478678109</v>
      </c>
      <c r="BI8" s="7">
        <f ca="1">Sheet2!N$13+('RNG HERE'!L8-'RNG HERE'!AJ$2)*Sheet2!N$14/'RNG HERE'!AJ$3</f>
        <v>9.2284343736205567</v>
      </c>
      <c r="BJ8" s="7">
        <f ca="1">Sheet2!O$13+('RNG HERE'!M8-'RNG HERE'!AK$2)*Sheet2!O$14/'RNG HERE'!AK$3</f>
        <v>4.3915835649735753</v>
      </c>
      <c r="BK8" s="7">
        <f ca="1">Sheet2!P$13+('RNG HERE'!N8-'RNG HERE'!AL$2)*Sheet2!P$14/'RNG HERE'!AL$3</f>
        <v>23.269700554654197</v>
      </c>
      <c r="BL8" s="7">
        <f ca="1">Sheet2!Q$13+('RNG HERE'!O8-'RNG HERE'!AM$2)*Sheet2!Q$14/'RNG HERE'!AM$3</f>
        <v>11.536365756248328</v>
      </c>
      <c r="BM8" s="7">
        <f ca="1">Sheet2!R$13+('RNG HERE'!P8-'RNG HERE'!AN$2)*Sheet2!R$14/'RNG HERE'!AN$3</f>
        <v>10.019052735359212</v>
      </c>
      <c r="BN8" s="7">
        <f ca="1">Sheet2!S$13+('RNG HERE'!Q8-'RNG HERE'!AO$2)*Sheet2!S$14/'RNG HERE'!AO$3</f>
        <v>3.2630782684261672</v>
      </c>
      <c r="BO8" s="7">
        <f ca="1">Sheet2!T$13+('RNG HERE'!R8-'RNG HERE'!AP$2)*Sheet2!T$14/'RNG HERE'!AP$3</f>
        <v>10.959319709252664</v>
      </c>
      <c r="BP8" s="7">
        <f ca="1">Sheet2!U$13+('RNG HERE'!S8-'RNG HERE'!AQ$2)*Sheet2!U$14/'RNG HERE'!AQ$3</f>
        <v>25.124385418167488</v>
      </c>
      <c r="BQ8" s="7">
        <f ca="1">Sheet2!V$13+('RNG HERE'!T8-'RNG HERE'!AR$2)*Sheet2!V$14/'RNG HERE'!AR$3</f>
        <v>25.22757730178779</v>
      </c>
      <c r="BR8" s="7">
        <f ca="1">Sheet2!W$13+('RNG HERE'!U8-'RNG HERE'!AS$2)*Sheet2!W$14/'RNG HERE'!AS$3</f>
        <v>25.547102494471314</v>
      </c>
      <c r="BS8" s="7">
        <f ca="1">Sheet2!X$13+('RNG HERE'!V8-'RNG HERE'!AT$2)*Sheet2!X$14/'RNG HERE'!AT$3</f>
        <v>22.794161341863376</v>
      </c>
      <c r="BT8" s="7">
        <f ca="1">Sheet2!Y$13+('RNG HERE'!W8-'RNG HERE'!AU$2)*Sheet2!Y$14/'RNG HERE'!AU$3</f>
        <v>21.756883224694018</v>
      </c>
      <c r="BU8" s="7" t="e">
        <f ca="1">Sheet2!Z$13+('RNG HERE'!X8-'RNG HERE'!AV$2)*Sheet2!Z$14/'RNG HERE'!AV$3</f>
        <v>#NAME?</v>
      </c>
    </row>
    <row r="9" spans="1:97" x14ac:dyDescent="0.3">
      <c r="A9" s="8" cm="1">
        <f t="array" aca="1" ref="A9" ca="1">[1]!UNIFORM_INV(RAND(),Sheet2!C$13-SQRT(3)*Sheet2!C$14,Sheet2!C$13+SQRT(3)*Sheet2!C$14)</f>
        <v>3.9696466825635972</v>
      </c>
      <c r="B9" s="8" cm="1">
        <f t="array" aca="1" ref="B9" ca="1">[1]!UNIFORM_INV(RAND(),Sheet2!D$13-SQRT(3)*Sheet2!D$14,Sheet2!D$13+SQRT(3)*Sheet2!D$14)</f>
        <v>5.6868985116843973</v>
      </c>
      <c r="C9" s="8" cm="1">
        <f t="array" aca="1" ref="C9" ca="1">[1]!UNIFORM_INV(RAND(),Sheet2!E$13-SQRT(3)*Sheet2!E$14,Sheet2!E$13+SQRT(3)*Sheet2!E$14)</f>
        <v>17.861158947052846</v>
      </c>
      <c r="D9" s="8" cm="1">
        <f t="array" aca="1" ref="D9" ca="1">[1]!UNIFORM_INV(RAND(),Sheet2!F$13-SQRT(3)*Sheet2!F$14,Sheet2!F$13+SQRT(3)*Sheet2!F$14)</f>
        <v>22.468812729856122</v>
      </c>
      <c r="E9" s="8" cm="1">
        <f t="array" aca="1" ref="E9" ca="1">[1]!UNIFORM_INV(RAND(),Sheet2!G$13-SQRT(3)*Sheet2!G$14,Sheet2!G$13+SQRT(3)*Sheet2!G$14)</f>
        <v>17.928124706825024</v>
      </c>
      <c r="F9" s="8" cm="1">
        <f t="array" aca="1" ref="F9" ca="1">[1]!UNIFORM_INV(RAND(),Sheet2!H$13-SQRT(3)*Sheet2!H$14,Sheet2!H$13+SQRT(3)*Sheet2!H$14)</f>
        <v>27.530618834257101</v>
      </c>
      <c r="G9" s="8" cm="1">
        <f t="array" aca="1" ref="G9" ca="1">[1]!UNIFORM_INV(RAND(),Sheet2!I$13-SQRT(3)*Sheet2!I$14,Sheet2!I$13+SQRT(3)*Sheet2!I$14)</f>
        <v>13.093438217728362</v>
      </c>
      <c r="H9" s="8" cm="1">
        <f t="array" aca="1" ref="H9" ca="1">[1]!UNIFORM_INV(RAND(),Sheet2!J$13-SQRT(3)*Sheet2!J$14,Sheet2!J$13+SQRT(3)*Sheet2!J$14)</f>
        <v>18.667861256677828</v>
      </c>
      <c r="I9" s="8" cm="1">
        <f t="array" aca="1" ref="I9" ca="1">[1]!UNIFORM_INV(RAND(),Sheet2!K$13-SQRT(3)*Sheet2!K$14,Sheet2!K$13+SQRT(3)*Sheet2!K$14)</f>
        <v>29.708193451096207</v>
      </c>
      <c r="J9" s="8" cm="1">
        <f t="array" aca="1" ref="J9" ca="1">[1]!UNIFORM_INV(RAND(),Sheet2!L$13-SQRT(3)*Sheet2!L$14,Sheet2!L$13+SQRT(3)*Sheet2!L$14)</f>
        <v>19.28287094850732</v>
      </c>
      <c r="K9" s="8" cm="1">
        <f t="array" aca="1" ref="K9" ca="1">[1]!UNIFORM_INV(RAND(),Sheet2!M$13-SQRT(3)*Sheet2!M$14,Sheet2!M$13+SQRT(3)*Sheet2!M$14)</f>
        <v>20.829312445599214</v>
      </c>
      <c r="L9" s="8" cm="1">
        <f t="array" aca="1" ref="L9" ca="1">[1]!UNIFORM_INV(RAND(),Sheet2!N$13-SQRT(3)*Sheet2!N$14,Sheet2!N$13+SQRT(3)*Sheet2!N$14)</f>
        <v>9.0654799213214243</v>
      </c>
      <c r="M9" s="8" cm="1">
        <f t="array" aca="1" ref="M9" ca="1">[1]!UNIFORM_INV(RAND(),Sheet2!O$13-SQRT(3)*Sheet2!O$14,Sheet2!O$13+SQRT(3)*Sheet2!O$14)</f>
        <v>5.2928369706906535</v>
      </c>
      <c r="N9" s="8" cm="1">
        <f t="array" aca="1" ref="N9" ca="1">[1]!UNIFORM_INV(RAND(),Sheet2!P$13-SQRT(3)*Sheet2!P$14,Sheet2!P$13+SQRT(3)*Sheet2!P$14)</f>
        <v>20.287459497696329</v>
      </c>
      <c r="O9" s="8" cm="1">
        <f t="array" aca="1" ref="O9" ca="1">[1]!UNIFORM_INV(RAND(),Sheet2!Q$13-SQRT(3)*Sheet2!Q$14,Sheet2!Q$13+SQRT(3)*Sheet2!Q$14)</f>
        <v>12.236154459229276</v>
      </c>
      <c r="P9" s="8" cm="1">
        <f t="array" aca="1" ref="P9" ca="1">[1]!UNIFORM_INV(RAND(),Sheet2!R$13-SQRT(3)*Sheet2!R$14,Sheet2!R$13+SQRT(3)*Sheet2!R$14)</f>
        <v>9.6122368848417779</v>
      </c>
      <c r="Q9" s="8" cm="1">
        <f t="array" aca="1" ref="Q9" ca="1">[1]!UNIFORM_INV(RAND(),Sheet2!S$13-SQRT(3)*Sheet2!S$14,Sheet2!S$13+SQRT(3)*Sheet2!S$14)</f>
        <v>3.8771039727817169</v>
      </c>
      <c r="R9" s="8" cm="1">
        <f t="array" aca="1" ref="R9" ca="1">[1]!UNIFORM_INV(RAND(),Sheet2!T$13-SQRT(3)*Sheet2!T$14,Sheet2!T$13+SQRT(3)*Sheet2!T$14)</f>
        <v>14.728004881389083</v>
      </c>
      <c r="S9" s="8" cm="1">
        <f t="array" aca="1" ref="S9" ca="1">[1]!UNIFORM_INV(RAND(),Sheet2!U$13-SQRT(3)*Sheet2!U$14,Sheet2!U$13+SQRT(3)*Sheet2!U$14)</f>
        <v>22.009751511111091</v>
      </c>
      <c r="T9" s="8" cm="1">
        <f t="array" aca="1" ref="T9" ca="1">[1]!UNIFORM_INV(RAND(),Sheet2!V$13-SQRT(3)*Sheet2!V$14,Sheet2!V$13+SQRT(3)*Sheet2!V$14)</f>
        <v>23.933374216277329</v>
      </c>
      <c r="U9" s="8" cm="1">
        <f t="array" aca="1" ref="U9" ca="1">[1]!UNIFORM_INV(RAND(),Sheet2!W$13-SQRT(3)*Sheet2!W$14,Sheet2!W$13+SQRT(3)*Sheet2!W$14)</f>
        <v>25.968462243280808</v>
      </c>
      <c r="V9" s="8" cm="1">
        <f t="array" aca="1" ref="V9" ca="1">[1]!UNIFORM_INV(RAND(),Sheet2!X$13-SQRT(3)*Sheet2!X$14,Sheet2!X$13+SQRT(3)*Sheet2!X$14)</f>
        <v>21.237822995347248</v>
      </c>
      <c r="W9" s="8" cm="1">
        <f t="array" aca="1" ref="W9" ca="1">[1]!UNIFORM_INV(RAND(),Sheet2!Y$13-SQRT(3)*Sheet2!Y$14,Sheet2!Y$13+SQRT(3)*Sheet2!Y$14)</f>
        <v>22.447348088245736</v>
      </c>
      <c r="X9" s="8" cm="1">
        <f t="array" aca="1" ref="X9" ca="1">[1]!UNIFORM_INV(RAND(),Sheet2!Z$13-SQRT(3)*Sheet2!Z$14,Sheet2!Z$13+SQRT(3)*Sheet2!Z$14)</f>
        <v>8.2504962191540958</v>
      </c>
      <c r="Z9" s="9" t="s">
        <v>88</v>
      </c>
      <c r="AA9" s="10"/>
      <c r="AB9" s="10"/>
      <c r="AC9" s="10"/>
      <c r="AD9" s="10"/>
      <c r="AE9" s="10"/>
      <c r="AF9" s="10"/>
      <c r="AG9" s="10"/>
      <c r="AH9" s="10"/>
      <c r="AJ9" s="9" t="s">
        <v>89</v>
      </c>
      <c r="AK9" s="10"/>
      <c r="AL9" s="10"/>
      <c r="AM9" s="10"/>
      <c r="AN9" s="10"/>
      <c r="AO9" s="10"/>
      <c r="AP9" s="10"/>
      <c r="AQ9" s="10"/>
      <c r="AR9" s="10"/>
      <c r="AS9" s="10"/>
      <c r="AX9" s="7">
        <f ca="1">Sheet2!C$13+('RNG HERE'!A9-'RNG HERE'!Y$2)*Sheet2!C$14/'RNG HERE'!Y$3</f>
        <v>3.9249412411512434</v>
      </c>
      <c r="AY9" s="7">
        <f ca="1">Sheet2!D$13+('RNG HERE'!B9-'RNG HERE'!Z$2)*Sheet2!D$14/'RNG HERE'!Z$3</f>
        <v>5.5148003779984123</v>
      </c>
      <c r="AZ9" s="7">
        <f ca="1">Sheet2!E$13+('RNG HERE'!C9-'RNG HERE'!AA$2)*Sheet2!E$14/'RNG HERE'!AA$3</f>
        <v>18.04213484591082</v>
      </c>
      <c r="BA9" s="7">
        <f ca="1">Sheet2!F$13+('RNG HERE'!D9-'RNG HERE'!AB$2)*Sheet2!F$14/'RNG HERE'!AB$3</f>
        <v>22.841465928831415</v>
      </c>
      <c r="BB9" s="7">
        <f ca="1">Sheet2!G$13+('RNG HERE'!E9-'RNG HERE'!AC$2)*Sheet2!G$14/'RNG HERE'!AC$3</f>
        <v>17.918671894294786</v>
      </c>
      <c r="BC9" s="7">
        <f ca="1">Sheet2!H$13+('RNG HERE'!F9-'RNG HERE'!AD$2)*Sheet2!H$14/'RNG HERE'!AD$3</f>
        <v>28.001628001710458</v>
      </c>
      <c r="BD9" s="7">
        <f ca="1">Sheet2!I$13+('RNG HERE'!G9-'RNG HERE'!AE$2)*Sheet2!I$14/'RNG HERE'!AE$3</f>
        <v>13.089629519571279</v>
      </c>
      <c r="BE9" s="7">
        <f ca="1">Sheet2!J$13+('RNG HERE'!H9-'RNG HERE'!AF$2)*Sheet2!J$14/'RNG HERE'!AF$3</f>
        <v>18.473992493888822</v>
      </c>
      <c r="BF9" s="7">
        <f ca="1">Sheet2!K$13+('RNG HERE'!I9-'RNG HERE'!AG$2)*Sheet2!K$14/'RNG HERE'!AG$3</f>
        <v>29.406865945769756</v>
      </c>
      <c r="BG9" s="7">
        <f ca="1">Sheet2!L$13+('RNG HERE'!J9-'RNG HERE'!AH$2)*Sheet2!L$14/'RNG HERE'!AH$3</f>
        <v>19.193056684995678</v>
      </c>
      <c r="BH9" s="7">
        <f ca="1">Sheet2!M$13+('RNG HERE'!K9-'RNG HERE'!AI$2)*Sheet2!M$14/'RNG HERE'!AI$3</f>
        <v>20.995199554953594</v>
      </c>
      <c r="BI9" s="7">
        <f ca="1">Sheet2!N$13+('RNG HERE'!L9-'RNG HERE'!AJ$2)*Sheet2!N$14/'RNG HERE'!AJ$3</f>
        <v>8.7772385713377155</v>
      </c>
      <c r="BJ9" s="7">
        <f ca="1">Sheet2!O$13+('RNG HERE'!M9-'RNG HERE'!AK$2)*Sheet2!O$14/'RNG HERE'!AK$3</f>
        <v>5.2576887674646926</v>
      </c>
      <c r="BK9" s="7">
        <f ca="1">Sheet2!P$13+('RNG HERE'!N9-'RNG HERE'!AL$2)*Sheet2!P$14/'RNG HERE'!AL$3</f>
        <v>20.052731238476245</v>
      </c>
      <c r="BL9" s="7">
        <f ca="1">Sheet2!Q$13+('RNG HERE'!O9-'RNG HERE'!AM$2)*Sheet2!Q$14/'RNG HERE'!AM$3</f>
        <v>12.478819172428565</v>
      </c>
      <c r="BM9" s="7">
        <f ca="1">Sheet2!R$13+('RNG HERE'!P9-'RNG HERE'!AN$2)*Sheet2!R$14/'RNG HERE'!AN$3</f>
        <v>9.6945947821577398</v>
      </c>
      <c r="BN9" s="7">
        <f ca="1">Sheet2!S$13+('RNG HERE'!Q9-'RNG HERE'!AO$2)*Sheet2!S$14/'RNG HERE'!AO$3</f>
        <v>3.9113881189484645</v>
      </c>
      <c r="BO9" s="7">
        <f ca="1">Sheet2!T$13+('RNG HERE'!R9-'RNG HERE'!AP$2)*Sheet2!T$14/'RNG HERE'!AP$3</f>
        <v>15.895014006570872</v>
      </c>
      <c r="BP9" s="7">
        <f ca="1">Sheet2!U$13+('RNG HERE'!S9-'RNG HERE'!AQ$2)*Sheet2!U$14/'RNG HERE'!AQ$3</f>
        <v>22.255021237000857</v>
      </c>
      <c r="BQ9" s="7">
        <f ca="1">Sheet2!V$13+('RNG HERE'!T9-'RNG HERE'!AR$2)*Sheet2!V$14/'RNG HERE'!AR$3</f>
        <v>23.435055200437404</v>
      </c>
      <c r="BR9" s="7">
        <f ca="1">Sheet2!W$13+('RNG HERE'!U9-'RNG HERE'!AS$2)*Sheet2!W$14/'RNG HERE'!AS$3</f>
        <v>26.012152140516079</v>
      </c>
      <c r="BS9" s="7">
        <f ca="1">Sheet2!X$13+('RNG HERE'!V9-'RNG HERE'!AT$2)*Sheet2!X$14/'RNG HERE'!AT$3</f>
        <v>21.384665760454531</v>
      </c>
      <c r="BT9" s="7">
        <f ca="1">Sheet2!Y$13+('RNG HERE'!W9-'RNG HERE'!AU$2)*Sheet2!Y$14/'RNG HERE'!AU$3</f>
        <v>22.176142298687179</v>
      </c>
      <c r="BU9" s="7" t="e">
        <f ca="1">Sheet2!Z$13+('RNG HERE'!X9-'RNG HERE'!AV$2)*Sheet2!Z$14/'RNG HERE'!AV$3</f>
        <v>#NAME?</v>
      </c>
    </row>
    <row r="10" spans="1:97" x14ac:dyDescent="0.3">
      <c r="A10" s="8" cm="1">
        <f t="array" aca="1" ref="A10" ca="1">[1]!UNIFORM_INV(RAND(),Sheet2!C$13-SQRT(3)*Sheet2!C$14,Sheet2!C$13+SQRT(3)*Sheet2!C$14)</f>
        <v>3.6578686955958708</v>
      </c>
      <c r="B10" s="8" cm="1">
        <f t="array" aca="1" ref="B10" ca="1">[1]!UNIFORM_INV(RAND(),Sheet2!D$13-SQRT(3)*Sheet2!D$14,Sheet2!D$13+SQRT(3)*Sheet2!D$14)</f>
        <v>6.844761423979608</v>
      </c>
      <c r="C10" s="8" cm="1">
        <f t="array" aca="1" ref="C10" ca="1">[1]!UNIFORM_INV(RAND(),Sheet2!E$13-SQRT(3)*Sheet2!E$14,Sheet2!E$13+SQRT(3)*Sheet2!E$14)</f>
        <v>18.401470464663561</v>
      </c>
      <c r="D10" s="8" cm="1">
        <f t="array" aca="1" ref="D10" ca="1">[1]!UNIFORM_INV(RAND(),Sheet2!F$13-SQRT(3)*Sheet2!F$14,Sheet2!F$13+SQRT(3)*Sheet2!F$14)</f>
        <v>23.903989188346273</v>
      </c>
      <c r="E10" s="8" cm="1">
        <f t="array" aca="1" ref="E10" ca="1">[1]!UNIFORM_INV(RAND(),Sheet2!G$13-SQRT(3)*Sheet2!G$14,Sheet2!G$13+SQRT(3)*Sheet2!G$14)</f>
        <v>21.683087180101786</v>
      </c>
      <c r="F10" s="8" cm="1">
        <f t="array" aca="1" ref="F10" ca="1">[1]!UNIFORM_INV(RAND(),Sheet2!H$13-SQRT(3)*Sheet2!H$14,Sheet2!H$13+SQRT(3)*Sheet2!H$14)</f>
        <v>28.323439182937314</v>
      </c>
      <c r="G10" s="8" cm="1">
        <f t="array" aca="1" ref="G10" ca="1">[1]!UNIFORM_INV(RAND(),Sheet2!I$13-SQRT(3)*Sheet2!I$14,Sheet2!I$13+SQRT(3)*Sheet2!I$14)</f>
        <v>11.016188598991212</v>
      </c>
      <c r="H10" s="8" cm="1">
        <f t="array" aca="1" ref="H10" ca="1">[1]!UNIFORM_INV(RAND(),Sheet2!J$13-SQRT(3)*Sheet2!J$14,Sheet2!J$13+SQRT(3)*Sheet2!J$14)</f>
        <v>20.480166712323271</v>
      </c>
      <c r="I10" s="8" cm="1">
        <f t="array" aca="1" ref="I10" ca="1">[1]!UNIFORM_INV(RAND(),Sheet2!K$13-SQRT(3)*Sheet2!K$14,Sheet2!K$13+SQRT(3)*Sheet2!K$14)</f>
        <v>26.163450674881261</v>
      </c>
      <c r="J10" s="8" cm="1">
        <f t="array" aca="1" ref="J10" ca="1">[1]!UNIFORM_INV(RAND(),Sheet2!L$13-SQRT(3)*Sheet2!L$14,Sheet2!L$13+SQRT(3)*Sheet2!L$14)</f>
        <v>19.373584030557979</v>
      </c>
      <c r="K10" s="8" cm="1">
        <f t="array" aca="1" ref="K10" ca="1">[1]!UNIFORM_INV(RAND(),Sheet2!M$13-SQRT(3)*Sheet2!M$14,Sheet2!M$13+SQRT(3)*Sheet2!M$14)</f>
        <v>20.634213420900807</v>
      </c>
      <c r="L10" s="8" cm="1">
        <f t="array" aca="1" ref="L10" ca="1">[1]!UNIFORM_INV(RAND(),Sheet2!N$13-SQRT(3)*Sheet2!N$14,Sheet2!N$13+SQRT(3)*Sheet2!N$14)</f>
        <v>8.9846991228019863</v>
      </c>
      <c r="M10" s="8" cm="1">
        <f t="array" aca="1" ref="M10" ca="1">[1]!UNIFORM_INV(RAND(),Sheet2!O$13-SQRT(3)*Sheet2!O$14,Sheet2!O$13+SQRT(3)*Sheet2!O$14)</f>
        <v>6.1304406990553257</v>
      </c>
      <c r="N10" s="8" cm="1">
        <f t="array" aca="1" ref="N10" ca="1">[1]!UNIFORM_INV(RAND(),Sheet2!P$13-SQRT(3)*Sheet2!P$14,Sheet2!P$13+SQRT(3)*Sheet2!P$14)</f>
        <v>20.285870611151033</v>
      </c>
      <c r="O10" s="8" cm="1">
        <f t="array" aca="1" ref="O10" ca="1">[1]!UNIFORM_INV(RAND(),Sheet2!Q$13-SQRT(3)*Sheet2!Q$14,Sheet2!Q$13+SQRT(3)*Sheet2!Q$14)</f>
        <v>12.034529892292914</v>
      </c>
      <c r="P10" s="8" cm="1">
        <f t="array" aca="1" ref="P10" ca="1">[1]!UNIFORM_INV(RAND(),Sheet2!R$13-SQRT(3)*Sheet2!R$14,Sheet2!R$13+SQRT(3)*Sheet2!R$14)</f>
        <v>10.790827896529432</v>
      </c>
      <c r="Q10" s="8" cm="1">
        <f t="array" aca="1" ref="Q10" ca="1">[1]!UNIFORM_INV(RAND(),Sheet2!S$13-SQRT(3)*Sheet2!S$14,Sheet2!S$13+SQRT(3)*Sheet2!S$14)</f>
        <v>4.8547542538011133</v>
      </c>
      <c r="R10" s="8" cm="1">
        <f t="array" aca="1" ref="R10" ca="1">[1]!UNIFORM_INV(RAND(),Sheet2!T$13-SQRT(3)*Sheet2!T$14,Sheet2!T$13+SQRT(3)*Sheet2!T$14)</f>
        <v>10.774530158308382</v>
      </c>
      <c r="S10" s="8" cm="1">
        <f t="array" aca="1" ref="S10" ca="1">[1]!UNIFORM_INV(RAND(),Sheet2!U$13-SQRT(3)*Sheet2!U$14,Sheet2!U$13+SQRT(3)*Sheet2!U$14)</f>
        <v>23.392233254191794</v>
      </c>
      <c r="T10" s="8" cm="1">
        <f t="array" aca="1" ref="T10" ca="1">[1]!UNIFORM_INV(RAND(),Sheet2!V$13-SQRT(3)*Sheet2!V$14,Sheet2!V$13+SQRT(3)*Sheet2!V$14)</f>
        <v>22.496167413776533</v>
      </c>
      <c r="U10" s="8" cm="1">
        <f t="array" aca="1" ref="U10" ca="1">[1]!UNIFORM_INV(RAND(),Sheet2!W$13-SQRT(3)*Sheet2!W$14,Sheet2!W$13+SQRT(3)*Sheet2!W$14)</f>
        <v>26.431304781039515</v>
      </c>
      <c r="V10" s="8" cm="1">
        <f t="array" aca="1" ref="V10" ca="1">[1]!UNIFORM_INV(RAND(),Sheet2!X$13-SQRT(3)*Sheet2!X$14,Sheet2!X$13+SQRT(3)*Sheet2!X$14)</f>
        <v>20.93894506994512</v>
      </c>
      <c r="W10" s="8" cm="1">
        <f t="array" aca="1" ref="W10" ca="1">[1]!UNIFORM_INV(RAND(),Sheet2!Y$13-SQRT(3)*Sheet2!Y$14,Sheet2!Y$13+SQRT(3)*Sheet2!Y$14)</f>
        <v>22.161970468348525</v>
      </c>
      <c r="X10" s="8" cm="1">
        <f t="array" aca="1" ref="X10" ca="1">[1]!UNIFORM_INV(RAND(),Sheet2!Z$13-SQRT(3)*Sheet2!Z$14,Sheet2!Z$13+SQRT(3)*Sheet2!Z$14)</f>
        <v>8.0804987631907252</v>
      </c>
      <c r="Z10" s="10"/>
      <c r="AA10" s="10"/>
      <c r="AB10" s="10"/>
      <c r="AC10" s="10"/>
      <c r="AD10" s="10"/>
      <c r="AE10" s="10"/>
      <c r="AF10" s="10"/>
      <c r="AG10" s="10"/>
      <c r="AH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X10" s="7">
        <f ca="1">Sheet2!C$13+('RNG HERE'!A10-'RNG HERE'!Y$2)*Sheet2!C$14/'RNG HERE'!Y$3</f>
        <v>3.6192005094740565</v>
      </c>
      <c r="AY10" s="7">
        <f ca="1">Sheet2!D$13+('RNG HERE'!B10-'RNG HERE'!Z$2)*Sheet2!D$14/'RNG HERE'!Z$3</f>
        <v>6.6697450333101234</v>
      </c>
      <c r="AZ10" s="7">
        <f ca="1">Sheet2!E$13+('RNG HERE'!C10-'RNG HERE'!AA$2)*Sheet2!E$14/'RNG HERE'!AA$3</f>
        <v>18.638213346325472</v>
      </c>
      <c r="BA10" s="7">
        <f ca="1">Sheet2!F$13+('RNG HERE'!D10-'RNG HERE'!AB$2)*Sheet2!F$14/'RNG HERE'!AB$3</f>
        <v>24.484460978782323</v>
      </c>
      <c r="BB10" s="7">
        <f ca="1">Sheet2!G$13+('RNG HERE'!E10-'RNG HERE'!AC$2)*Sheet2!G$14/'RNG HERE'!AC$3</f>
        <v>21.787729391938779</v>
      </c>
      <c r="BC10" s="7">
        <f ca="1">Sheet2!H$13+('RNG HERE'!F10-'RNG HERE'!AD$2)*Sheet2!H$14/'RNG HERE'!AD$3</f>
        <v>28.82467937625113</v>
      </c>
      <c r="BD10" s="7">
        <f ca="1">Sheet2!I$13+('RNG HERE'!G10-'RNG HERE'!AE$2)*Sheet2!I$14/'RNG HERE'!AE$3</f>
        <v>11.139129362106793</v>
      </c>
      <c r="BE10" s="7">
        <f ca="1">Sheet2!J$13+('RNG HERE'!H10-'RNG HERE'!AF$2)*Sheet2!J$14/'RNG HERE'!AF$3</f>
        <v>20.44744520338708</v>
      </c>
      <c r="BF10" s="7">
        <f ca="1">Sheet2!K$13+('RNG HERE'!I10-'RNG HERE'!AG$2)*Sheet2!K$14/'RNG HERE'!AG$3</f>
        <v>26.193529275922</v>
      </c>
      <c r="BG10" s="7">
        <f ca="1">Sheet2!L$13+('RNG HERE'!J10-'RNG HERE'!AH$2)*Sheet2!L$14/'RNG HERE'!AH$3</f>
        <v>19.288250861649981</v>
      </c>
      <c r="BH10" s="7">
        <f ca="1">Sheet2!M$13+('RNG HERE'!K10-'RNG HERE'!AI$2)*Sheet2!M$14/'RNG HERE'!AI$3</f>
        <v>20.802202214895296</v>
      </c>
      <c r="BI10" s="7">
        <f ca="1">Sheet2!N$13+('RNG HERE'!L10-'RNG HERE'!AJ$2)*Sheet2!N$14/'RNG HERE'!AJ$3</f>
        <v>8.6906265938043461</v>
      </c>
      <c r="BJ10" s="7">
        <f ca="1">Sheet2!O$13+('RNG HERE'!M10-'RNG HERE'!AK$2)*Sheet2!O$14/'RNG HERE'!AK$3</f>
        <v>6.1573498224742576</v>
      </c>
      <c r="BK10" s="7">
        <f ca="1">Sheet2!P$13+('RNG HERE'!N10-'RNG HERE'!AL$2)*Sheet2!P$14/'RNG HERE'!AL$3</f>
        <v>20.05103831516255</v>
      </c>
      <c r="BL10" s="7">
        <f ca="1">Sheet2!Q$13+('RNG HERE'!O10-'RNG HERE'!AM$2)*Sheet2!Q$14/'RNG HERE'!AM$3</f>
        <v>12.291103826243535</v>
      </c>
      <c r="BM10" s="7">
        <f ca="1">Sheet2!R$13+('RNG HERE'!P10-'RNG HERE'!AN$2)*Sheet2!R$14/'RNG HERE'!AN$3</f>
        <v>10.942287494355083</v>
      </c>
      <c r="BN10" s="7">
        <f ca="1">Sheet2!S$13+('RNG HERE'!Q10-'RNG HERE'!AO$2)*Sheet2!S$14/'RNG HERE'!AO$3</f>
        <v>4.7928478250026085</v>
      </c>
      <c r="BO10" s="7">
        <f ca="1">Sheet2!T$13+('RNG HERE'!R10-'RNG HERE'!AP$2)*Sheet2!T$14/'RNG HERE'!AP$3</f>
        <v>11.069969425909639</v>
      </c>
      <c r="BP10" s="7">
        <f ca="1">Sheet2!U$13+('RNG HERE'!S10-'RNG HERE'!AQ$2)*Sheet2!U$14/'RNG HERE'!AQ$3</f>
        <v>23.595451403938725</v>
      </c>
      <c r="BQ10" s="7">
        <f ca="1">Sheet2!V$13+('RNG HERE'!T10-'RNG HERE'!AR$2)*Sheet2!V$14/'RNG HERE'!AR$3</f>
        <v>21.894955603268727</v>
      </c>
      <c r="BR10" s="7">
        <f ca="1">Sheet2!W$13+('RNG HERE'!U10-'RNG HERE'!AS$2)*Sheet2!W$14/'RNG HERE'!AS$3</f>
        <v>26.474188906434151</v>
      </c>
      <c r="BS10" s="7">
        <f ca="1">Sheet2!X$13+('RNG HERE'!V10-'RNG HERE'!AT$2)*Sheet2!X$14/'RNG HERE'!AT$3</f>
        <v>21.023679023297973</v>
      </c>
      <c r="BT10" s="7">
        <f ca="1">Sheet2!Y$13+('RNG HERE'!W10-'RNG HERE'!AU$2)*Sheet2!Y$14/'RNG HERE'!AU$3</f>
        <v>21.873296588353035</v>
      </c>
      <c r="BU10" s="7" t="e">
        <f ca="1">Sheet2!Z$13+('RNG HERE'!X10-'RNG HERE'!AV$2)*Sheet2!Z$14/'RNG HERE'!AV$3</f>
        <v>#NAME?</v>
      </c>
    </row>
    <row r="11" spans="1:97" x14ac:dyDescent="0.3">
      <c r="A11" s="8" cm="1">
        <f t="array" aca="1" ref="A11" ca="1">[1]!UNIFORM_INV(RAND(),Sheet2!C$13-SQRT(3)*Sheet2!C$14,Sheet2!C$13+SQRT(3)*Sheet2!C$14)</f>
        <v>3.1727001176245406</v>
      </c>
      <c r="B11" s="8" cm="1">
        <f t="array" aca="1" ref="B11" ca="1">[1]!UNIFORM_INV(RAND(),Sheet2!D$13-SQRT(3)*Sheet2!D$14,Sheet2!D$13+SQRT(3)*Sheet2!D$14)</f>
        <v>8.7066080377053137</v>
      </c>
      <c r="C11" s="8" cm="1">
        <f t="array" aca="1" ref="C11" ca="1">[1]!UNIFORM_INV(RAND(),Sheet2!E$13-SQRT(3)*Sheet2!E$14,Sheet2!E$13+SQRT(3)*Sheet2!E$14)</f>
        <v>20.03781354647008</v>
      </c>
      <c r="D11" s="8" cm="1">
        <f t="array" aca="1" ref="D11" ca="1">[1]!UNIFORM_INV(RAND(),Sheet2!F$13-SQRT(3)*Sheet2!F$14,Sheet2!F$13+SQRT(3)*Sheet2!F$14)</f>
        <v>23.198840516710121</v>
      </c>
      <c r="E11" s="8" cm="1">
        <f t="array" aca="1" ref="E11" ca="1">[1]!UNIFORM_INV(RAND(),Sheet2!G$13-SQRT(3)*Sheet2!G$14,Sheet2!G$13+SQRT(3)*Sheet2!G$14)</f>
        <v>17.223063204925893</v>
      </c>
      <c r="F11" s="8" cm="1">
        <f t="array" aca="1" ref="F11" ca="1">[1]!UNIFORM_INV(RAND(),Sheet2!H$13-SQRT(3)*Sheet2!H$14,Sheet2!H$13+SQRT(3)*Sheet2!H$14)</f>
        <v>26.919904760990143</v>
      </c>
      <c r="G11" s="8" cm="1">
        <f t="array" aca="1" ref="G11" ca="1">[1]!UNIFORM_INV(RAND(),Sheet2!I$13-SQRT(3)*Sheet2!I$14,Sheet2!I$13+SQRT(3)*Sheet2!I$14)</f>
        <v>12.695308613950308</v>
      </c>
      <c r="H11" s="8" cm="1">
        <f t="array" aca="1" ref="H11" ca="1">[1]!UNIFORM_INV(RAND(),Sheet2!J$13-SQRT(3)*Sheet2!J$14,Sheet2!J$13+SQRT(3)*Sheet2!J$14)</f>
        <v>20.402434907110599</v>
      </c>
      <c r="I11" s="8" cm="1">
        <f t="array" aca="1" ref="I11" ca="1">[1]!UNIFORM_INV(RAND(),Sheet2!K$13-SQRT(3)*Sheet2!K$14,Sheet2!K$13+SQRT(3)*Sheet2!K$14)</f>
        <v>27.087189209882077</v>
      </c>
      <c r="J11" s="8" cm="1">
        <f t="array" aca="1" ref="J11" ca="1">[1]!UNIFORM_INV(RAND(),Sheet2!L$13-SQRT(3)*Sheet2!L$14,Sheet2!L$13+SQRT(3)*Sheet2!L$14)</f>
        <v>20.644754732899781</v>
      </c>
      <c r="K11" s="8" cm="1">
        <f t="array" aca="1" ref="K11" ca="1">[1]!UNIFORM_INV(RAND(),Sheet2!M$13-SQRT(3)*Sheet2!M$14,Sheet2!M$13+SQRT(3)*Sheet2!M$14)</f>
        <v>20.947218584605967</v>
      </c>
      <c r="L11" s="8" cm="1">
        <f t="array" aca="1" ref="L11" ca="1">[1]!UNIFORM_INV(RAND(),Sheet2!N$13-SQRT(3)*Sheet2!N$14,Sheet2!N$13+SQRT(3)*Sheet2!N$14)</f>
        <v>9.5355565007516692</v>
      </c>
      <c r="M11" s="8" cm="1">
        <f t="array" aca="1" ref="M11" ca="1">[1]!UNIFORM_INV(RAND(),Sheet2!O$13-SQRT(3)*Sheet2!O$14,Sheet2!O$13+SQRT(3)*Sheet2!O$14)</f>
        <v>5.9157200413672166</v>
      </c>
      <c r="N11" s="8" cm="1">
        <f t="array" aca="1" ref="N11" ca="1">[1]!UNIFORM_INV(RAND(),Sheet2!P$13-SQRT(3)*Sheet2!P$14,Sheet2!P$13+SQRT(3)*Sheet2!P$14)</f>
        <v>20.567841811907378</v>
      </c>
      <c r="O11" s="8" cm="1">
        <f t="array" aca="1" ref="O11" ca="1">[1]!UNIFORM_INV(RAND(),Sheet2!Q$13-SQRT(3)*Sheet2!Q$14,Sheet2!Q$13+SQRT(3)*Sheet2!Q$14)</f>
        <v>11.544657050014969</v>
      </c>
      <c r="P11" s="8" cm="1">
        <f t="array" aca="1" ref="P11" ca="1">[1]!UNIFORM_INV(RAND(),Sheet2!R$13-SQRT(3)*Sheet2!R$14,Sheet2!R$13+SQRT(3)*Sheet2!R$14)</f>
        <v>11.345732945645054</v>
      </c>
      <c r="Q11" s="8" cm="1">
        <f t="array" aca="1" ref="Q11" ca="1">[1]!UNIFORM_INV(RAND(),Sheet2!S$13-SQRT(3)*Sheet2!S$14,Sheet2!S$13+SQRT(3)*Sheet2!S$14)</f>
        <v>2.7286517637091081</v>
      </c>
      <c r="R11" s="8" cm="1">
        <f t="array" aca="1" ref="R11" ca="1">[1]!UNIFORM_INV(RAND(),Sheet2!T$13-SQRT(3)*Sheet2!T$14,Sheet2!T$13+SQRT(3)*Sheet2!T$14)</f>
        <v>11.500435498098263</v>
      </c>
      <c r="S11" s="8" cm="1">
        <f t="array" aca="1" ref="S11" ca="1">[1]!UNIFORM_INV(RAND(),Sheet2!U$13-SQRT(3)*Sheet2!U$14,Sheet2!U$13+SQRT(3)*Sheet2!U$14)</f>
        <v>24.269806812014664</v>
      </c>
      <c r="T11" s="8" cm="1">
        <f t="array" aca="1" ref="T11" ca="1">[1]!UNIFORM_INV(RAND(),Sheet2!V$13-SQRT(3)*Sheet2!V$14,Sheet2!V$13+SQRT(3)*Sheet2!V$14)</f>
        <v>23.71542315812329</v>
      </c>
      <c r="U11" s="8" cm="1">
        <f t="array" aca="1" ref="U11" ca="1">[1]!UNIFORM_INV(RAND(),Sheet2!W$13-SQRT(3)*Sheet2!W$14,Sheet2!W$13+SQRT(3)*Sheet2!W$14)</f>
        <v>25.614877664263229</v>
      </c>
      <c r="V11" s="8" cm="1">
        <f t="array" aca="1" ref="V11" ca="1">[1]!UNIFORM_INV(RAND(),Sheet2!X$13-SQRT(3)*Sheet2!X$14,Sheet2!X$13+SQRT(3)*Sheet2!X$14)</f>
        <v>21.89074915346243</v>
      </c>
      <c r="W11" s="8" cm="1">
        <f t="array" aca="1" ref="W11" ca="1">[1]!UNIFORM_INV(RAND(),Sheet2!Y$13-SQRT(3)*Sheet2!Y$14,Sheet2!Y$13+SQRT(3)*Sheet2!Y$14)</f>
        <v>23.080064819971621</v>
      </c>
      <c r="X11" s="8" cm="1">
        <f t="array" aca="1" ref="X11" ca="1">[1]!UNIFORM_INV(RAND(),Sheet2!Z$13-SQRT(3)*Sheet2!Z$14,Sheet2!Z$13+SQRT(3)*Sheet2!Z$14)</f>
        <v>8.7497326872026431</v>
      </c>
      <c r="Z11" s="10"/>
      <c r="AA11" s="10"/>
      <c r="AB11" s="10"/>
      <c r="AC11" s="10"/>
      <c r="AD11" s="10"/>
      <c r="AE11" s="10"/>
      <c r="AF11" s="10"/>
      <c r="AG11" s="10"/>
      <c r="AH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X11" s="7">
        <f ca="1">Sheet2!C$13+('RNG HERE'!A11-'RNG HERE'!Y$2)*Sheet2!C$14/'RNG HERE'!Y$3</f>
        <v>3.1434267146067181</v>
      </c>
      <c r="AY11" s="7">
        <f ca="1">Sheet2!D$13+('RNG HERE'!B11-'RNG HERE'!Z$2)*Sheet2!D$14/'RNG HERE'!Z$3</f>
        <v>8.5268990821172927</v>
      </c>
      <c r="AZ11" s="7">
        <f ca="1">Sheet2!E$13+('RNG HERE'!C11-'RNG HERE'!AA$2)*Sheet2!E$14/'RNG HERE'!AA$3</f>
        <v>20.44344773163035</v>
      </c>
      <c r="BA11" s="7">
        <f ca="1">Sheet2!F$13+('RNG HERE'!D11-'RNG HERE'!AB$2)*Sheet2!F$14/'RNG HERE'!AB$3</f>
        <v>23.6772043030447</v>
      </c>
      <c r="BB11" s="7">
        <f ca="1">Sheet2!G$13+('RNG HERE'!E11-'RNG HERE'!AC$2)*Sheet2!G$14/'RNG HERE'!AC$3</f>
        <v>17.192187006726137</v>
      </c>
      <c r="BC11" s="7">
        <f ca="1">Sheet2!H$13+('RNG HERE'!F11-'RNG HERE'!AD$2)*Sheet2!H$14/'RNG HERE'!AD$3</f>
        <v>27.367626795396255</v>
      </c>
      <c r="BD11" s="7">
        <f ca="1">Sheet2!I$13+('RNG HERE'!G11-'RNG HERE'!AE$2)*Sheet2!I$14/'RNG HERE'!AE$3</f>
        <v>12.715792958064306</v>
      </c>
      <c r="BE11" s="7">
        <f ca="1">Sheet2!J$13+('RNG HERE'!H11-'RNG HERE'!AF$2)*Sheet2!J$14/'RNG HERE'!AF$3</f>
        <v>20.362801612466306</v>
      </c>
      <c r="BF11" s="7">
        <f ca="1">Sheet2!K$13+('RNG HERE'!I11-'RNG HERE'!AG$2)*Sheet2!K$14/'RNG HERE'!AG$3</f>
        <v>27.030905383375156</v>
      </c>
      <c r="BG11" s="7">
        <f ca="1">Sheet2!L$13+('RNG HERE'!J11-'RNG HERE'!AH$2)*Sheet2!L$14/'RNG HERE'!AH$3</f>
        <v>20.622215551868791</v>
      </c>
      <c r="BH11" s="7">
        <f ca="1">Sheet2!M$13+('RNG HERE'!K11-'RNG HERE'!AI$2)*Sheet2!M$14/'RNG HERE'!AI$3</f>
        <v>21.111835561925048</v>
      </c>
      <c r="BI11" s="7">
        <f ca="1">Sheet2!N$13+('RNG HERE'!L11-'RNG HERE'!AJ$2)*Sheet2!N$14/'RNG HERE'!AJ$3</f>
        <v>9.2812477280035672</v>
      </c>
      <c r="BJ11" s="7">
        <f ca="1">Sheet2!O$13+('RNG HERE'!M11-'RNG HERE'!AK$2)*Sheet2!O$14/'RNG HERE'!AK$3</f>
        <v>5.9267206993145676</v>
      </c>
      <c r="BK11" s="7">
        <f ca="1">Sheet2!P$13+('RNG HERE'!N11-'RNG HERE'!AL$2)*Sheet2!P$14/'RNG HERE'!AL$3</f>
        <v>20.35147236500908</v>
      </c>
      <c r="BL11" s="7">
        <f ca="1">Sheet2!Q$13+('RNG HERE'!O11-'RNG HERE'!AM$2)*Sheet2!Q$14/'RNG HERE'!AM$3</f>
        <v>11.835025226437425</v>
      </c>
      <c r="BM11" s="7">
        <f ca="1">Sheet2!R$13+('RNG HERE'!P11-'RNG HERE'!AN$2)*Sheet2!R$14/'RNG HERE'!AN$3</f>
        <v>11.529727054709168</v>
      </c>
      <c r="BN11" s="7">
        <f ca="1">Sheet2!S$13+('RNG HERE'!Q11-'RNG HERE'!AO$2)*Sheet2!S$14/'RNG HERE'!AO$3</f>
        <v>2.8759316103380099</v>
      </c>
      <c r="BO11" s="7">
        <f ca="1">Sheet2!T$13+('RNG HERE'!R11-'RNG HERE'!AP$2)*Sheet2!T$14/'RNG HERE'!AP$3</f>
        <v>11.955905436927539</v>
      </c>
      <c r="BP11" s="7">
        <f ca="1">Sheet2!U$13+('RNG HERE'!S11-'RNG HERE'!AQ$2)*Sheet2!U$14/'RNG HERE'!AQ$3</f>
        <v>24.446331407598997</v>
      </c>
      <c r="BQ11" s="7">
        <f ca="1">Sheet2!V$13+('RNG HERE'!T11-'RNG HERE'!AR$2)*Sheet2!V$14/'RNG HERE'!AR$3</f>
        <v>23.2015005468681</v>
      </c>
      <c r="BR11" s="7">
        <f ca="1">Sheet2!W$13+('RNG HERE'!U11-'RNG HERE'!AS$2)*Sheet2!W$14/'RNG HERE'!AS$3</f>
        <v>25.659183123971289</v>
      </c>
      <c r="BS11" s="7">
        <f ca="1">Sheet2!X$13+('RNG HERE'!V11-'RNG HERE'!AT$2)*Sheet2!X$14/'RNG HERE'!AT$3</f>
        <v>22.173274297217652</v>
      </c>
      <c r="BT11" s="7">
        <f ca="1">Sheet2!Y$13+('RNG HERE'!W11-'RNG HERE'!AU$2)*Sheet2!Y$14/'RNG HERE'!AU$3</f>
        <v>22.847587901635436</v>
      </c>
      <c r="BU11" s="7" t="e">
        <f ca="1">Sheet2!Z$13+('RNG HERE'!X11-'RNG HERE'!AV$2)*Sheet2!Z$14/'RNG HERE'!AV$3</f>
        <v>#NAME?</v>
      </c>
    </row>
    <row r="12" spans="1:97" x14ac:dyDescent="0.3">
      <c r="A12" s="8" cm="1">
        <f t="array" aca="1" ref="A12" ca="1">[1]!UNIFORM_INV(RAND(),Sheet2!C$13-SQRT(3)*Sheet2!C$14,Sheet2!C$13+SQRT(3)*Sheet2!C$14)</f>
        <v>3.4225851190292458</v>
      </c>
      <c r="B12" s="8" cm="1">
        <f t="array" aca="1" ref="B12" ca="1">[1]!UNIFORM_INV(RAND(),Sheet2!D$13-SQRT(3)*Sheet2!D$14,Sheet2!D$13+SQRT(3)*Sheet2!D$14)</f>
        <v>3.9752688548755009</v>
      </c>
      <c r="C12" s="8" cm="1">
        <f t="array" aca="1" ref="C12" ca="1">[1]!UNIFORM_INV(RAND(),Sheet2!E$13-SQRT(3)*Sheet2!E$14,Sheet2!E$13+SQRT(3)*Sheet2!E$14)</f>
        <v>17.229068252379346</v>
      </c>
      <c r="D12" s="8" cm="1">
        <f t="array" aca="1" ref="D12" ca="1">[1]!UNIFORM_INV(RAND(),Sheet2!F$13-SQRT(3)*Sheet2!F$14,Sheet2!F$13+SQRT(3)*Sheet2!F$14)</f>
        <v>20.277696097213198</v>
      </c>
      <c r="E12" s="8" cm="1">
        <f t="array" aca="1" ref="E12" ca="1">[1]!UNIFORM_INV(RAND(),Sheet2!G$13-SQRT(3)*Sheet2!G$14,Sheet2!G$13+SQRT(3)*Sheet2!G$14)</f>
        <v>18.780200629393406</v>
      </c>
      <c r="F12" s="8" cm="1">
        <f t="array" aca="1" ref="F12" ca="1">[1]!UNIFORM_INV(RAND(),Sheet2!H$13-SQRT(3)*Sheet2!H$14,Sheet2!H$13+SQRT(3)*Sheet2!H$14)</f>
        <v>26.68175491474857</v>
      </c>
      <c r="G12" s="8" cm="1">
        <f t="array" aca="1" ref="G12" ca="1">[1]!UNIFORM_INV(RAND(),Sheet2!I$13-SQRT(3)*Sheet2!I$14,Sheet2!I$13+SQRT(3)*Sheet2!I$14)</f>
        <v>10.919850550476946</v>
      </c>
      <c r="H12" s="8" cm="1">
        <f t="array" aca="1" ref="H12" ca="1">[1]!UNIFORM_INV(RAND(),Sheet2!J$13-SQRT(3)*Sheet2!J$14,Sheet2!J$13+SQRT(3)*Sheet2!J$14)</f>
        <v>19.237416096547843</v>
      </c>
      <c r="I12" s="8" cm="1">
        <f t="array" aca="1" ref="I12" ca="1">[1]!UNIFORM_INV(RAND(),Sheet2!K$13-SQRT(3)*Sheet2!K$14,Sheet2!K$13+SQRT(3)*Sheet2!K$14)</f>
        <v>27.263053667918083</v>
      </c>
      <c r="J12" s="8" cm="1">
        <f t="array" aca="1" ref="J12" ca="1">[1]!UNIFORM_INV(RAND(),Sheet2!L$13-SQRT(3)*Sheet2!L$14,Sheet2!L$13+SQRT(3)*Sheet2!L$14)</f>
        <v>20.499186702505906</v>
      </c>
      <c r="K12" s="8" cm="1">
        <f t="array" aca="1" ref="K12" ca="1">[1]!UNIFORM_INV(RAND(),Sheet2!M$13-SQRT(3)*Sheet2!M$14,Sheet2!M$13+SQRT(3)*Sheet2!M$14)</f>
        <v>19.126720071744366</v>
      </c>
      <c r="L12" s="8" cm="1">
        <f t="array" aca="1" ref="L12" ca="1">[1]!UNIFORM_INV(RAND(),Sheet2!N$13-SQRT(3)*Sheet2!N$14,Sheet2!N$13+SQRT(3)*Sheet2!N$14)</f>
        <v>6.9743908832727559</v>
      </c>
      <c r="M12" s="8" cm="1">
        <f t="array" aca="1" ref="M12" ca="1">[1]!UNIFORM_INV(RAND(),Sheet2!O$13-SQRT(3)*Sheet2!O$14,Sheet2!O$13+SQRT(3)*Sheet2!O$14)</f>
        <v>5.7307680683891054</v>
      </c>
      <c r="N12" s="8" cm="1">
        <f t="array" aca="1" ref="N12" ca="1">[1]!UNIFORM_INV(RAND(),Sheet2!P$13-SQRT(3)*Sheet2!P$14,Sheet2!P$13+SQRT(3)*Sheet2!P$14)</f>
        <v>23.642748272011943</v>
      </c>
      <c r="O12" s="8" cm="1">
        <f t="array" aca="1" ref="O12" ca="1">[1]!UNIFORM_INV(RAND(),Sheet2!Q$13-SQRT(3)*Sheet2!Q$14,Sheet2!Q$13+SQRT(3)*Sheet2!Q$14)</f>
        <v>12.01658143139986</v>
      </c>
      <c r="P12" s="8" cm="1">
        <f t="array" aca="1" ref="P12" ca="1">[1]!UNIFORM_INV(RAND(),Sheet2!R$13-SQRT(3)*Sheet2!R$14,Sheet2!R$13+SQRT(3)*Sheet2!R$14)</f>
        <v>10.879773966433383</v>
      </c>
      <c r="Q12" s="8" cm="1">
        <f t="array" aca="1" ref="Q12" ca="1">[1]!UNIFORM_INV(RAND(),Sheet2!S$13-SQRT(3)*Sheet2!S$14,Sheet2!S$13+SQRT(3)*Sheet2!S$14)</f>
        <v>4.2123367730222698</v>
      </c>
      <c r="R12" s="8" cm="1">
        <f t="array" aca="1" ref="R12" ca="1">[1]!UNIFORM_INV(RAND(),Sheet2!T$13-SQRT(3)*Sheet2!T$14,Sheet2!T$13+SQRT(3)*Sheet2!T$14)</f>
        <v>11.862551417590121</v>
      </c>
      <c r="S12" s="8" cm="1">
        <f t="array" aca="1" ref="S12" ca="1">[1]!UNIFORM_INV(RAND(),Sheet2!U$13-SQRT(3)*Sheet2!U$14,Sheet2!U$13+SQRT(3)*Sheet2!U$14)</f>
        <v>22.584948382777608</v>
      </c>
      <c r="T12" s="8" cm="1">
        <f t="array" aca="1" ref="T12" ca="1">[1]!UNIFORM_INV(RAND(),Sheet2!V$13-SQRT(3)*Sheet2!V$14,Sheet2!V$13+SQRT(3)*Sheet2!V$14)</f>
        <v>25.869790354667717</v>
      </c>
      <c r="U12" s="8" cm="1">
        <f t="array" aca="1" ref="U12" ca="1">[1]!UNIFORM_INV(RAND(),Sheet2!W$13-SQRT(3)*Sheet2!W$14,Sheet2!W$13+SQRT(3)*Sheet2!W$14)</f>
        <v>26.35227077033403</v>
      </c>
      <c r="V12" s="8" cm="1">
        <f t="array" aca="1" ref="V12" ca="1">[1]!UNIFORM_INV(RAND(),Sheet2!X$13-SQRT(3)*Sheet2!X$14,Sheet2!X$13+SQRT(3)*Sheet2!X$14)</f>
        <v>20.599676758264657</v>
      </c>
      <c r="W12" s="8" cm="1">
        <f t="array" aca="1" ref="W12" ca="1">[1]!UNIFORM_INV(RAND(),Sheet2!Y$13-SQRT(3)*Sheet2!Y$14,Sheet2!Y$13+SQRT(3)*Sheet2!Y$14)</f>
        <v>20.087364693340572</v>
      </c>
      <c r="X12" s="8" cm="1">
        <f t="array" aca="1" ref="X12" ca="1">[1]!UNIFORM_INV(RAND(),Sheet2!Z$13-SQRT(3)*Sheet2!Z$14,Sheet2!Z$13+SQRT(3)*Sheet2!Z$14)</f>
        <v>7.7024401086591086</v>
      </c>
      <c r="Z12" s="10"/>
      <c r="AA12" s="10"/>
      <c r="AB12" s="10"/>
      <c r="AC12" s="10"/>
      <c r="AD12" s="10"/>
      <c r="AE12" s="10"/>
      <c r="AF12" s="10"/>
      <c r="AG12" s="10"/>
      <c r="AH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X12" s="7">
        <f ca="1">Sheet2!C$13+('RNG HERE'!A12-'RNG HERE'!Y$2)*Sheet2!C$14/'RNG HERE'!Y$3</f>
        <v>3.3884729537837579</v>
      </c>
      <c r="AY12" s="7">
        <f ca="1">Sheet2!D$13+('RNG HERE'!B12-'RNG HERE'!Z$2)*Sheet2!D$14/'RNG HERE'!Z$3</f>
        <v>3.8074846819754664</v>
      </c>
      <c r="AZ12" s="7">
        <f ca="1">Sheet2!E$13+('RNG HERE'!C12-'RNG HERE'!AA$2)*Sheet2!E$14/'RNG HERE'!AA$3</f>
        <v>17.344804396482015</v>
      </c>
      <c r="BA12" s="7">
        <f ca="1">Sheet2!F$13+('RNG HERE'!D12-'RNG HERE'!AB$2)*Sheet2!F$14/'RNG HERE'!AB$3</f>
        <v>20.333067912684513</v>
      </c>
      <c r="BB12" s="7">
        <f ca="1">Sheet2!G$13+('RNG HERE'!E12-'RNG HERE'!AC$2)*Sheet2!G$14/'RNG HERE'!AC$3</f>
        <v>18.796638254874214</v>
      </c>
      <c r="BC12" s="7">
        <f ca="1">Sheet2!H$13+('RNG HERE'!F12-'RNG HERE'!AD$2)*Sheet2!H$14/'RNG HERE'!AD$3</f>
        <v>27.120396059426788</v>
      </c>
      <c r="BD12" s="7">
        <f ca="1">Sheet2!I$13+('RNG HERE'!G12-'RNG HERE'!AE$2)*Sheet2!I$14/'RNG HERE'!AE$3</f>
        <v>11.048669661403546</v>
      </c>
      <c r="BE12" s="7">
        <f ca="1">Sheet2!J$13+('RNG HERE'!H12-'RNG HERE'!AF$2)*Sheet2!J$14/'RNG HERE'!AF$3</f>
        <v>19.094191223881069</v>
      </c>
      <c r="BF12" s="7">
        <f ca="1">Sheet2!K$13+('RNG HERE'!I12-'RNG HERE'!AG$2)*Sheet2!K$14/'RNG HERE'!AG$3</f>
        <v>27.190327871156743</v>
      </c>
      <c r="BG12" s="7">
        <f ca="1">Sheet2!L$13+('RNG HERE'!J12-'RNG HERE'!AH$2)*Sheet2!L$14/'RNG HERE'!AH$3</f>
        <v>20.469456672032752</v>
      </c>
      <c r="BH12" s="7">
        <f ca="1">Sheet2!M$13+('RNG HERE'!K12-'RNG HERE'!AI$2)*Sheet2!M$14/'RNG HERE'!AI$3</f>
        <v>19.310948186370457</v>
      </c>
      <c r="BI12" s="7">
        <f ca="1">Sheet2!N$13+('RNG HERE'!L12-'RNG HERE'!AJ$2)*Sheet2!N$14/'RNG HERE'!AJ$3</f>
        <v>6.5352038291314001</v>
      </c>
      <c r="BJ12" s="7">
        <f ca="1">Sheet2!O$13+('RNG HERE'!M12-'RNG HERE'!AK$2)*Sheet2!O$14/'RNG HERE'!AK$3</f>
        <v>5.7280657966430448</v>
      </c>
      <c r="BK12" s="7">
        <f ca="1">Sheet2!P$13+('RNG HERE'!N12-'RNG HERE'!AL$2)*Sheet2!P$14/'RNG HERE'!AL$3</f>
        <v>23.627716882997074</v>
      </c>
      <c r="BL12" s="7">
        <f ca="1">Sheet2!Q$13+('RNG HERE'!O12-'RNG HERE'!AM$2)*Sheet2!Q$14/'RNG HERE'!AM$3</f>
        <v>12.27439355327818</v>
      </c>
      <c r="BM12" s="7">
        <f ca="1">Sheet2!R$13+('RNG HERE'!P12-'RNG HERE'!AN$2)*Sheet2!R$14/'RNG HERE'!AN$3</f>
        <v>11.036448540975357</v>
      </c>
      <c r="BN12" s="7">
        <f ca="1">Sheet2!S$13+('RNG HERE'!Q12-'RNG HERE'!AO$2)*Sheet2!S$14/'RNG HERE'!AO$3</f>
        <v>4.213637513539374</v>
      </c>
      <c r="BO12" s="7">
        <f ca="1">Sheet2!T$13+('RNG HERE'!R12-'RNG HERE'!AP$2)*Sheet2!T$14/'RNG HERE'!AP$3</f>
        <v>12.397852224829055</v>
      </c>
      <c r="BP12" s="7">
        <f ca="1">Sheet2!U$13+('RNG HERE'!S12-'RNG HERE'!AQ$2)*Sheet2!U$14/'RNG HERE'!AQ$3</f>
        <v>22.812722083734627</v>
      </c>
      <c r="BQ12" s="7">
        <f ca="1">Sheet2!V$13+('RNG HERE'!T12-'RNG HERE'!AR$2)*Sheet2!V$14/'RNG HERE'!AR$3</f>
        <v>25.510103627355988</v>
      </c>
      <c r="BR12" s="7">
        <f ca="1">Sheet2!W$13+('RNG HERE'!U12-'RNG HERE'!AS$2)*Sheet2!W$14/'RNG HERE'!AS$3</f>
        <v>26.395292487620257</v>
      </c>
      <c r="BS12" s="7">
        <f ca="1">Sheet2!X$13+('RNG HERE'!V12-'RNG HERE'!AT$2)*Sheet2!X$14/'RNG HERE'!AT$3</f>
        <v>20.613908510171697</v>
      </c>
      <c r="BT12" s="7">
        <f ca="1">Sheet2!Y$13+('RNG HERE'!W12-'RNG HERE'!AU$2)*Sheet2!Y$14/'RNG HERE'!AU$3</f>
        <v>19.671703275528113</v>
      </c>
      <c r="BU12" s="7" t="e">
        <f ca="1">Sheet2!Z$13+('RNG HERE'!X12-'RNG HERE'!AV$2)*Sheet2!Z$14/'RNG HERE'!AV$3</f>
        <v>#NAME?</v>
      </c>
    </row>
    <row r="13" spans="1:97" x14ac:dyDescent="0.3">
      <c r="A13" s="8" cm="1">
        <f t="array" aca="1" ref="A13" ca="1">[1]!UNIFORM_INV(RAND(),Sheet2!C$13-SQRT(3)*Sheet2!C$14,Sheet2!C$13+SQRT(3)*Sheet2!C$14)</f>
        <v>3.0459755706773417</v>
      </c>
      <c r="B13" s="8" cm="1">
        <f t="array" aca="1" ref="B13" ca="1">[1]!UNIFORM_INV(RAND(),Sheet2!D$13-SQRT(3)*Sheet2!D$14,Sheet2!D$13+SQRT(3)*Sheet2!D$14)</f>
        <v>5.7446696284805379</v>
      </c>
      <c r="C13" s="8" cm="1">
        <f t="array" aca="1" ref="C13" ca="1">[1]!UNIFORM_INV(RAND(),Sheet2!E$13-SQRT(3)*Sheet2!E$14,Sheet2!E$13+SQRT(3)*Sheet2!E$14)</f>
        <v>17.355632930515892</v>
      </c>
      <c r="D13" s="8" cm="1">
        <f t="array" aca="1" ref="D13" ca="1">[1]!UNIFORM_INV(RAND(),Sheet2!F$13-SQRT(3)*Sheet2!F$14,Sheet2!F$13+SQRT(3)*Sheet2!F$14)</f>
        <v>23.149740271759285</v>
      </c>
      <c r="E13" s="8" cm="1">
        <f t="array" aca="1" ref="E13" ca="1">[1]!UNIFORM_INV(RAND(),Sheet2!G$13-SQRT(3)*Sheet2!G$14,Sheet2!G$13+SQRT(3)*Sheet2!G$14)</f>
        <v>21.594950517570528</v>
      </c>
      <c r="F13" s="8" cm="1">
        <f t="array" aca="1" ref="F13" ca="1">[1]!UNIFORM_INV(RAND(),Sheet2!H$13-SQRT(3)*Sheet2!H$14,Sheet2!H$13+SQRT(3)*Sheet2!H$14)</f>
        <v>28.804886411117501</v>
      </c>
      <c r="G13" s="8" cm="1">
        <f t="array" aca="1" ref="G13" ca="1">[1]!UNIFORM_INV(RAND(),Sheet2!I$13-SQRT(3)*Sheet2!I$14,Sheet2!I$13+SQRT(3)*Sheet2!I$14)</f>
        <v>12.471381824356545</v>
      </c>
      <c r="H13" s="8" cm="1">
        <f t="array" aca="1" ref="H13" ca="1">[1]!UNIFORM_INV(RAND(),Sheet2!J$13-SQRT(3)*Sheet2!J$14,Sheet2!J$13+SQRT(3)*Sheet2!J$14)</f>
        <v>19.949886575214901</v>
      </c>
      <c r="I13" s="8" cm="1">
        <f t="array" aca="1" ref="I13" ca="1">[1]!UNIFORM_INV(RAND(),Sheet2!K$13-SQRT(3)*Sheet2!K$14,Sheet2!K$13+SQRT(3)*Sheet2!K$14)</f>
        <v>26.905664272415216</v>
      </c>
      <c r="J13" s="8" cm="1">
        <f t="array" aca="1" ref="J13" ca="1">[1]!UNIFORM_INV(RAND(),Sheet2!L$13-SQRT(3)*Sheet2!L$14,Sheet2!L$13+SQRT(3)*Sheet2!L$14)</f>
        <v>18.259594348480057</v>
      </c>
      <c r="K13" s="8" cm="1">
        <f t="array" aca="1" ref="K13" ca="1">[1]!UNIFORM_INV(RAND(),Sheet2!M$13-SQRT(3)*Sheet2!M$14,Sheet2!M$13+SQRT(3)*Sheet2!M$14)</f>
        <v>21.994989946807763</v>
      </c>
      <c r="L13" s="8" cm="1">
        <f t="array" aca="1" ref="L13" ca="1">[1]!UNIFORM_INV(RAND(),Sheet2!N$13-SQRT(3)*Sheet2!N$14,Sheet2!N$13+SQRT(3)*Sheet2!N$14)</f>
        <v>9.949241430588037</v>
      </c>
      <c r="M13" s="8" cm="1">
        <f t="array" aca="1" ref="M13" ca="1">[1]!UNIFORM_INV(RAND(),Sheet2!O$13-SQRT(3)*Sheet2!O$14,Sheet2!O$13+SQRT(3)*Sheet2!O$14)</f>
        <v>6.0685613909785765</v>
      </c>
      <c r="N13" s="8" cm="1">
        <f t="array" aca="1" ref="N13" ca="1">[1]!UNIFORM_INV(RAND(),Sheet2!P$13-SQRT(3)*Sheet2!P$14,Sheet2!P$13+SQRT(3)*Sheet2!P$14)</f>
        <v>23.583426117081057</v>
      </c>
      <c r="O13" s="8" cm="1">
        <f t="array" aca="1" ref="O13" ca="1">[1]!UNIFORM_INV(RAND(),Sheet2!Q$13-SQRT(3)*Sheet2!Q$14,Sheet2!Q$13+SQRT(3)*Sheet2!Q$14)</f>
        <v>14.844914993917397</v>
      </c>
      <c r="P13" s="8" cm="1">
        <f t="array" aca="1" ref="P13" ca="1">[1]!UNIFORM_INV(RAND(),Sheet2!R$13-SQRT(3)*Sheet2!R$14,Sheet2!R$13+SQRT(3)*Sheet2!R$14)</f>
        <v>9.3681888338693806</v>
      </c>
      <c r="Q13" s="8" cm="1">
        <f t="array" aca="1" ref="Q13" ca="1">[1]!UNIFORM_INV(RAND(),Sheet2!S$13-SQRT(3)*Sheet2!S$14,Sheet2!S$13+SQRT(3)*Sheet2!S$14)</f>
        <v>4.8723167018664029</v>
      </c>
      <c r="R13" s="8" cm="1">
        <f t="array" aca="1" ref="R13" ca="1">[1]!UNIFORM_INV(RAND(),Sheet2!T$13-SQRT(3)*Sheet2!T$14,Sheet2!T$13+SQRT(3)*Sheet2!T$14)</f>
        <v>12.135373069641464</v>
      </c>
      <c r="S13" s="8" cm="1">
        <f t="array" aca="1" ref="S13" ca="1">[1]!UNIFORM_INV(RAND(),Sheet2!U$13-SQRT(3)*Sheet2!U$14,Sheet2!U$13+SQRT(3)*Sheet2!U$14)</f>
        <v>25.224489638650258</v>
      </c>
      <c r="T13" s="8" cm="1">
        <f t="array" aca="1" ref="T13" ca="1">[1]!UNIFORM_INV(RAND(),Sheet2!V$13-SQRT(3)*Sheet2!V$14,Sheet2!V$13+SQRT(3)*Sheet2!V$14)</f>
        <v>25.58973139573764</v>
      </c>
      <c r="U13" s="8" cm="1">
        <f t="array" aca="1" ref="U13" ca="1">[1]!UNIFORM_INV(RAND(),Sheet2!W$13-SQRT(3)*Sheet2!W$14,Sheet2!W$13+SQRT(3)*Sheet2!W$14)</f>
        <v>23.550628208958464</v>
      </c>
      <c r="V13" s="8" cm="1">
        <f t="array" aca="1" ref="V13" ca="1">[1]!UNIFORM_INV(RAND(),Sheet2!X$13-SQRT(3)*Sheet2!X$14,Sheet2!X$13+SQRT(3)*Sheet2!X$14)</f>
        <v>20.655708968748012</v>
      </c>
      <c r="W13" s="8" cm="1">
        <f t="array" aca="1" ref="W13" ca="1">[1]!UNIFORM_INV(RAND(),Sheet2!Y$13-SQRT(3)*Sheet2!Y$14,Sheet2!Y$13+SQRT(3)*Sheet2!Y$14)</f>
        <v>21.196010087710587</v>
      </c>
      <c r="X13" s="8" cm="1">
        <f t="array" aca="1" ref="X13" ca="1">[1]!UNIFORM_INV(RAND(),Sheet2!Z$13-SQRT(3)*Sheet2!Z$14,Sheet2!Z$13+SQRT(3)*Sheet2!Z$14)</f>
        <v>8.5420873718217063</v>
      </c>
      <c r="Z13" s="10"/>
      <c r="AA13" s="10"/>
      <c r="AB13" s="10"/>
      <c r="AC13" s="10"/>
      <c r="AD13" s="10"/>
      <c r="AE13" s="10"/>
      <c r="AF13" s="10"/>
      <c r="AG13" s="10"/>
      <c r="AH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X13" s="7">
        <f ca="1">Sheet2!C$13+('RNG HERE'!A13-'RNG HERE'!Y$2)*Sheet2!C$14/'RNG HERE'!Y$3</f>
        <v>3.0191560562388227</v>
      </c>
      <c r="AY13" s="7">
        <f ca="1">Sheet2!D$13+('RNG HERE'!B13-'RNG HERE'!Z$2)*Sheet2!D$14/'RNG HERE'!Z$3</f>
        <v>5.5724258895046308</v>
      </c>
      <c r="AZ13" s="7">
        <f ca="1">Sheet2!E$13+('RNG HERE'!C13-'RNG HERE'!AA$2)*Sheet2!E$14/'RNG HERE'!AA$3</f>
        <v>17.48443215026877</v>
      </c>
      <c r="BA13" s="7">
        <f ca="1">Sheet2!F$13+('RNG HERE'!D13-'RNG HERE'!AB$2)*Sheet2!F$14/'RNG HERE'!AB$3</f>
        <v>23.620994170187259</v>
      </c>
      <c r="BB13" s="7">
        <f ca="1">Sheet2!G$13+('RNG HERE'!E13-'RNG HERE'!AC$2)*Sheet2!G$14/'RNG HERE'!AC$3</f>
        <v>21.696914685424201</v>
      </c>
      <c r="BC13" s="7">
        <f ca="1">Sheet2!H$13+('RNG HERE'!F13-'RNG HERE'!AD$2)*Sheet2!H$14/'RNG HERE'!AD$3</f>
        <v>29.324484664526256</v>
      </c>
      <c r="BD13" s="7">
        <f ca="1">Sheet2!I$13+('RNG HERE'!G13-'RNG HERE'!AE$2)*Sheet2!I$14/'RNG HERE'!AE$3</f>
        <v>12.505529716505169</v>
      </c>
      <c r="BE13" s="7">
        <f ca="1">Sheet2!J$13+('RNG HERE'!H13-'RNG HERE'!AF$2)*Sheet2!J$14/'RNG HERE'!AF$3</f>
        <v>19.870013418855525</v>
      </c>
      <c r="BF13" s="7">
        <f ca="1">Sheet2!K$13+('RNG HERE'!I13-'RNG HERE'!AG$2)*Sheet2!K$14/'RNG HERE'!AG$3</f>
        <v>26.866351627326054</v>
      </c>
      <c r="BG13" s="7">
        <f ca="1">Sheet2!L$13+('RNG HERE'!J13-'RNG HERE'!AH$2)*Sheet2!L$14/'RNG HERE'!AH$3</f>
        <v>18.119231705983154</v>
      </c>
      <c r="BH13" s="7">
        <f ca="1">Sheet2!M$13+('RNG HERE'!K13-'RNG HERE'!AI$2)*Sheet2!M$14/'RNG HERE'!AI$3</f>
        <v>22.148319912407072</v>
      </c>
      <c r="BI13" s="7">
        <f ca="1">Sheet2!N$13+('RNG HERE'!L13-'RNG HERE'!AJ$2)*Sheet2!N$14/'RNG HERE'!AJ$3</f>
        <v>9.7247945919313832</v>
      </c>
      <c r="BJ13" s="7">
        <f ca="1">Sheet2!O$13+('RNG HERE'!M13-'RNG HERE'!AK$2)*Sheet2!O$14/'RNG HERE'!AK$3</f>
        <v>6.0908859306572047</v>
      </c>
      <c r="BK13" s="7">
        <f ca="1">Sheet2!P$13+('RNG HERE'!N13-'RNG HERE'!AL$2)*Sheet2!P$14/'RNG HERE'!AL$3</f>
        <v>23.564510444879623</v>
      </c>
      <c r="BL13" s="7">
        <f ca="1">Sheet2!Q$13+('RNG HERE'!O13-'RNG HERE'!AM$2)*Sheet2!Q$14/'RNG HERE'!AM$3</f>
        <v>14.907612420809794</v>
      </c>
      <c r="BM13" s="7">
        <f ca="1">Sheet2!R$13+('RNG HERE'!P13-'RNG HERE'!AN$2)*Sheet2!R$14/'RNG HERE'!AN$3</f>
        <v>9.4362380056299706</v>
      </c>
      <c r="BN13" s="7">
        <f ca="1">Sheet2!S$13+('RNG HERE'!Q13-'RNG HERE'!AO$2)*Sheet2!S$14/'RNG HERE'!AO$3</f>
        <v>4.8086823116383401</v>
      </c>
      <c r="BO13" s="7">
        <f ca="1">Sheet2!T$13+('RNG HERE'!R13-'RNG HERE'!AP$2)*Sheet2!T$14/'RNG HERE'!AP$3</f>
        <v>12.730819228774283</v>
      </c>
      <c r="BP13" s="7">
        <f ca="1">Sheet2!U$13+('RNG HERE'!S13-'RNG HERE'!AQ$2)*Sheet2!U$14/'RNG HERE'!AQ$3</f>
        <v>25.371975212361459</v>
      </c>
      <c r="BQ13" s="7">
        <f ca="1">Sheet2!V$13+('RNG HERE'!T13-'RNG HERE'!AR$2)*Sheet2!V$14/'RNG HERE'!AR$3</f>
        <v>25.209994631850833</v>
      </c>
      <c r="BR13" s="7">
        <f ca="1">Sheet2!W$13+('RNG HERE'!U13-'RNG HERE'!AS$2)*Sheet2!W$14/'RNG HERE'!AS$3</f>
        <v>23.598527361871959</v>
      </c>
      <c r="BS13" s="7">
        <f ca="1">Sheet2!X$13+('RNG HERE'!V13-'RNG HERE'!AT$2)*Sheet2!X$14/'RNG HERE'!AT$3</f>
        <v>20.681584584979973</v>
      </c>
      <c r="BT13" s="7">
        <f ca="1">Sheet2!Y$13+('RNG HERE'!W13-'RNG HERE'!AU$2)*Sheet2!Y$14/'RNG HERE'!AU$3</f>
        <v>20.848209345231801</v>
      </c>
      <c r="BU13" s="7" t="e">
        <f ca="1">Sheet2!Z$13+('RNG HERE'!X13-'RNG HERE'!AV$2)*Sheet2!Z$14/'RNG HERE'!AV$3</f>
        <v>#NAME?</v>
      </c>
    </row>
    <row r="14" spans="1:97" x14ac:dyDescent="0.3">
      <c r="A14" s="8" cm="1">
        <f t="array" aca="1" ref="A14" ca="1">[1]!UNIFORM_INV(RAND(),Sheet2!C$13-SQRT(3)*Sheet2!C$14,Sheet2!C$13+SQRT(3)*Sheet2!C$14)</f>
        <v>2.3449802446125227</v>
      </c>
      <c r="B14" s="8" cm="1">
        <f t="array" aca="1" ref="B14" ca="1">[1]!UNIFORM_INV(RAND(),Sheet2!D$13-SQRT(3)*Sheet2!D$14,Sheet2!D$13+SQRT(3)*Sheet2!D$14)</f>
        <v>3.9395926267969972</v>
      </c>
      <c r="C14" s="8" cm="1">
        <f t="array" aca="1" ref="C14" ca="1">[1]!UNIFORM_INV(RAND(),Sheet2!E$13-SQRT(3)*Sheet2!E$14,Sheet2!E$13+SQRT(3)*Sheet2!E$14)</f>
        <v>19.21451968154642</v>
      </c>
      <c r="D14" s="8" cm="1">
        <f t="array" aca="1" ref="D14" ca="1">[1]!UNIFORM_INV(RAND(),Sheet2!F$13-SQRT(3)*Sheet2!F$14,Sheet2!F$13+SQRT(3)*Sheet2!F$14)</f>
        <v>18.924543202643719</v>
      </c>
      <c r="E14" s="8" cm="1">
        <f t="array" aca="1" ref="E14" ca="1">[1]!UNIFORM_INV(RAND(),Sheet2!G$13-SQRT(3)*Sheet2!G$14,Sheet2!G$13+SQRT(3)*Sheet2!G$14)</f>
        <v>20.184111369867221</v>
      </c>
      <c r="F14" s="8" cm="1">
        <f t="array" aca="1" ref="F14" ca="1">[1]!UNIFORM_INV(RAND(),Sheet2!H$13-SQRT(3)*Sheet2!H$14,Sheet2!H$13+SQRT(3)*Sheet2!H$14)</f>
        <v>29.65064858014739</v>
      </c>
      <c r="G14" s="8" cm="1">
        <f t="array" aca="1" ref="G14" ca="1">[1]!UNIFORM_INV(RAND(),Sheet2!I$13-SQRT(3)*Sheet2!I$14,Sheet2!I$13+SQRT(3)*Sheet2!I$14)</f>
        <v>11.724882519939158</v>
      </c>
      <c r="H14" s="8" cm="1">
        <f t="array" aca="1" ref="H14" ca="1">[1]!UNIFORM_INV(RAND(),Sheet2!J$13-SQRT(3)*Sheet2!J$14,Sheet2!J$13+SQRT(3)*Sheet2!J$14)</f>
        <v>20.147147535812287</v>
      </c>
      <c r="I14" s="8" cm="1">
        <f t="array" aca="1" ref="I14" ca="1">[1]!UNIFORM_INV(RAND(),Sheet2!K$13-SQRT(3)*Sheet2!K$14,Sheet2!K$13+SQRT(3)*Sheet2!K$14)</f>
        <v>28.464240505723669</v>
      </c>
      <c r="J14" s="8" cm="1">
        <f t="array" aca="1" ref="J14" ca="1">[1]!UNIFORM_INV(RAND(),Sheet2!L$13-SQRT(3)*Sheet2!L$14,Sheet2!L$13+SQRT(3)*Sheet2!L$14)</f>
        <v>17.452810951878114</v>
      </c>
      <c r="K14" s="8" cm="1">
        <f t="array" aca="1" ref="K14" ca="1">[1]!UNIFORM_INV(RAND(),Sheet2!M$13-SQRT(3)*Sheet2!M$14,Sheet2!M$13+SQRT(3)*Sheet2!M$14)</f>
        <v>18.761013950925371</v>
      </c>
      <c r="L14" s="8" cm="1">
        <f t="array" aca="1" ref="L14" ca="1">[1]!UNIFORM_INV(RAND(),Sheet2!N$13-SQRT(3)*Sheet2!N$14,Sheet2!N$13+SQRT(3)*Sheet2!N$14)</f>
        <v>7.5541824948658336</v>
      </c>
      <c r="M14" s="8" cm="1">
        <f t="array" aca="1" ref="M14" ca="1">[1]!UNIFORM_INV(RAND(),Sheet2!O$13-SQRT(3)*Sheet2!O$14,Sheet2!O$13+SQRT(3)*Sheet2!O$14)</f>
        <v>7.3057968076884583</v>
      </c>
      <c r="N14" s="8" cm="1">
        <f t="array" aca="1" ref="N14" ca="1">[1]!UNIFORM_INV(RAND(),Sheet2!P$13-SQRT(3)*Sheet2!P$14,Sheet2!P$13+SQRT(3)*Sheet2!P$14)</f>
        <v>21.158179967802869</v>
      </c>
      <c r="O14" s="8" cm="1">
        <f t="array" aca="1" ref="O14" ca="1">[1]!UNIFORM_INV(RAND(),Sheet2!Q$13-SQRT(3)*Sheet2!Q$14,Sheet2!Q$13+SQRT(3)*Sheet2!Q$14)</f>
        <v>12.163545403528586</v>
      </c>
      <c r="P14" s="8" cm="1">
        <f t="array" aca="1" ref="P14" ca="1">[1]!UNIFORM_INV(RAND(),Sheet2!R$13-SQRT(3)*Sheet2!R$14,Sheet2!R$13+SQRT(3)*Sheet2!R$14)</f>
        <v>9.9955616558751945</v>
      </c>
      <c r="Q14" s="8" cm="1">
        <f t="array" aca="1" ref="Q14" ca="1">[1]!UNIFORM_INV(RAND(),Sheet2!S$13-SQRT(3)*Sheet2!S$14,Sheet2!S$13+SQRT(3)*Sheet2!S$14)</f>
        <v>4.7735760031746128</v>
      </c>
      <c r="R14" s="8" cm="1">
        <f t="array" aca="1" ref="R14" ca="1">[1]!UNIFORM_INV(RAND(),Sheet2!T$13-SQRT(3)*Sheet2!T$14,Sheet2!T$13+SQRT(3)*Sheet2!T$14)</f>
        <v>11.650506253710578</v>
      </c>
      <c r="S14" s="8" cm="1">
        <f t="array" aca="1" ref="S14" ca="1">[1]!UNIFORM_INV(RAND(),Sheet2!U$13-SQRT(3)*Sheet2!U$14,Sheet2!U$13+SQRT(3)*Sheet2!U$14)</f>
        <v>23.400506699717514</v>
      </c>
      <c r="T14" s="8" cm="1">
        <f t="array" aca="1" ref="T14" ca="1">[1]!UNIFORM_INV(RAND(),Sheet2!V$13-SQRT(3)*Sheet2!V$14,Sheet2!V$13+SQRT(3)*Sheet2!V$14)</f>
        <v>24.999796823909765</v>
      </c>
      <c r="U14" s="8" cm="1">
        <f t="array" aca="1" ref="U14" ca="1">[1]!UNIFORM_INV(RAND(),Sheet2!W$13-SQRT(3)*Sheet2!W$14,Sheet2!W$13+SQRT(3)*Sheet2!W$14)</f>
        <v>27.266287980176251</v>
      </c>
      <c r="V14" s="8" cm="1">
        <f t="array" aca="1" ref="V14" ca="1">[1]!UNIFORM_INV(RAND(),Sheet2!X$13-SQRT(3)*Sheet2!X$14,Sheet2!X$13+SQRT(3)*Sheet2!X$14)</f>
        <v>21.921454090985748</v>
      </c>
      <c r="W14" s="8" cm="1">
        <f t="array" aca="1" ref="W14" ca="1">[1]!UNIFORM_INV(RAND(),Sheet2!Y$13-SQRT(3)*Sheet2!Y$14,Sheet2!Y$13+SQRT(3)*Sheet2!Y$14)</f>
        <v>23.722858161471446</v>
      </c>
      <c r="X14" s="8" cm="1">
        <f t="array" aca="1" ref="X14" ca="1">[1]!UNIFORM_INV(RAND(),Sheet2!Z$13-SQRT(3)*Sheet2!Z$14,Sheet2!Z$13+SQRT(3)*Sheet2!Z$14)</f>
        <v>7.2065044032747263</v>
      </c>
      <c r="Z14" s="10"/>
      <c r="AA14" s="10"/>
      <c r="AB14" s="10"/>
      <c r="AC14" s="10"/>
      <c r="AD14" s="10"/>
      <c r="AE14" s="10"/>
      <c r="AF14" s="10"/>
      <c r="AG14" s="10"/>
      <c r="AH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X14" s="7">
        <f ca="1">Sheet2!C$13+('RNG HERE'!A14-'RNG HERE'!Y$2)*Sheet2!C$14/'RNG HERE'!Y$3</f>
        <v>2.3317347729795546</v>
      </c>
      <c r="AY14" s="7">
        <f ca="1">Sheet2!D$13+('RNG HERE'!B14-'RNG HERE'!Z$2)*Sheet2!D$14/'RNG HERE'!Z$3</f>
        <v>3.7718983716243808</v>
      </c>
      <c r="AZ14" s="7">
        <f ca="1">Sheet2!E$13+('RNG HERE'!C14-'RNG HERE'!AA$2)*Sheet2!E$14/'RNG HERE'!AA$3</f>
        <v>19.535179526328356</v>
      </c>
      <c r="BA14" s="7">
        <f ca="1">Sheet2!F$13+('RNG HERE'!D14-'RNG HERE'!AB$2)*Sheet2!F$14/'RNG HERE'!AB$3</f>
        <v>18.783973726772839</v>
      </c>
      <c r="BB14" s="7">
        <f ca="1">Sheet2!G$13+('RNG HERE'!E14-'RNG HERE'!AC$2)*Sheet2!G$14/'RNG HERE'!AC$3</f>
        <v>20.243207006255922</v>
      </c>
      <c r="BC14" s="7">
        <f ca="1">Sheet2!H$13+('RNG HERE'!F14-'RNG HERE'!AD$2)*Sheet2!H$14/'RNG HERE'!AD$3</f>
        <v>30.202496583510602</v>
      </c>
      <c r="BD14" s="7">
        <f ca="1">Sheet2!I$13+('RNG HERE'!G14-'RNG HERE'!AE$2)*Sheet2!I$14/'RNG HERE'!AE$3</f>
        <v>11.804580250596283</v>
      </c>
      <c r="BE14" s="7">
        <f ca="1">Sheet2!J$13+('RNG HERE'!H14-'RNG HERE'!AF$2)*Sheet2!J$14/'RNG HERE'!AF$3</f>
        <v>20.084814503273439</v>
      </c>
      <c r="BF14" s="7">
        <f ca="1">Sheet2!K$13+('RNG HERE'!I14-'RNG HERE'!AG$2)*Sheet2!K$14/'RNG HERE'!AG$3</f>
        <v>28.279213005265305</v>
      </c>
      <c r="BG14" s="7">
        <f ca="1">Sheet2!L$13+('RNG HERE'!J14-'RNG HERE'!AH$2)*Sheet2!L$14/'RNG HERE'!AH$3</f>
        <v>17.27259438045391</v>
      </c>
      <c r="BH14" s="7">
        <f ca="1">Sheet2!M$13+('RNG HERE'!K14-'RNG HERE'!AI$2)*Sheet2!M$14/'RNG HERE'!AI$3</f>
        <v>18.949181597992016</v>
      </c>
      <c r="BI14" s="7">
        <f ca="1">Sheet2!N$13+('RNG HERE'!L14-'RNG HERE'!AJ$2)*Sheet2!N$14/'RNG HERE'!AJ$3</f>
        <v>7.1568478207447388</v>
      </c>
      <c r="BJ14" s="7">
        <f ca="1">Sheet2!O$13+('RNG HERE'!M14-'RNG HERE'!AK$2)*Sheet2!O$14/'RNG HERE'!AK$3</f>
        <v>7.419787035796265</v>
      </c>
      <c r="BK14" s="7">
        <f ca="1">Sheet2!P$13+('RNG HERE'!N14-'RNG HERE'!AL$2)*Sheet2!P$14/'RNG HERE'!AL$3</f>
        <v>20.980464554562051</v>
      </c>
      <c r="BL14" s="7">
        <f ca="1">Sheet2!Q$13+('RNG HERE'!O14-'RNG HERE'!AM$2)*Sheet2!Q$14/'RNG HERE'!AM$3</f>
        <v>12.41121910645384</v>
      </c>
      <c r="BM14" s="7">
        <f ca="1">Sheet2!R$13+('RNG HERE'!P14-'RNG HERE'!AN$2)*Sheet2!R$14/'RNG HERE'!AN$3</f>
        <v>10.100394180320688</v>
      </c>
      <c r="BN14" s="7">
        <f ca="1">Sheet2!S$13+('RNG HERE'!Q14-'RNG HERE'!AO$2)*Sheet2!S$14/'RNG HERE'!AO$3</f>
        <v>4.7196566662371104</v>
      </c>
      <c r="BO14" s="7">
        <f ca="1">Sheet2!T$13+('RNG HERE'!R14-'RNG HERE'!AP$2)*Sheet2!T$14/'RNG HERE'!AP$3</f>
        <v>12.139060291024771</v>
      </c>
      <c r="BP14" s="7">
        <f ca="1">Sheet2!U$13+('RNG HERE'!S14-'RNG HERE'!AQ$2)*Sheet2!U$14/'RNG HERE'!AQ$3</f>
        <v>23.603473192307863</v>
      </c>
      <c r="BQ14" s="7">
        <f ca="1">Sheet2!V$13+('RNG HERE'!T14-'RNG HERE'!AR$2)*Sheet2!V$14/'RNG HERE'!AR$3</f>
        <v>24.577825347063801</v>
      </c>
      <c r="BR14" s="7">
        <f ca="1">Sheet2!W$13+('RNG HERE'!U14-'RNG HERE'!AS$2)*Sheet2!W$14/'RNG HERE'!AS$3</f>
        <v>27.307718466602168</v>
      </c>
      <c r="BS14" s="7">
        <f ca="1">Sheet2!X$13+('RNG HERE'!V14-'RNG HERE'!AT$2)*Sheet2!X$14/'RNG HERE'!AT$3</f>
        <v>22.210359924054181</v>
      </c>
      <c r="BT14" s="7">
        <f ca="1">Sheet2!Y$13+('RNG HERE'!W14-'RNG HERE'!AU$2)*Sheet2!Y$14/'RNG HERE'!AU$3</f>
        <v>23.529726908102326</v>
      </c>
      <c r="BU14" s="7" t="e">
        <f ca="1">Sheet2!Z$13+('RNG HERE'!X14-'RNG HERE'!AV$2)*Sheet2!Z$14/'RNG HERE'!AV$3</f>
        <v>#NAME?</v>
      </c>
    </row>
    <row r="15" spans="1:97" x14ac:dyDescent="0.3">
      <c r="A15" s="8" cm="1">
        <f t="array" aca="1" ref="A15" ca="1">[1]!UNIFORM_INV(RAND(),Sheet2!C$13-SQRT(3)*Sheet2!C$14,Sheet2!C$13+SQRT(3)*Sheet2!C$14)</f>
        <v>2.5059405087550051</v>
      </c>
      <c r="B15" s="8" cm="1">
        <f t="array" aca="1" ref="B15" ca="1">[1]!UNIFORM_INV(RAND(),Sheet2!D$13-SQRT(3)*Sheet2!D$14,Sheet2!D$13+SQRT(3)*Sheet2!D$14)</f>
        <v>6.8524531355442058</v>
      </c>
      <c r="C15" s="8" cm="1">
        <f t="array" aca="1" ref="C15" ca="1">[1]!UNIFORM_INV(RAND(),Sheet2!E$13-SQRT(3)*Sheet2!E$14,Sheet2!E$13+SQRT(3)*Sheet2!E$14)</f>
        <v>17.553208648657542</v>
      </c>
      <c r="D15" s="8" cm="1">
        <f t="array" aca="1" ref="D15" ca="1">[1]!UNIFORM_INV(RAND(),Sheet2!F$13-SQRT(3)*Sheet2!F$14,Sheet2!F$13+SQRT(3)*Sheet2!F$14)</f>
        <v>19.674871476736076</v>
      </c>
      <c r="E15" s="8" cm="1">
        <f t="array" aca="1" ref="E15" ca="1">[1]!UNIFORM_INV(RAND(),Sheet2!G$13-SQRT(3)*Sheet2!G$14,Sheet2!G$13+SQRT(3)*Sheet2!G$14)</f>
        <v>17.601293062361115</v>
      </c>
      <c r="F15" s="8" cm="1">
        <f t="array" aca="1" ref="F15" ca="1">[1]!UNIFORM_INV(RAND(),Sheet2!H$13-SQRT(3)*Sheet2!H$14,Sheet2!H$13+SQRT(3)*Sheet2!H$14)</f>
        <v>30.580453652002287</v>
      </c>
      <c r="G15" s="8" cm="1">
        <f t="array" aca="1" ref="G15" ca="1">[1]!UNIFORM_INV(RAND(),Sheet2!I$13-SQRT(3)*Sheet2!I$14,Sheet2!I$13+SQRT(3)*Sheet2!I$14)</f>
        <v>12.245147615896531</v>
      </c>
      <c r="H15" s="8" cm="1">
        <f t="array" aca="1" ref="H15" ca="1">[1]!UNIFORM_INV(RAND(),Sheet2!J$13-SQRT(3)*Sheet2!J$14,Sheet2!J$13+SQRT(3)*Sheet2!J$14)</f>
        <v>21.070846706936049</v>
      </c>
      <c r="I15" s="8" cm="1">
        <f t="array" aca="1" ref="I15" ca="1">[1]!UNIFORM_INV(RAND(),Sheet2!K$13-SQRT(3)*Sheet2!K$14,Sheet2!K$13+SQRT(3)*Sheet2!K$14)</f>
        <v>30.491765890641947</v>
      </c>
      <c r="J15" s="8" cm="1">
        <f t="array" aca="1" ref="J15" ca="1">[1]!UNIFORM_INV(RAND(),Sheet2!L$13-SQRT(3)*Sheet2!L$14,Sheet2!L$13+SQRT(3)*Sheet2!L$14)</f>
        <v>18.857002686036321</v>
      </c>
      <c r="K15" s="8" cm="1">
        <f t="array" aca="1" ref="K15" ca="1">[1]!UNIFORM_INV(RAND(),Sheet2!M$13-SQRT(3)*Sheet2!M$14,Sheet2!M$13+SQRT(3)*Sheet2!M$14)</f>
        <v>19.184271901141909</v>
      </c>
      <c r="L15" s="8" cm="1">
        <f t="array" aca="1" ref="L15" ca="1">[1]!UNIFORM_INV(RAND(),Sheet2!N$13-SQRT(3)*Sheet2!N$14,Sheet2!N$13+SQRT(3)*Sheet2!N$14)</f>
        <v>9.5293856221564077</v>
      </c>
      <c r="M15" s="8" cm="1">
        <f t="array" aca="1" ref="M15" ca="1">[1]!UNIFORM_INV(RAND(),Sheet2!O$13-SQRT(3)*Sheet2!O$14,Sheet2!O$13+SQRT(3)*Sheet2!O$14)</f>
        <v>5.9076371187989452</v>
      </c>
      <c r="N15" s="8" cm="1">
        <f t="array" aca="1" ref="N15" ca="1">[1]!UNIFORM_INV(RAND(),Sheet2!P$13-SQRT(3)*Sheet2!P$14,Sheet2!P$13+SQRT(3)*Sheet2!P$14)</f>
        <v>19.088156721477908</v>
      </c>
      <c r="O15" s="8" cm="1">
        <f t="array" aca="1" ref="O15" ca="1">[1]!UNIFORM_INV(RAND(),Sheet2!Q$13-SQRT(3)*Sheet2!Q$14,Sheet2!Q$13+SQRT(3)*Sheet2!Q$14)</f>
        <v>15.290746268496353</v>
      </c>
      <c r="P15" s="8" cm="1">
        <f t="array" aca="1" ref="P15" ca="1">[1]!UNIFORM_INV(RAND(),Sheet2!R$13-SQRT(3)*Sheet2!R$14,Sheet2!R$13+SQRT(3)*Sheet2!R$14)</f>
        <v>9.258653316508866</v>
      </c>
      <c r="Q15" s="8" cm="1">
        <f t="array" aca="1" ref="Q15" ca="1">[1]!UNIFORM_INV(RAND(),Sheet2!S$13-SQRT(3)*Sheet2!S$14,Sheet2!S$13+SQRT(3)*Sheet2!S$14)</f>
        <v>4.9654154757068749</v>
      </c>
      <c r="R15" s="8" cm="1">
        <f t="array" aca="1" ref="R15" ca="1">[1]!UNIFORM_INV(RAND(),Sheet2!T$13-SQRT(3)*Sheet2!T$14,Sheet2!T$13+SQRT(3)*Sheet2!T$14)</f>
        <v>12.386158170287612</v>
      </c>
      <c r="S15" s="8" cm="1">
        <f t="array" aca="1" ref="S15" ca="1">[1]!UNIFORM_INV(RAND(),Sheet2!U$13-SQRT(3)*Sheet2!U$14,Sheet2!U$13+SQRT(3)*Sheet2!U$14)</f>
        <v>22.013052076826543</v>
      </c>
      <c r="T15" s="8" cm="1">
        <f t="array" aca="1" ref="T15" ca="1">[1]!UNIFORM_INV(RAND(),Sheet2!V$13-SQRT(3)*Sheet2!V$14,Sheet2!V$13+SQRT(3)*Sheet2!V$14)</f>
        <v>24.856704757210711</v>
      </c>
      <c r="U15" s="8" cm="1">
        <f t="array" aca="1" ref="U15" ca="1">[1]!UNIFORM_INV(RAND(),Sheet2!W$13-SQRT(3)*Sheet2!W$14,Sheet2!W$13+SQRT(3)*Sheet2!W$14)</f>
        <v>23.233559876409721</v>
      </c>
      <c r="V15" s="8" cm="1">
        <f t="array" aca="1" ref="V15" ca="1">[1]!UNIFORM_INV(RAND(),Sheet2!X$13-SQRT(3)*Sheet2!X$14,Sheet2!X$13+SQRT(3)*Sheet2!X$14)</f>
        <v>21.290540120778978</v>
      </c>
      <c r="W15" s="8" cm="1">
        <f t="array" aca="1" ref="W15" ca="1">[1]!UNIFORM_INV(RAND(),Sheet2!Y$13-SQRT(3)*Sheet2!Y$14,Sheet2!Y$13+SQRT(3)*Sheet2!Y$14)</f>
        <v>22.181169950282012</v>
      </c>
      <c r="X15" s="8" cm="1">
        <f t="array" aca="1" ref="X15" ca="1">[1]!UNIFORM_INV(RAND(),Sheet2!Z$13-SQRT(3)*Sheet2!Z$14,Sheet2!Z$13+SQRT(3)*Sheet2!Z$14)</f>
        <v>8.0885980697985342</v>
      </c>
      <c r="Z15" s="10"/>
      <c r="AA15" s="10"/>
      <c r="AB15" s="10"/>
      <c r="AC15" s="10"/>
      <c r="AD15" s="10"/>
      <c r="AE15" s="10"/>
      <c r="AF15" s="10"/>
      <c r="AG15" s="10"/>
      <c r="AH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X15" s="7">
        <f ca="1">Sheet2!C$13+('RNG HERE'!A15-'RNG HERE'!Y$2)*Sheet2!C$14/'RNG HERE'!Y$3</f>
        <v>2.4895782096137449</v>
      </c>
      <c r="AY15" s="7">
        <f ca="1">Sheet2!D$13+('RNG HERE'!B15-'RNG HERE'!Z$2)*Sheet2!D$14/'RNG HERE'!Z$3</f>
        <v>6.6774173588224084</v>
      </c>
      <c r="AZ15" s="7">
        <f ca="1">Sheet2!E$13+('RNG HERE'!C15-'RNG HERE'!AA$2)*Sheet2!E$14/'RNG HERE'!AA$3</f>
        <v>17.702400181579691</v>
      </c>
      <c r="BA15" s="7">
        <f ca="1">Sheet2!F$13+('RNG HERE'!D15-'RNG HERE'!AB$2)*Sheet2!F$14/'RNG HERE'!AB$3</f>
        <v>19.642952170070938</v>
      </c>
      <c r="BB15" s="7">
        <f ca="1">Sheet2!G$13+('RNG HERE'!E15-'RNG HERE'!AC$2)*Sheet2!G$14/'RNG HERE'!AC$3</f>
        <v>17.581909427697642</v>
      </c>
      <c r="BC15" s="7">
        <f ca="1">Sheet2!H$13+('RNG HERE'!F15-'RNG HERE'!AD$2)*Sheet2!H$14/'RNG HERE'!AD$3</f>
        <v>31.167756044520903</v>
      </c>
      <c r="BD15" s="7">
        <f ca="1">Sheet2!I$13+('RNG HERE'!G15-'RNG HERE'!AE$2)*Sheet2!I$14/'RNG HERE'!AE$3</f>
        <v>12.29309984999092</v>
      </c>
      <c r="BE15" s="7">
        <f ca="1">Sheet2!J$13+('RNG HERE'!H15-'RNG HERE'!AF$2)*Sheet2!J$14/'RNG HERE'!AF$3</f>
        <v>21.09064750252702</v>
      </c>
      <c r="BF15" s="7">
        <f ca="1">Sheet2!K$13+('RNG HERE'!I15-'RNG HERE'!AG$2)*Sheet2!K$14/'RNG HERE'!AG$3</f>
        <v>30.117180406488671</v>
      </c>
      <c r="BG15" s="7">
        <f ca="1">Sheet2!L$13+('RNG HERE'!J15-'RNG HERE'!AH$2)*Sheet2!L$14/'RNG HERE'!AH$3</f>
        <v>18.746151148410714</v>
      </c>
      <c r="BH15" s="7">
        <f ca="1">Sheet2!M$13+('RNG HERE'!K15-'RNG HERE'!AI$2)*Sheet2!M$14/'RNG HERE'!AI$3</f>
        <v>19.367880044468595</v>
      </c>
      <c r="BI15" s="7">
        <f ca="1">Sheet2!N$13+('RNG HERE'!L15-'RNG HERE'!AJ$2)*Sheet2!N$14/'RNG HERE'!AJ$3</f>
        <v>9.2746314032327088</v>
      </c>
      <c r="BJ15" s="7">
        <f ca="1">Sheet2!O$13+('RNG HERE'!M15-'RNG HERE'!AK$2)*Sheet2!O$14/'RNG HERE'!AK$3</f>
        <v>5.9180389200923935</v>
      </c>
      <c r="BK15" s="7">
        <f ca="1">Sheet2!P$13+('RNG HERE'!N15-'RNG HERE'!AL$2)*Sheet2!P$14/'RNG HERE'!AL$3</f>
        <v>18.774900775347369</v>
      </c>
      <c r="BL15" s="7">
        <f ca="1">Sheet2!Q$13+('RNG HERE'!O15-'RNG HERE'!AM$2)*Sheet2!Q$14/'RNG HERE'!AM$3</f>
        <v>15.322687693229927</v>
      </c>
      <c r="BM15" s="7">
        <f ca="1">Sheet2!R$13+('RNG HERE'!P15-'RNG HERE'!AN$2)*Sheet2!R$14/'RNG HERE'!AN$3</f>
        <v>9.3202803363603017</v>
      </c>
      <c r="BN15" s="7">
        <f ca="1">Sheet2!S$13+('RNG HERE'!Q15-'RNG HERE'!AO$2)*Sheet2!S$14/'RNG HERE'!AO$3</f>
        <v>4.8926211386571969</v>
      </c>
      <c r="BO15" s="7">
        <f ca="1">Sheet2!T$13+('RNG HERE'!R15-'RNG HERE'!AP$2)*Sheet2!T$14/'RNG HERE'!AP$3</f>
        <v>13.036891576655735</v>
      </c>
      <c r="BP15" s="7">
        <f ca="1">Sheet2!U$13+('RNG HERE'!S15-'RNG HERE'!AQ$2)*Sheet2!U$14/'RNG HERE'!AQ$3</f>
        <v>22.258221407907342</v>
      </c>
      <c r="BQ15" s="7">
        <f ca="1">Sheet2!V$13+('RNG HERE'!T15-'RNG HERE'!AR$2)*Sheet2!V$14/'RNG HERE'!AR$3</f>
        <v>24.424489004724073</v>
      </c>
      <c r="BR15" s="7">
        <f ca="1">Sheet2!W$13+('RNG HERE'!U15-'RNG HERE'!AS$2)*Sheet2!W$14/'RNG HERE'!AS$3</f>
        <v>23.282011019931431</v>
      </c>
      <c r="BS15" s="7">
        <f ca="1">Sheet2!X$13+('RNG HERE'!V15-'RNG HERE'!AT$2)*Sheet2!X$14/'RNG HERE'!AT$3</f>
        <v>21.448337853588441</v>
      </c>
      <c r="BT15" s="7">
        <f ca="1">Sheet2!Y$13+('RNG HERE'!W15-'RNG HERE'!AU$2)*Sheet2!Y$14/'RNG HERE'!AU$3</f>
        <v>21.893671279074365</v>
      </c>
      <c r="BU15" s="7" t="e">
        <f ca="1">Sheet2!Z$13+('RNG HERE'!X15-'RNG HERE'!AV$2)*Sheet2!Z$14/'RNG HERE'!AV$3</f>
        <v>#NAME?</v>
      </c>
    </row>
    <row r="16" spans="1:97" x14ac:dyDescent="0.3">
      <c r="A16" s="8" cm="1">
        <f t="array" aca="1" ref="A16" ca="1">[1]!UNIFORM_INV(RAND(),Sheet2!C$13-SQRT(3)*Sheet2!C$14,Sheet2!C$13+SQRT(3)*Sheet2!C$14)</f>
        <v>2.4342329022501525</v>
      </c>
      <c r="B16" s="8" cm="1">
        <f t="array" aca="1" ref="B16" ca="1">[1]!UNIFORM_INV(RAND(),Sheet2!D$13-SQRT(3)*Sheet2!D$14,Sheet2!D$13+SQRT(3)*Sheet2!D$14)</f>
        <v>6.9691599091579146</v>
      </c>
      <c r="C16" s="8" cm="1">
        <f t="array" aca="1" ref="C16" ca="1">[1]!UNIFORM_INV(RAND(),Sheet2!E$13-SQRT(3)*Sheet2!E$14,Sheet2!E$13+SQRT(3)*Sheet2!E$14)</f>
        <v>20.180617991335133</v>
      </c>
      <c r="D16" s="8" cm="1">
        <f t="array" aca="1" ref="D16" ca="1">[1]!UNIFORM_INV(RAND(),Sheet2!F$13-SQRT(3)*Sheet2!F$14,Sheet2!F$13+SQRT(3)*Sheet2!F$14)</f>
        <v>21.748785914835231</v>
      </c>
      <c r="E16" s="8" cm="1">
        <f t="array" aca="1" ref="E16" ca="1">[1]!UNIFORM_INV(RAND(),Sheet2!G$13-SQRT(3)*Sheet2!G$14,Sheet2!G$13+SQRT(3)*Sheet2!G$14)</f>
        <v>19.235339990307729</v>
      </c>
      <c r="F16" s="8" cm="1">
        <f t="array" aca="1" ref="F16" ca="1">[1]!UNIFORM_INV(RAND(),Sheet2!H$13-SQRT(3)*Sheet2!H$14,Sheet2!H$13+SQRT(3)*Sheet2!H$14)</f>
        <v>25.363641565157824</v>
      </c>
      <c r="G16" s="8" cm="1">
        <f t="array" aca="1" ref="G16" ca="1">[1]!UNIFORM_INV(RAND(),Sheet2!I$13-SQRT(3)*Sheet2!I$14,Sheet2!I$13+SQRT(3)*Sheet2!I$14)</f>
        <v>13.126958352683928</v>
      </c>
      <c r="H16" s="8" cm="1">
        <f t="array" aca="1" ref="H16" ca="1">[1]!UNIFORM_INV(RAND(),Sheet2!J$13-SQRT(3)*Sheet2!J$14,Sheet2!J$13+SQRT(3)*Sheet2!J$14)</f>
        <v>20.872323864438453</v>
      </c>
      <c r="I16" s="8" cm="1">
        <f t="array" aca="1" ref="I16" ca="1">[1]!UNIFORM_INV(RAND(),Sheet2!K$13-SQRT(3)*Sheet2!K$14,Sheet2!K$13+SQRT(3)*Sheet2!K$14)</f>
        <v>27.778344285102346</v>
      </c>
      <c r="J16" s="8" cm="1">
        <f t="array" aca="1" ref="J16" ca="1">[1]!UNIFORM_INV(RAND(),Sheet2!L$13-SQRT(3)*Sheet2!L$14,Sheet2!L$13+SQRT(3)*Sheet2!L$14)</f>
        <v>19.075841616632346</v>
      </c>
      <c r="K16" s="8" cm="1">
        <f t="array" aca="1" ref="K16" ca="1">[1]!UNIFORM_INV(RAND(),Sheet2!M$13-SQRT(3)*Sheet2!M$14,Sheet2!M$13+SQRT(3)*Sheet2!M$14)</f>
        <v>21.976848183450979</v>
      </c>
      <c r="L16" s="8" cm="1">
        <f t="array" aca="1" ref="L16" ca="1">[1]!UNIFORM_INV(RAND(),Sheet2!N$13-SQRT(3)*Sheet2!N$14,Sheet2!N$13+SQRT(3)*Sheet2!N$14)</f>
        <v>8.0313714766607642</v>
      </c>
      <c r="M16" s="8" cm="1">
        <f t="array" aca="1" ref="M16" ca="1">[1]!UNIFORM_INV(RAND(),Sheet2!O$13-SQRT(3)*Sheet2!O$14,Sheet2!O$13+SQRT(3)*Sheet2!O$14)</f>
        <v>7.8186038426959099</v>
      </c>
      <c r="N16" s="8" cm="1">
        <f t="array" aca="1" ref="N16" ca="1">[1]!UNIFORM_INV(RAND(),Sheet2!P$13-SQRT(3)*Sheet2!P$14,Sheet2!P$13+SQRT(3)*Sheet2!P$14)</f>
        <v>22.862955636095133</v>
      </c>
      <c r="O16" s="8" cm="1">
        <f t="array" aca="1" ref="O16" ca="1">[1]!UNIFORM_INV(RAND(),Sheet2!Q$13-SQRT(3)*Sheet2!Q$14,Sheet2!Q$13+SQRT(3)*Sheet2!Q$14)</f>
        <v>12.86108381085432</v>
      </c>
      <c r="P16" s="8" cm="1">
        <f t="array" aca="1" ref="P16" ca="1">[1]!UNIFORM_INV(RAND(),Sheet2!R$13-SQRT(3)*Sheet2!R$14,Sheet2!R$13+SQRT(3)*Sheet2!R$14)</f>
        <v>10.577436621616807</v>
      </c>
      <c r="Q16" s="8" cm="1">
        <f t="array" aca="1" ref="Q16" ca="1">[1]!UNIFORM_INV(RAND(),Sheet2!S$13-SQRT(3)*Sheet2!S$14,Sheet2!S$13+SQRT(3)*Sheet2!S$14)</f>
        <v>4.780164604328748</v>
      </c>
      <c r="R16" s="8" cm="1">
        <f t="array" aca="1" ref="R16" ca="1">[1]!UNIFORM_INV(RAND(),Sheet2!T$13-SQRT(3)*Sheet2!T$14,Sheet2!T$13+SQRT(3)*Sheet2!T$14)</f>
        <v>11.402737808622748</v>
      </c>
      <c r="S16" s="8" cm="1">
        <f t="array" aca="1" ref="S16" ca="1">[1]!UNIFORM_INV(RAND(),Sheet2!U$13-SQRT(3)*Sheet2!U$14,Sheet2!U$13+SQRT(3)*Sheet2!U$14)</f>
        <v>24.295108504155433</v>
      </c>
      <c r="T16" s="8" cm="1">
        <f t="array" aca="1" ref="T16" ca="1">[1]!UNIFORM_INV(RAND(),Sheet2!V$13-SQRT(3)*Sheet2!V$14,Sheet2!V$13+SQRT(3)*Sheet2!V$14)</f>
        <v>25.838747900649182</v>
      </c>
      <c r="U16" s="8" cm="1">
        <f t="array" aca="1" ref="U16" ca="1">[1]!UNIFORM_INV(RAND(),Sheet2!W$13-SQRT(3)*Sheet2!W$14,Sheet2!W$13+SQRT(3)*Sheet2!W$14)</f>
        <v>22.12439449186099</v>
      </c>
      <c r="V16" s="8" cm="1">
        <f t="array" aca="1" ref="V16" ca="1">[1]!UNIFORM_INV(RAND(),Sheet2!X$13-SQRT(3)*Sheet2!X$14,Sheet2!X$13+SQRT(3)*Sheet2!X$14)</f>
        <v>21.869127050299678</v>
      </c>
      <c r="W16" s="8" cm="1">
        <f t="array" aca="1" ref="W16" ca="1">[1]!UNIFORM_INV(RAND(),Sheet2!Y$13-SQRT(3)*Sheet2!Y$14,Sheet2!Y$13+SQRT(3)*Sheet2!Y$14)</f>
        <v>23.655863805940296</v>
      </c>
      <c r="X16" s="8" cm="1">
        <f t="array" aca="1" ref="X16" ca="1">[1]!UNIFORM_INV(RAND(),Sheet2!Z$13-SQRT(3)*Sheet2!Z$14,Sheet2!Z$13+SQRT(3)*Sheet2!Z$14)</f>
        <v>7.4075283582272089</v>
      </c>
      <c r="Z16" s="10"/>
      <c r="AA16" s="10"/>
      <c r="AB16" s="10"/>
      <c r="AC16" s="10"/>
      <c r="AD16" s="10"/>
      <c r="AE16" s="10"/>
      <c r="AF16" s="10"/>
      <c r="AG16" s="10"/>
      <c r="AH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X16" s="7">
        <f ca="1">Sheet2!C$13+('RNG HERE'!A16-'RNG HERE'!Y$2)*Sheet2!C$14/'RNG HERE'!Y$3</f>
        <v>2.419259146062017</v>
      </c>
      <c r="AY16" s="7">
        <f ca="1">Sheet2!D$13+('RNG HERE'!B16-'RNG HERE'!Z$2)*Sheet2!D$14/'RNG HERE'!Z$3</f>
        <v>6.7938299867704233</v>
      </c>
      <c r="AZ16" s="7">
        <f ca="1">Sheet2!E$13+('RNG HERE'!C16-'RNG HERE'!AA$2)*Sheet2!E$14/'RNG HERE'!AA$3</f>
        <v>20.600991401482375</v>
      </c>
      <c r="BA16" s="7">
        <f ca="1">Sheet2!F$13+('RNG HERE'!D16-'RNG HERE'!AB$2)*Sheet2!F$14/'RNG HERE'!AB$3</f>
        <v>22.017176702295608</v>
      </c>
      <c r="BB16" s="7">
        <f ca="1">Sheet2!G$13+('RNG HERE'!E16-'RNG HERE'!AC$2)*Sheet2!G$14/'RNG HERE'!AC$3</f>
        <v>19.265607084616406</v>
      </c>
      <c r="BC16" s="7">
        <f ca="1">Sheet2!H$13+('RNG HERE'!F16-'RNG HERE'!AD$2)*Sheet2!H$14/'RNG HERE'!AD$3</f>
        <v>25.752021741099774</v>
      </c>
      <c r="BD16" s="7">
        <f ca="1">Sheet2!I$13+('RNG HERE'!G16-'RNG HERE'!AE$2)*Sheet2!I$14/'RNG HERE'!AE$3</f>
        <v>13.121104325448876</v>
      </c>
      <c r="BE16" s="7">
        <f ca="1">Sheet2!J$13+('RNG HERE'!H16-'RNG HERE'!AF$2)*Sheet2!J$14/'RNG HERE'!AF$3</f>
        <v>20.874472331722465</v>
      </c>
      <c r="BF16" s="7">
        <f ca="1">Sheet2!K$13+('RNG HERE'!I16-'RNG HERE'!AG$2)*Sheet2!K$14/'RNG HERE'!AG$3</f>
        <v>27.65744279044991</v>
      </c>
      <c r="BG16" s="7">
        <f ca="1">Sheet2!L$13+('RNG HERE'!J16-'RNG HERE'!AH$2)*Sheet2!L$14/'RNG HERE'!AH$3</f>
        <v>18.975800404582642</v>
      </c>
      <c r="BH16" s="7">
        <f ca="1">Sheet2!M$13+('RNG HERE'!K16-'RNG HERE'!AI$2)*Sheet2!M$14/'RNG HERE'!AI$3</f>
        <v>22.130373579373174</v>
      </c>
      <c r="BI16" s="7">
        <f ca="1">Sheet2!N$13+('RNG HERE'!L16-'RNG HERE'!AJ$2)*Sheet2!N$14/'RNG HERE'!AJ$3</f>
        <v>7.6684827900431571</v>
      </c>
      <c r="BJ16" s="7">
        <f ca="1">Sheet2!O$13+('RNG HERE'!M16-'RNG HERE'!AK$2)*Sheet2!O$14/'RNG HERE'!AK$3</f>
        <v>7.9705874949010376</v>
      </c>
      <c r="BK16" s="7">
        <f ca="1">Sheet2!P$13+('RNG HERE'!N16-'RNG HERE'!AL$2)*Sheet2!P$14/'RNG HERE'!AL$3</f>
        <v>22.796865154095059</v>
      </c>
      <c r="BL16" s="7">
        <f ca="1">Sheet2!Q$13+('RNG HERE'!O16-'RNG HERE'!AM$2)*Sheet2!Q$14/'RNG HERE'!AM$3</f>
        <v>13.060637307807411</v>
      </c>
      <c r="BM16" s="7">
        <f ca="1">Sheet2!R$13+('RNG HERE'!P16-'RNG HERE'!AN$2)*Sheet2!R$14/'RNG HERE'!AN$3</f>
        <v>10.716384924324673</v>
      </c>
      <c r="BN16" s="7">
        <f ca="1">Sheet2!S$13+('RNG HERE'!Q16-'RNG HERE'!AO$2)*Sheet2!S$14/'RNG HERE'!AO$3</f>
        <v>4.7255970178632314</v>
      </c>
      <c r="BO16" s="7">
        <f ca="1">Sheet2!T$13+('RNG HERE'!R16-'RNG HERE'!AP$2)*Sheet2!T$14/'RNG HERE'!AP$3</f>
        <v>11.836669640529269</v>
      </c>
      <c r="BP16" s="7">
        <f ca="1">Sheet2!U$13+('RNG HERE'!S16-'RNG HERE'!AQ$2)*Sheet2!U$14/'RNG HERE'!AQ$3</f>
        <v>24.47086348665885</v>
      </c>
      <c r="BQ16" s="7">
        <f ca="1">Sheet2!V$13+('RNG HERE'!T16-'RNG HERE'!AR$2)*Sheet2!V$14/'RNG HERE'!AR$3</f>
        <v>25.476838775807913</v>
      </c>
      <c r="BR16" s="7">
        <f ca="1">Sheet2!W$13+('RNG HERE'!U16-'RNG HERE'!AS$2)*Sheet2!W$14/'RNG HERE'!AS$3</f>
        <v>22.174776603607452</v>
      </c>
      <c r="BS16" s="7">
        <f ca="1">Sheet2!X$13+('RNG HERE'!V16-'RNG HERE'!AT$2)*Sheet2!X$14/'RNG HERE'!AT$3</f>
        <v>22.147158977858812</v>
      </c>
      <c r="BT16" s="7">
        <f ca="1">Sheet2!Y$13+('RNG HERE'!W16-'RNG HERE'!AU$2)*Sheet2!Y$14/'RNG HERE'!AU$3</f>
        <v>23.458631798413919</v>
      </c>
      <c r="BU16" s="7" t="e">
        <f ca="1">Sheet2!Z$13+('RNG HERE'!X16-'RNG HERE'!AV$2)*Sheet2!Z$14/'RNG HERE'!AV$3</f>
        <v>#NAME?</v>
      </c>
    </row>
    <row r="17" spans="1:97" x14ac:dyDescent="0.3">
      <c r="A17" s="8" cm="1">
        <f t="array" aca="1" ref="A17" ca="1">[1]!UNIFORM_INV(RAND(),Sheet2!C$13-SQRT(3)*Sheet2!C$14,Sheet2!C$13+SQRT(3)*Sheet2!C$14)</f>
        <v>3.2103047631695714</v>
      </c>
      <c r="B17" s="8" cm="1">
        <f t="array" aca="1" ref="B17" ca="1">[1]!UNIFORM_INV(RAND(),Sheet2!D$13-SQRT(3)*Sheet2!D$14,Sheet2!D$13+SQRT(3)*Sheet2!D$14)</f>
        <v>9.4363521274801183</v>
      </c>
      <c r="C17" s="8" cm="1">
        <f t="array" aca="1" ref="C17" ca="1">[1]!UNIFORM_INV(RAND(),Sheet2!E$13-SQRT(3)*Sheet2!E$14,Sheet2!E$13+SQRT(3)*Sheet2!E$14)</f>
        <v>16.711219052398203</v>
      </c>
      <c r="D17" s="8" cm="1">
        <f t="array" aca="1" ref="D17" ca="1">[1]!UNIFORM_INV(RAND(),Sheet2!F$13-SQRT(3)*Sheet2!F$14,Sheet2!F$13+SQRT(3)*Sheet2!F$14)</f>
        <v>18.81798329855577</v>
      </c>
      <c r="E17" s="8" cm="1">
        <f t="array" aca="1" ref="E17" ca="1">[1]!UNIFORM_INV(RAND(),Sheet2!G$13-SQRT(3)*Sheet2!G$14,Sheet2!G$13+SQRT(3)*Sheet2!G$14)</f>
        <v>19.114075742374553</v>
      </c>
      <c r="F17" s="8" cm="1">
        <f t="array" aca="1" ref="F17" ca="1">[1]!UNIFORM_INV(RAND(),Sheet2!H$13-SQRT(3)*Sheet2!H$14,Sheet2!H$13+SQRT(3)*Sheet2!H$14)</f>
        <v>28.247009127855286</v>
      </c>
      <c r="G17" s="8" cm="1">
        <f t="array" aca="1" ref="G17" ca="1">[1]!UNIFORM_INV(RAND(),Sheet2!I$13-SQRT(3)*Sheet2!I$14,Sheet2!I$13+SQRT(3)*Sheet2!I$14)</f>
        <v>11.945519678110413</v>
      </c>
      <c r="H17" s="8" cm="1">
        <f t="array" aca="1" ref="H17" ca="1">[1]!UNIFORM_INV(RAND(),Sheet2!J$13-SQRT(3)*Sheet2!J$14,Sheet2!J$13+SQRT(3)*Sheet2!J$14)</f>
        <v>19.536012689668414</v>
      </c>
      <c r="I17" s="8" cm="1">
        <f t="array" aca="1" ref="I17" ca="1">[1]!UNIFORM_INV(RAND(),Sheet2!K$13-SQRT(3)*Sheet2!K$14,Sheet2!K$13+SQRT(3)*Sheet2!K$14)</f>
        <v>26.609612735584552</v>
      </c>
      <c r="J17" s="8" cm="1">
        <f t="array" aca="1" ref="J17" ca="1">[1]!UNIFORM_INV(RAND(),Sheet2!L$13-SQRT(3)*Sheet2!L$14,Sheet2!L$13+SQRT(3)*Sheet2!L$14)</f>
        <v>21.484602086749849</v>
      </c>
      <c r="K17" s="8" cm="1">
        <f t="array" aca="1" ref="K17" ca="1">[1]!UNIFORM_INV(RAND(),Sheet2!M$13-SQRT(3)*Sheet2!M$14,Sheet2!M$13+SQRT(3)*Sheet2!M$14)</f>
        <v>20.124157201582918</v>
      </c>
      <c r="L17" s="8" cm="1">
        <f t="array" aca="1" ref="L17" ca="1">[1]!UNIFORM_INV(RAND(),Sheet2!N$13-SQRT(3)*Sheet2!N$14,Sheet2!N$13+SQRT(3)*Sheet2!N$14)</f>
        <v>10.03851823355572</v>
      </c>
      <c r="M17" s="8" cm="1">
        <f t="array" aca="1" ref="M17" ca="1">[1]!UNIFORM_INV(RAND(),Sheet2!O$13-SQRT(3)*Sheet2!O$14,Sheet2!O$13+SQRT(3)*Sheet2!O$14)</f>
        <v>5.5684396176627464</v>
      </c>
      <c r="N17" s="8" cm="1">
        <f t="array" aca="1" ref="N17" ca="1">[1]!UNIFORM_INV(RAND(),Sheet2!P$13-SQRT(3)*Sheet2!P$14,Sheet2!P$13+SQRT(3)*Sheet2!P$14)</f>
        <v>23.879558182253888</v>
      </c>
      <c r="O17" s="8" cm="1">
        <f t="array" aca="1" ref="O17" ca="1">[1]!UNIFORM_INV(RAND(),Sheet2!Q$13-SQRT(3)*Sheet2!Q$14,Sheet2!Q$13+SQRT(3)*Sheet2!Q$14)</f>
        <v>15.483371158991051</v>
      </c>
      <c r="P17" s="8" cm="1">
        <f t="array" aca="1" ref="P17" ca="1">[1]!UNIFORM_INV(RAND(),Sheet2!R$13-SQRT(3)*Sheet2!R$14,Sheet2!R$13+SQRT(3)*Sheet2!R$14)</f>
        <v>9.6997307721434325</v>
      </c>
      <c r="Q17" s="8" cm="1">
        <f t="array" aca="1" ref="Q17" ca="1">[1]!UNIFORM_INV(RAND(),Sheet2!S$13-SQRT(3)*Sheet2!S$14,Sheet2!S$13+SQRT(3)*Sheet2!S$14)</f>
        <v>3.8242325523362526</v>
      </c>
      <c r="R17" s="8" cm="1">
        <f t="array" aca="1" ref="R17" ca="1">[1]!UNIFORM_INV(RAND(),Sheet2!T$13-SQRT(3)*Sheet2!T$14,Sheet2!T$13+SQRT(3)*Sheet2!T$14)</f>
        <v>11.81382308819073</v>
      </c>
      <c r="S17" s="8" cm="1">
        <f t="array" aca="1" ref="S17" ca="1">[1]!UNIFORM_INV(RAND(),Sheet2!U$13-SQRT(3)*Sheet2!U$14,Sheet2!U$13+SQRT(3)*Sheet2!U$14)</f>
        <v>22.767661087742407</v>
      </c>
      <c r="T17" s="8" cm="1">
        <f t="array" aca="1" ref="T17" ca="1">[1]!UNIFORM_INV(RAND(),Sheet2!V$13-SQRT(3)*Sheet2!V$14,Sheet2!V$13+SQRT(3)*Sheet2!V$14)</f>
        <v>23.983152698097069</v>
      </c>
      <c r="U17" s="8" cm="1">
        <f t="array" aca="1" ref="U17" ca="1">[1]!UNIFORM_INV(RAND(),Sheet2!W$13-SQRT(3)*Sheet2!W$14,Sheet2!W$13+SQRT(3)*Sheet2!W$14)</f>
        <v>22.730563967167825</v>
      </c>
      <c r="V17" s="8" cm="1">
        <f t="array" aca="1" ref="V17" ca="1">[1]!UNIFORM_INV(RAND(),Sheet2!X$13-SQRT(3)*Sheet2!X$14,Sheet2!X$13+SQRT(3)*Sheet2!X$14)</f>
        <v>21.094222754298638</v>
      </c>
      <c r="W17" s="8" cm="1">
        <f t="array" aca="1" ref="W17" ca="1">[1]!UNIFORM_INV(RAND(),Sheet2!Y$13-SQRT(3)*Sheet2!Y$14,Sheet2!Y$13+SQRT(3)*Sheet2!Y$14)</f>
        <v>22.058995625416642</v>
      </c>
      <c r="X17" s="8" cm="1">
        <f t="array" aca="1" ref="X17" ca="1">[1]!UNIFORM_INV(RAND(),Sheet2!Z$13-SQRT(3)*Sheet2!Z$14,Sheet2!Z$13+SQRT(3)*Sheet2!Z$14)</f>
        <v>7.2266875879015027</v>
      </c>
      <c r="Z17" s="10"/>
      <c r="AA17" s="10"/>
      <c r="AB17" s="10"/>
      <c r="AC17" s="10"/>
      <c r="AD17" s="10"/>
      <c r="AE17" s="10"/>
      <c r="AF17" s="10"/>
      <c r="AG17" s="10"/>
      <c r="AH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X17" s="7">
        <f ca="1">Sheet2!C$13+('RNG HERE'!A17-'RNG HERE'!Y$2)*Sheet2!C$14/'RNG HERE'!Y$3</f>
        <v>3.1803031854416814</v>
      </c>
      <c r="AY17" s="7">
        <f ca="1">Sheet2!D$13+('RNG HERE'!B17-'RNG HERE'!Z$2)*Sheet2!D$14/'RNG HERE'!Z$3</f>
        <v>9.254803937934831</v>
      </c>
      <c r="AZ17" s="7">
        <f ca="1">Sheet2!E$13+('RNG HERE'!C17-'RNG HERE'!AA$2)*Sheet2!E$14/'RNG HERE'!AA$3</f>
        <v>16.773506608993269</v>
      </c>
      <c r="BA17" s="7">
        <f ca="1">Sheet2!F$13+('RNG HERE'!D17-'RNG HERE'!AB$2)*Sheet2!F$14/'RNG HERE'!AB$3</f>
        <v>18.661983574339644</v>
      </c>
      <c r="BB17" s="7">
        <f ca="1">Sheet2!G$13+('RNG HERE'!E17-'RNG HERE'!AC$2)*Sheet2!G$14/'RNG HERE'!AC$3</f>
        <v>19.140658206697903</v>
      </c>
      <c r="BC17" s="7">
        <f ca="1">Sheet2!H$13+('RNG HERE'!F17-'RNG HERE'!AD$2)*Sheet2!H$14/'RNG HERE'!AD$3</f>
        <v>28.745334967399618</v>
      </c>
      <c r="BD17" s="7">
        <f ca="1">Sheet2!I$13+('RNG HERE'!G17-'RNG HERE'!AE$2)*Sheet2!I$14/'RNG HERE'!AE$3</f>
        <v>12.011754587216059</v>
      </c>
      <c r="BE17" s="7">
        <f ca="1">Sheet2!J$13+('RNG HERE'!H17-'RNG HERE'!AF$2)*Sheet2!J$14/'RNG HERE'!AF$3</f>
        <v>19.419338540468978</v>
      </c>
      <c r="BF17" s="7">
        <f ca="1">Sheet2!K$13+('RNG HERE'!I17-'RNG HERE'!AG$2)*Sheet2!K$14/'RNG HERE'!AG$3</f>
        <v>26.597978625525748</v>
      </c>
      <c r="BG17" s="7">
        <f ca="1">Sheet2!L$13+('RNG HERE'!J17-'RNG HERE'!AH$2)*Sheet2!L$14/'RNG HERE'!AH$3</f>
        <v>21.503550146149308</v>
      </c>
      <c r="BH17" s="7">
        <f ca="1">Sheet2!M$13+('RNG HERE'!K17-'RNG HERE'!AI$2)*Sheet2!M$14/'RNG HERE'!AI$3</f>
        <v>20.297640524949813</v>
      </c>
      <c r="BI17" s="7">
        <f ca="1">Sheet2!N$13+('RNG HERE'!L17-'RNG HERE'!AJ$2)*Sheet2!N$14/'RNG HERE'!AJ$3</f>
        <v>9.8205158597897029</v>
      </c>
      <c r="BJ17" s="7">
        <f ca="1">Sheet2!O$13+('RNG HERE'!M17-'RNG HERE'!AK$2)*Sheet2!O$14/'RNG HERE'!AK$3</f>
        <v>5.5537105731727863</v>
      </c>
      <c r="BK17" s="7">
        <f ca="1">Sheet2!P$13+('RNG HERE'!N17-'RNG HERE'!AL$2)*Sheet2!P$14/'RNG HERE'!AL$3</f>
        <v>23.880032581149731</v>
      </c>
      <c r="BL17" s="7">
        <f ca="1">Sheet2!Q$13+('RNG HERE'!O17-'RNG HERE'!AM$2)*Sheet2!Q$14/'RNG HERE'!AM$3</f>
        <v>15.502024212348049</v>
      </c>
      <c r="BM17" s="7">
        <f ca="1">Sheet2!R$13+('RNG HERE'!P17-'RNG HERE'!AN$2)*Sheet2!R$14/'RNG HERE'!AN$3</f>
        <v>9.7872185035891235</v>
      </c>
      <c r="BN17" s="7">
        <f ca="1">Sheet2!S$13+('RNG HERE'!Q17-'RNG HERE'!AO$2)*Sheet2!S$14/'RNG HERE'!AO$3</f>
        <v>3.8637186939717436</v>
      </c>
      <c r="BO17" s="7">
        <f ca="1">Sheet2!T$13+('RNG HERE'!R17-'RNG HERE'!AP$2)*Sheet2!T$14/'RNG HERE'!AP$3</f>
        <v>12.338381410378016</v>
      </c>
      <c r="BP17" s="7">
        <f ca="1">Sheet2!U$13+('RNG HERE'!S17-'RNG HERE'!AQ$2)*Sheet2!U$14/'RNG HERE'!AQ$3</f>
        <v>22.989877133226909</v>
      </c>
      <c r="BQ17" s="7">
        <f ca="1">Sheet2!V$13+('RNG HERE'!T17-'RNG HERE'!AR$2)*Sheet2!V$14/'RNG HERE'!AR$3</f>
        <v>23.48839743320784</v>
      </c>
      <c r="BR17" s="7">
        <f ca="1">Sheet2!W$13+('RNG HERE'!U17-'RNG HERE'!AS$2)*Sheet2!W$14/'RNG HERE'!AS$3</f>
        <v>22.779890786338502</v>
      </c>
      <c r="BS17" s="7">
        <f ca="1">Sheet2!X$13+('RNG HERE'!V17-'RNG HERE'!AT$2)*Sheet2!X$14/'RNG HERE'!AT$3</f>
        <v>21.211224438545973</v>
      </c>
      <c r="BT17" s="7">
        <f ca="1">Sheet2!Y$13+('RNG HERE'!W17-'RNG HERE'!AU$2)*Sheet2!Y$14/'RNG HERE'!AU$3</f>
        <v>21.764018609703257</v>
      </c>
      <c r="BU17" s="7" t="e">
        <f ca="1">Sheet2!Z$13+('RNG HERE'!X17-'RNG HERE'!AV$2)*Sheet2!Z$14/'RNG HERE'!AV$3</f>
        <v>#NAME?</v>
      </c>
    </row>
    <row r="18" spans="1:97" x14ac:dyDescent="0.3">
      <c r="A18" s="8" cm="1">
        <f t="array" aca="1" ref="A18" ca="1">[1]!UNIFORM_INV(RAND(),Sheet2!C$13-SQRT(3)*Sheet2!C$14,Sheet2!C$13+SQRT(3)*Sheet2!C$14)</f>
        <v>3.5486252899382129</v>
      </c>
      <c r="B18" s="8" cm="1">
        <f t="array" aca="1" ref="B18" ca="1">[1]!UNIFORM_INV(RAND(),Sheet2!D$13-SQRT(3)*Sheet2!D$14,Sheet2!D$13+SQRT(3)*Sheet2!D$14)</f>
        <v>9.8411393705470172</v>
      </c>
      <c r="C18" s="8" cm="1">
        <f t="array" aca="1" ref="C18" ca="1">[1]!UNIFORM_INV(RAND(),Sheet2!E$13-SQRT(3)*Sheet2!E$14,Sheet2!E$13+SQRT(3)*Sheet2!E$14)</f>
        <v>17.298598343223034</v>
      </c>
      <c r="D18" s="8" cm="1">
        <f t="array" aca="1" ref="D18" ca="1">[1]!UNIFORM_INV(RAND(),Sheet2!F$13-SQRT(3)*Sheet2!F$14,Sheet2!F$13+SQRT(3)*Sheet2!F$14)</f>
        <v>22.745814545979826</v>
      </c>
      <c r="E18" s="8" cm="1">
        <f t="array" aca="1" ref="E18" ca="1">[1]!UNIFORM_INV(RAND(),Sheet2!G$13-SQRT(3)*Sheet2!G$14,Sheet2!G$13+SQRT(3)*Sheet2!G$14)</f>
        <v>17.241174585612736</v>
      </c>
      <c r="F18" s="8" cm="1">
        <f t="array" aca="1" ref="F18" ca="1">[1]!UNIFORM_INV(RAND(),Sheet2!H$13-SQRT(3)*Sheet2!H$14,Sheet2!H$13+SQRT(3)*Sheet2!H$14)</f>
        <v>28.051967263791809</v>
      </c>
      <c r="G18" s="8" cm="1">
        <f t="array" aca="1" ref="G18" ca="1">[1]!UNIFORM_INV(RAND(),Sheet2!I$13-SQRT(3)*Sheet2!I$14,Sheet2!I$13+SQRT(3)*Sheet2!I$14)</f>
        <v>12.824354244402368</v>
      </c>
      <c r="H18" s="8" cm="1">
        <f t="array" aca="1" ref="H18" ca="1">[1]!UNIFORM_INV(RAND(),Sheet2!J$13-SQRT(3)*Sheet2!J$14,Sheet2!J$13+SQRT(3)*Sheet2!J$14)</f>
        <v>20.914110045767092</v>
      </c>
      <c r="I18" s="8" cm="1">
        <f t="array" aca="1" ref="I18" ca="1">[1]!UNIFORM_INV(RAND(),Sheet2!K$13-SQRT(3)*Sheet2!K$14,Sheet2!K$13+SQRT(3)*Sheet2!K$14)</f>
        <v>27.584901659896428</v>
      </c>
      <c r="J18" s="8" cm="1">
        <f t="array" aca="1" ref="J18" ca="1">[1]!UNIFORM_INV(RAND(),Sheet2!L$13-SQRT(3)*Sheet2!L$14,Sheet2!L$13+SQRT(3)*Sheet2!L$14)</f>
        <v>20.1138242195331</v>
      </c>
      <c r="K18" s="8" cm="1">
        <f t="array" aca="1" ref="K18" ca="1">[1]!UNIFORM_INV(RAND(),Sheet2!M$13-SQRT(3)*Sheet2!M$14,Sheet2!M$13+SQRT(3)*Sheet2!M$14)</f>
        <v>21.266642667274702</v>
      </c>
      <c r="L18" s="8" cm="1">
        <f t="array" aca="1" ref="L18" ca="1">[1]!UNIFORM_INV(RAND(),Sheet2!N$13-SQRT(3)*Sheet2!N$14,Sheet2!N$13+SQRT(3)*Sheet2!N$14)</f>
        <v>8.6260146616995019</v>
      </c>
      <c r="M18" s="8" cm="1">
        <f t="array" aca="1" ref="M18" ca="1">[1]!UNIFORM_INV(RAND(),Sheet2!O$13-SQRT(3)*Sheet2!O$14,Sheet2!O$13+SQRT(3)*Sheet2!O$14)</f>
        <v>7.2803146224726323</v>
      </c>
      <c r="N18" s="8" cm="1">
        <f t="array" aca="1" ref="N18" ca="1">[1]!UNIFORM_INV(RAND(),Sheet2!P$13-SQRT(3)*Sheet2!P$14,Sheet2!P$13+SQRT(3)*Sheet2!P$14)</f>
        <v>21.390811045054956</v>
      </c>
      <c r="O18" s="8" cm="1">
        <f t="array" aca="1" ref="O18" ca="1">[1]!UNIFORM_INV(RAND(),Sheet2!Q$13-SQRT(3)*Sheet2!Q$14,Sheet2!Q$13+SQRT(3)*Sheet2!Q$14)</f>
        <v>12.559453473416031</v>
      </c>
      <c r="P18" s="8" cm="1">
        <f t="array" aca="1" ref="P18" ca="1">[1]!UNIFORM_INV(RAND(),Sheet2!R$13-SQRT(3)*Sheet2!R$14,Sheet2!R$13+SQRT(3)*Sheet2!R$14)</f>
        <v>10.051837588556465</v>
      </c>
      <c r="Q18" s="8" cm="1">
        <f t="array" aca="1" ref="Q18" ca="1">[1]!UNIFORM_INV(RAND(),Sheet2!S$13-SQRT(3)*Sheet2!S$14,Sheet2!S$13+SQRT(3)*Sheet2!S$14)</f>
        <v>4.5133626570665086</v>
      </c>
      <c r="R18" s="8" cm="1">
        <f t="array" aca="1" ref="R18" ca="1">[1]!UNIFORM_INV(RAND(),Sheet2!T$13-SQRT(3)*Sheet2!T$14,Sheet2!T$13+SQRT(3)*Sheet2!T$14)</f>
        <v>10.70804161012931</v>
      </c>
      <c r="S18" s="8" cm="1">
        <f t="array" aca="1" ref="S18" ca="1">[1]!UNIFORM_INV(RAND(),Sheet2!U$13-SQRT(3)*Sheet2!U$14,Sheet2!U$13+SQRT(3)*Sheet2!U$14)</f>
        <v>24.725693961786114</v>
      </c>
      <c r="T18" s="8" cm="1">
        <f t="array" aca="1" ref="T18" ca="1">[1]!UNIFORM_INV(RAND(),Sheet2!V$13-SQRT(3)*Sheet2!V$14,Sheet2!V$13+SQRT(3)*Sheet2!V$14)</f>
        <v>23.418825419396804</v>
      </c>
      <c r="U18" s="8" cm="1">
        <f t="array" aca="1" ref="U18" ca="1">[1]!UNIFORM_INV(RAND(),Sheet2!W$13-SQRT(3)*Sheet2!W$14,Sheet2!W$13+SQRT(3)*Sheet2!W$14)</f>
        <v>25.535325094792949</v>
      </c>
      <c r="V18" s="8" cm="1">
        <f t="array" aca="1" ref="V18" ca="1">[1]!UNIFORM_INV(RAND(),Sheet2!X$13-SQRT(3)*Sheet2!X$14,Sheet2!X$13+SQRT(3)*Sheet2!X$14)</f>
        <v>21.397142048760294</v>
      </c>
      <c r="W18" s="8" cm="1">
        <f t="array" aca="1" ref="W18" ca="1">[1]!UNIFORM_INV(RAND(),Sheet2!Y$13-SQRT(3)*Sheet2!Y$14,Sheet2!Y$13+SQRT(3)*Sheet2!Y$14)</f>
        <v>23.098504500967042</v>
      </c>
      <c r="X18" s="8" cm="1">
        <f t="array" aca="1" ref="X18" ca="1">[1]!UNIFORM_INV(RAND(),Sheet2!Z$13-SQRT(3)*Sheet2!Z$14,Sheet2!Z$13+SQRT(3)*Sheet2!Z$14)</f>
        <v>8.7674829529370921</v>
      </c>
      <c r="Z18" s="10"/>
      <c r="AA18" s="10"/>
      <c r="AB18" s="10"/>
      <c r="AC18" s="10"/>
      <c r="AD18" s="10"/>
      <c r="AE18" s="10"/>
      <c r="AF18" s="10"/>
      <c r="AG18" s="10"/>
      <c r="AH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X18" s="7">
        <f ca="1">Sheet2!C$13+('RNG HERE'!A18-'RNG HERE'!Y$2)*Sheet2!C$14/'RNG HERE'!Y$3</f>
        <v>3.5120724883410652</v>
      </c>
      <c r="AY18" s="7">
        <f ca="1">Sheet2!D$13+('RNG HERE'!B18-'RNG HERE'!Z$2)*Sheet2!D$14/'RNG HERE'!Z$3</f>
        <v>9.6585709624712219</v>
      </c>
      <c r="AZ18" s="7">
        <f ca="1">Sheet2!E$13+('RNG HERE'!C18-'RNG HERE'!AA$2)*Sheet2!E$14/'RNG HERE'!AA$3</f>
        <v>17.42151087215937</v>
      </c>
      <c r="BA18" s="7">
        <f ca="1">Sheet2!F$13+('RNG HERE'!D18-'RNG HERE'!AB$2)*Sheet2!F$14/'RNG HERE'!AB$3</f>
        <v>23.158578580747019</v>
      </c>
      <c r="BB18" s="7">
        <f ca="1">Sheet2!G$13+('RNG HERE'!E18-'RNG HERE'!AC$2)*Sheet2!G$14/'RNG HERE'!AC$3</f>
        <v>17.210848704076728</v>
      </c>
      <c r="BC18" s="7">
        <f ca="1">Sheet2!H$13+('RNG HERE'!F18-'RNG HERE'!AD$2)*Sheet2!H$14/'RNG HERE'!AD$3</f>
        <v>28.542855963703953</v>
      </c>
      <c r="BD18" s="7">
        <f ca="1">Sheet2!I$13+('RNG HERE'!G18-'RNG HERE'!AE$2)*Sheet2!I$14/'RNG HERE'!AE$3</f>
        <v>12.836964491926407</v>
      </c>
      <c r="BE18" s="7">
        <f ca="1">Sheet2!J$13+('RNG HERE'!H18-'RNG HERE'!AF$2)*Sheet2!J$14/'RNG HERE'!AF$3</f>
        <v>20.919974072340036</v>
      </c>
      <c r="BF18" s="7">
        <f ca="1">Sheet2!K$13+('RNG HERE'!I18-'RNG HERE'!AG$2)*Sheet2!K$14/'RNG HERE'!AG$3</f>
        <v>27.482085558535459</v>
      </c>
      <c r="BG18" s="7">
        <f ca="1">Sheet2!L$13+('RNG HERE'!J18-'RNG HERE'!AH$2)*Sheet2!L$14/'RNG HERE'!AH$3</f>
        <v>20.065057841668153</v>
      </c>
      <c r="BH18" s="7">
        <f ca="1">Sheet2!M$13+('RNG HERE'!K18-'RNG HERE'!AI$2)*Sheet2!M$14/'RNG HERE'!AI$3</f>
        <v>21.427818680758808</v>
      </c>
      <c r="BI18" s="7">
        <f ca="1">Sheet2!N$13+('RNG HERE'!L18-'RNG HERE'!AJ$2)*Sheet2!N$14/'RNG HERE'!AJ$3</f>
        <v>8.3060504190701714</v>
      </c>
      <c r="BJ18" s="7">
        <f ca="1">Sheet2!O$13+('RNG HERE'!M18-'RNG HERE'!AK$2)*Sheet2!O$14/'RNG HERE'!AK$3</f>
        <v>7.3924168977955924</v>
      </c>
      <c r="BK18" s="7">
        <f ca="1">Sheet2!P$13+('RNG HERE'!N18-'RNG HERE'!AL$2)*Sheet2!P$14/'RNG HERE'!AL$3</f>
        <v>21.228327799005225</v>
      </c>
      <c r="BL18" s="7">
        <f ca="1">Sheet2!Q$13+('RNG HERE'!O18-'RNG HERE'!AM$2)*Sheet2!Q$14/'RNG HERE'!AM$3</f>
        <v>12.779815163599128</v>
      </c>
      <c r="BM18" s="7">
        <f ca="1">Sheet2!R$13+('RNG HERE'!P18-'RNG HERE'!AN$2)*Sheet2!R$14/'RNG HERE'!AN$3</f>
        <v>10.159969614362041</v>
      </c>
      <c r="BN18" s="7">
        <f ca="1">Sheet2!S$13+('RNG HERE'!Q18-'RNG HERE'!AO$2)*Sheet2!S$14/'RNG HERE'!AO$3</f>
        <v>4.4850455951569144</v>
      </c>
      <c r="BO18" s="7">
        <f ca="1">Sheet2!T$13+('RNG HERE'!R18-'RNG HERE'!AP$2)*Sheet2!T$14/'RNG HERE'!AP$3</f>
        <v>10.988823034054761</v>
      </c>
      <c r="BP18" s="7">
        <f ca="1">Sheet2!U$13+('RNG HERE'!S18-'RNG HERE'!AQ$2)*Sheet2!U$14/'RNG HERE'!AQ$3</f>
        <v>24.888351630528838</v>
      </c>
      <c r="BQ18" s="7">
        <f ca="1">Sheet2!V$13+('RNG HERE'!T18-'RNG HERE'!AR$2)*Sheet2!V$14/'RNG HERE'!AR$3</f>
        <v>22.883668723960657</v>
      </c>
      <c r="BR18" s="7">
        <f ca="1">Sheet2!W$13+('RNG HERE'!U18-'RNG HERE'!AS$2)*Sheet2!W$14/'RNG HERE'!AS$3</f>
        <v>25.579769049161936</v>
      </c>
      <c r="BS18" s="7">
        <f ca="1">Sheet2!X$13+('RNG HERE'!V18-'RNG HERE'!AT$2)*Sheet2!X$14/'RNG HERE'!AT$3</f>
        <v>21.577092368010334</v>
      </c>
      <c r="BT18" s="7">
        <f ca="1">Sheet2!Y$13+('RNG HERE'!W18-'RNG HERE'!AU$2)*Sheet2!Y$14/'RNG HERE'!AU$3</f>
        <v>22.867156283666951</v>
      </c>
      <c r="BU18" s="7" t="e">
        <f ca="1">Sheet2!Z$13+('RNG HERE'!X18-'RNG HERE'!AV$2)*Sheet2!Z$14/'RNG HERE'!AV$3</f>
        <v>#NAME?</v>
      </c>
    </row>
    <row r="19" spans="1:97" x14ac:dyDescent="0.3">
      <c r="A19" s="8" cm="1">
        <f t="array" aca="1" ref="A19" ca="1">[1]!UNIFORM_INV(RAND(),Sheet2!C$13-SQRT(3)*Sheet2!C$14,Sheet2!C$13+SQRT(3)*Sheet2!C$14)</f>
        <v>3.6110132175322267</v>
      </c>
      <c r="B19" s="8" cm="1">
        <f t="array" aca="1" ref="B19" ca="1">[1]!UNIFORM_INV(RAND(),Sheet2!D$13-SQRT(3)*Sheet2!D$14,Sheet2!D$13+SQRT(3)*Sheet2!D$14)</f>
        <v>9.4464000121562695</v>
      </c>
      <c r="C19" s="8" cm="1">
        <f t="array" aca="1" ref="C19" ca="1">[1]!UNIFORM_INV(RAND(),Sheet2!E$13-SQRT(3)*Sheet2!E$14,Sheet2!E$13+SQRT(3)*Sheet2!E$14)</f>
        <v>19.077957560101751</v>
      </c>
      <c r="D19" s="8" cm="1">
        <f t="array" aca="1" ref="D19" ca="1">[1]!UNIFORM_INV(RAND(),Sheet2!F$13-SQRT(3)*Sheet2!F$14,Sheet2!F$13+SQRT(3)*Sheet2!F$14)</f>
        <v>19.638480036414538</v>
      </c>
      <c r="E19" s="8" cm="1">
        <f t="array" aca="1" ref="E19" ca="1">[1]!UNIFORM_INV(RAND(),Sheet2!G$13-SQRT(3)*Sheet2!G$14,Sheet2!G$13+SQRT(3)*Sheet2!G$14)</f>
        <v>20.126678933929632</v>
      </c>
      <c r="F19" s="8" cm="1">
        <f t="array" aca="1" ref="F19" ca="1">[1]!UNIFORM_INV(RAND(),Sheet2!H$13-SQRT(3)*Sheet2!H$14,Sheet2!H$13+SQRT(3)*Sheet2!H$14)</f>
        <v>29.103284418423016</v>
      </c>
      <c r="G19" s="8" cm="1">
        <f t="array" aca="1" ref="G19" ca="1">[1]!UNIFORM_INV(RAND(),Sheet2!I$13-SQRT(3)*Sheet2!I$14,Sheet2!I$13+SQRT(3)*Sheet2!I$14)</f>
        <v>10.946991058901627</v>
      </c>
      <c r="H19" s="8" cm="1">
        <f t="array" aca="1" ref="H19" ca="1">[1]!UNIFORM_INV(RAND(),Sheet2!J$13-SQRT(3)*Sheet2!J$14,Sheet2!J$13+SQRT(3)*Sheet2!J$14)</f>
        <v>20.83556372825058</v>
      </c>
      <c r="I19" s="8" cm="1">
        <f t="array" aca="1" ref="I19" ca="1">[1]!UNIFORM_INV(RAND(),Sheet2!K$13-SQRT(3)*Sheet2!K$14,Sheet2!K$13+SQRT(3)*Sheet2!K$14)</f>
        <v>30.755544251324714</v>
      </c>
      <c r="J19" s="8" cm="1">
        <f t="array" aca="1" ref="J19" ca="1">[1]!UNIFORM_INV(RAND(),Sheet2!L$13-SQRT(3)*Sheet2!L$14,Sheet2!L$13+SQRT(3)*Sheet2!L$14)</f>
        <v>21.666319359180985</v>
      </c>
      <c r="K19" s="8" cm="1">
        <f t="array" aca="1" ref="K19" ca="1">[1]!UNIFORM_INV(RAND(),Sheet2!M$13-SQRT(3)*Sheet2!M$14,Sheet2!M$13+SQRT(3)*Sheet2!M$14)</f>
        <v>19.339121233593179</v>
      </c>
      <c r="L19" s="8" cm="1">
        <f t="array" aca="1" ref="L19" ca="1">[1]!UNIFORM_INV(RAND(),Sheet2!N$13-SQRT(3)*Sheet2!N$14,Sheet2!N$13+SQRT(3)*Sheet2!N$14)</f>
        <v>9.6806338009607842</v>
      </c>
      <c r="M19" s="8" cm="1">
        <f t="array" aca="1" ref="M19" ca="1">[1]!UNIFORM_INV(RAND(),Sheet2!O$13-SQRT(3)*Sheet2!O$14,Sheet2!O$13+SQRT(3)*Sheet2!O$14)</f>
        <v>6.8412999107365442</v>
      </c>
      <c r="N19" s="8" cm="1">
        <f t="array" aca="1" ref="N19" ca="1">[1]!UNIFORM_INV(RAND(),Sheet2!P$13-SQRT(3)*Sheet2!P$14,Sheet2!P$13+SQRT(3)*Sheet2!P$14)</f>
        <v>23.972544976472005</v>
      </c>
      <c r="O19" s="8" cm="1">
        <f t="array" aca="1" ref="O19" ca="1">[1]!UNIFORM_INV(RAND(),Sheet2!Q$13-SQRT(3)*Sheet2!Q$14,Sheet2!Q$13+SQRT(3)*Sheet2!Q$14)</f>
        <v>11.777664709897889</v>
      </c>
      <c r="P19" s="8" cm="1">
        <f t="array" aca="1" ref="P19" ca="1">[1]!UNIFORM_INV(RAND(),Sheet2!R$13-SQRT(3)*Sheet2!R$14,Sheet2!R$13+SQRT(3)*Sheet2!R$14)</f>
        <v>10.372568860526592</v>
      </c>
      <c r="Q19" s="8" cm="1">
        <f t="array" aca="1" ref="Q19" ca="1">[1]!UNIFORM_INV(RAND(),Sheet2!S$13-SQRT(3)*Sheet2!S$14,Sheet2!S$13+SQRT(3)*Sheet2!S$14)</f>
        <v>3.6045014368085377</v>
      </c>
      <c r="R19" s="8" cm="1">
        <f t="array" aca="1" ref="R19" ca="1">[1]!UNIFORM_INV(RAND(),Sheet2!T$13-SQRT(3)*Sheet2!T$14,Sheet2!T$13+SQRT(3)*Sheet2!T$14)</f>
        <v>12.523837350088655</v>
      </c>
      <c r="S19" s="8" cm="1">
        <f t="array" aca="1" ref="S19" ca="1">[1]!UNIFORM_INV(RAND(),Sheet2!U$13-SQRT(3)*Sheet2!U$14,Sheet2!U$13+SQRT(3)*Sheet2!U$14)</f>
        <v>24.334835461056247</v>
      </c>
      <c r="T19" s="8" cm="1">
        <f t="array" aca="1" ref="T19" ca="1">[1]!UNIFORM_INV(RAND(),Sheet2!V$13-SQRT(3)*Sheet2!V$14,Sheet2!V$13+SQRT(3)*Sheet2!V$14)</f>
        <v>23.394505759801774</v>
      </c>
      <c r="U19" s="8" cm="1">
        <f t="array" aca="1" ref="U19" ca="1">[1]!UNIFORM_INV(RAND(),Sheet2!W$13-SQRT(3)*Sheet2!W$14,Sheet2!W$13+SQRT(3)*Sheet2!W$14)</f>
        <v>25.061530079525333</v>
      </c>
      <c r="V19" s="8" cm="1">
        <f t="array" aca="1" ref="V19" ca="1">[1]!UNIFORM_INV(RAND(),Sheet2!X$13-SQRT(3)*Sheet2!X$14,Sheet2!X$13+SQRT(3)*Sheet2!X$14)</f>
        <v>21.067369200563039</v>
      </c>
      <c r="W19" s="8" cm="1">
        <f t="array" aca="1" ref="W19" ca="1">[1]!UNIFORM_INV(RAND(),Sheet2!Y$13-SQRT(3)*Sheet2!Y$14,Sheet2!Y$13+SQRT(3)*Sheet2!Y$14)</f>
        <v>21.828202036765848</v>
      </c>
      <c r="X19" s="8" cm="1">
        <f t="array" aca="1" ref="X19" ca="1">[1]!UNIFORM_INV(RAND(),Sheet2!Z$13-SQRT(3)*Sheet2!Z$14,Sheet2!Z$13+SQRT(3)*Sheet2!Z$14)</f>
        <v>7.0178200744884665</v>
      </c>
      <c r="Z19" s="10"/>
      <c r="AA19" s="10"/>
      <c r="AB19" s="10"/>
      <c r="AC19" s="10"/>
      <c r="AD19" s="10"/>
      <c r="AE19" s="10"/>
      <c r="AF19" s="10"/>
      <c r="AG19" s="10"/>
      <c r="AH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X19" s="7">
        <f ca="1">Sheet2!C$13+('RNG HERE'!A19-'RNG HERE'!Y$2)*Sheet2!C$14/'RNG HERE'!Y$3</f>
        <v>3.5732523388363848</v>
      </c>
      <c r="AY19" s="7">
        <f ca="1">Sheet2!D$13+('RNG HERE'!B19-'RNG HERE'!Z$2)*Sheet2!D$14/'RNG HERE'!Z$3</f>
        <v>9.2648264981020851</v>
      </c>
      <c r="AZ19" s="7">
        <f ca="1">Sheet2!E$13+('RNG HERE'!C19-'RNG HERE'!AA$2)*Sheet2!E$14/'RNG HERE'!AA$3</f>
        <v>19.384522466630379</v>
      </c>
      <c r="BA19" s="7">
        <f ca="1">Sheet2!F$13+('RNG HERE'!D19-'RNG HERE'!AB$2)*Sheet2!F$14/'RNG HERE'!AB$3</f>
        <v>19.601291121385838</v>
      </c>
      <c r="BB19" s="7">
        <f ca="1">Sheet2!G$13+('RNG HERE'!E19-'RNG HERE'!AC$2)*Sheet2!G$14/'RNG HERE'!AC$3</f>
        <v>20.184029478263646</v>
      </c>
      <c r="BC19" s="7">
        <f ca="1">Sheet2!H$13+('RNG HERE'!F19-'RNG HERE'!AD$2)*Sheet2!H$14/'RNG HERE'!AD$3</f>
        <v>29.634260883668261</v>
      </c>
      <c r="BD19" s="7">
        <f ca="1">Sheet2!I$13+('RNG HERE'!G19-'RNG HERE'!AE$2)*Sheet2!I$14/'RNG HERE'!AE$3</f>
        <v>11.074154112322924</v>
      </c>
      <c r="BE19" s="7">
        <f ca="1">Sheet2!J$13+('RNG HERE'!H19-'RNG HERE'!AF$2)*Sheet2!J$14/'RNG HERE'!AF$3</f>
        <v>20.834443544005968</v>
      </c>
      <c r="BF19" s="7">
        <f ca="1">Sheet2!K$13+('RNG HERE'!I19-'RNG HERE'!AG$2)*Sheet2!K$14/'RNG HERE'!AG$3</f>
        <v>30.356297525164159</v>
      </c>
      <c r="BG19" s="7">
        <f ca="1">Sheet2!L$13+('RNG HERE'!J19-'RNG HERE'!AH$2)*Sheet2!L$14/'RNG HERE'!AH$3</f>
        <v>21.694243988116749</v>
      </c>
      <c r="BH19" s="7">
        <f ca="1">Sheet2!M$13+('RNG HERE'!K19-'RNG HERE'!AI$2)*Sheet2!M$14/'RNG HERE'!AI$3</f>
        <v>19.52106127804522</v>
      </c>
      <c r="BI19" s="7">
        <f ca="1">Sheet2!N$13+('RNG HERE'!L19-'RNG HERE'!AJ$2)*Sheet2!N$14/'RNG HERE'!AJ$3</f>
        <v>9.4367974637899792</v>
      </c>
      <c r="BJ19" s="7">
        <f ca="1">Sheet2!O$13+('RNG HERE'!M19-'RNG HERE'!AK$2)*Sheet2!O$14/'RNG HERE'!AK$3</f>
        <v>6.9208759705646061</v>
      </c>
      <c r="BK19" s="7">
        <f ca="1">Sheet2!P$13+('RNG HERE'!N19-'RNG HERE'!AL$2)*Sheet2!P$14/'RNG HERE'!AL$3</f>
        <v>23.979107944499816</v>
      </c>
      <c r="BL19" s="7">
        <f ca="1">Sheet2!Q$13+('RNG HERE'!O19-'RNG HERE'!AM$2)*Sheet2!Q$14/'RNG HERE'!AM$3</f>
        <v>12.051958679554234</v>
      </c>
      <c r="BM19" s="7">
        <f ca="1">Sheet2!R$13+('RNG HERE'!P19-'RNG HERE'!AN$2)*Sheet2!R$14/'RNG HERE'!AN$3</f>
        <v>10.499505608309502</v>
      </c>
      <c r="BN19" s="7">
        <f ca="1">Sheet2!S$13+('RNG HERE'!Q19-'RNG HERE'!AO$2)*Sheet2!S$14/'RNG HERE'!AO$3</f>
        <v>3.665606824866511</v>
      </c>
      <c r="BO19" s="7">
        <f ca="1">Sheet2!T$13+('RNG HERE'!R19-'RNG HERE'!AP$2)*Sheet2!T$14/'RNG HERE'!AP$3</f>
        <v>13.204923049448674</v>
      </c>
      <c r="BP19" s="7">
        <f ca="1">Sheet2!U$13+('RNG HERE'!S19-'RNG HERE'!AQ$2)*Sheet2!U$14/'RNG HERE'!AQ$3</f>
        <v>24.509382050637733</v>
      </c>
      <c r="BQ19" s="7">
        <f ca="1">Sheet2!V$13+('RNG HERE'!T19-'RNG HERE'!AR$2)*Sheet2!V$14/'RNG HERE'!AR$3</f>
        <v>22.857607966468827</v>
      </c>
      <c r="BR19" s="7">
        <f ca="1">Sheet2!W$13+('RNG HERE'!U19-'RNG HERE'!AS$2)*Sheet2!W$14/'RNG HERE'!AS$3</f>
        <v>25.106798873122329</v>
      </c>
      <c r="BS19" s="7">
        <f ca="1">Sheet2!X$13+('RNG HERE'!V19-'RNG HERE'!AT$2)*Sheet2!X$14/'RNG HERE'!AT$3</f>
        <v>21.178790538548071</v>
      </c>
      <c r="BT19" s="7">
        <f ca="1">Sheet2!Y$13+('RNG HERE'!W19-'RNG HERE'!AU$2)*Sheet2!Y$14/'RNG HERE'!AU$3</f>
        <v>21.519098043329866</v>
      </c>
      <c r="BU19" s="7" t="e">
        <f ca="1">Sheet2!Z$13+('RNG HERE'!X19-'RNG HERE'!AV$2)*Sheet2!Z$14/'RNG HERE'!AV$3</f>
        <v>#NAME?</v>
      </c>
    </row>
    <row r="20" spans="1:97" x14ac:dyDescent="0.3">
      <c r="A20" s="8" cm="1">
        <f t="array" aca="1" ref="A20" ca="1">[1]!UNIFORM_INV(RAND(),Sheet2!C$13-SQRT(3)*Sheet2!C$14,Sheet2!C$13+SQRT(3)*Sheet2!C$14)</f>
        <v>2.6885365599098083</v>
      </c>
      <c r="B20" s="8" cm="1">
        <f t="array" aca="1" ref="B20" ca="1">[1]!UNIFORM_INV(RAND(),Sheet2!D$13-SQRT(3)*Sheet2!D$14,Sheet2!D$13+SQRT(3)*Sheet2!D$14)</f>
        <v>6.58365806825124</v>
      </c>
      <c r="C20" s="8" cm="1">
        <f t="array" aca="1" ref="C20" ca="1">[1]!UNIFORM_INV(RAND(),Sheet2!E$13-SQRT(3)*Sheet2!E$14,Sheet2!E$13+SQRT(3)*Sheet2!E$14)</f>
        <v>19.948426314581098</v>
      </c>
      <c r="D20" s="8" cm="1">
        <f t="array" aca="1" ref="D20" ca="1">[1]!UNIFORM_INV(RAND(),Sheet2!F$13-SQRT(3)*Sheet2!F$14,Sheet2!F$13+SQRT(3)*Sheet2!F$14)</f>
        <v>21.827042862430918</v>
      </c>
      <c r="E20" s="8" cm="1">
        <f t="array" aca="1" ref="E20" ca="1">[1]!UNIFORM_INV(RAND(),Sheet2!G$13-SQRT(3)*Sheet2!G$14,Sheet2!G$13+SQRT(3)*Sheet2!G$14)</f>
        <v>20.14696654850259</v>
      </c>
      <c r="F20" s="8" cm="1">
        <f t="array" aca="1" ref="F20" ca="1">[1]!UNIFORM_INV(RAND(),Sheet2!H$13-SQRT(3)*Sheet2!H$14,Sheet2!H$13+SQRT(3)*Sheet2!H$14)</f>
        <v>25.465397403874515</v>
      </c>
      <c r="G20" s="8" cm="1">
        <f t="array" aca="1" ref="G20" ca="1">[1]!UNIFORM_INV(RAND(),Sheet2!I$13-SQRT(3)*Sheet2!I$14,Sheet2!I$13+SQRT(3)*Sheet2!I$14)</f>
        <v>12.642165014088697</v>
      </c>
      <c r="H20" s="8" cm="1">
        <f t="array" aca="1" ref="H20" ca="1">[1]!UNIFORM_INV(RAND(),Sheet2!J$13-SQRT(3)*Sheet2!J$14,Sheet2!J$13+SQRT(3)*Sheet2!J$14)</f>
        <v>19.866381284339642</v>
      </c>
      <c r="I20" s="8" cm="1">
        <f t="array" aca="1" ref="I20" ca="1">[1]!UNIFORM_INV(RAND(),Sheet2!K$13-SQRT(3)*Sheet2!K$14,Sheet2!K$13+SQRT(3)*Sheet2!K$14)</f>
        <v>30.875721849810013</v>
      </c>
      <c r="J20" s="8" cm="1">
        <f t="array" aca="1" ref="J20" ca="1">[1]!UNIFORM_INV(RAND(),Sheet2!L$13-SQRT(3)*Sheet2!L$14,Sheet2!L$13+SQRT(3)*Sheet2!L$14)</f>
        <v>18.70493437974967</v>
      </c>
      <c r="K20" s="8" cm="1">
        <f t="array" aca="1" ref="K20" ca="1">[1]!UNIFORM_INV(RAND(),Sheet2!M$13-SQRT(3)*Sheet2!M$14,Sheet2!M$13+SQRT(3)*Sheet2!M$14)</f>
        <v>21.178765087728504</v>
      </c>
      <c r="L20" s="8" cm="1">
        <f t="array" aca="1" ref="L20" ca="1">[1]!UNIFORM_INV(RAND(),Sheet2!N$13-SQRT(3)*Sheet2!N$14,Sheet2!N$13+SQRT(3)*Sheet2!N$14)</f>
        <v>6.9249214527051741</v>
      </c>
      <c r="M20" s="8" cm="1">
        <f t="array" aca="1" ref="M20" ca="1">[1]!UNIFORM_INV(RAND(),Sheet2!O$13-SQRT(3)*Sheet2!O$14,Sheet2!O$13+SQRT(3)*Sheet2!O$14)</f>
        <v>4.2433660133282256</v>
      </c>
      <c r="N20" s="8" cm="1">
        <f t="array" aca="1" ref="N20" ca="1">[1]!UNIFORM_INV(RAND(),Sheet2!P$13-SQRT(3)*Sheet2!P$14,Sheet2!P$13+SQRT(3)*Sheet2!P$14)</f>
        <v>19.74999083664521</v>
      </c>
      <c r="O20" s="8" cm="1">
        <f t="array" aca="1" ref="O20" ca="1">[1]!UNIFORM_INV(RAND(),Sheet2!Q$13-SQRT(3)*Sheet2!Q$14,Sheet2!Q$13+SQRT(3)*Sheet2!Q$14)</f>
        <v>11.543252499857291</v>
      </c>
      <c r="P20" s="8" cm="1">
        <f t="array" aca="1" ref="P20" ca="1">[1]!UNIFORM_INV(RAND(),Sheet2!R$13-SQRT(3)*Sheet2!R$14,Sheet2!R$13+SQRT(3)*Sheet2!R$14)</f>
        <v>9.440160525571299</v>
      </c>
      <c r="Q20" s="8" cm="1">
        <f t="array" aca="1" ref="Q20" ca="1">[1]!UNIFORM_INV(RAND(),Sheet2!S$13-SQRT(3)*Sheet2!S$14,Sheet2!S$13+SQRT(3)*Sheet2!S$14)</f>
        <v>2.9089364139363529</v>
      </c>
      <c r="R20" s="8" cm="1">
        <f t="array" aca="1" ref="R20" ca="1">[1]!UNIFORM_INV(RAND(),Sheet2!T$13-SQRT(3)*Sheet2!T$14,Sheet2!T$13+SQRT(3)*Sheet2!T$14)</f>
        <v>13.811779332101215</v>
      </c>
      <c r="S20" s="8" cm="1">
        <f t="array" aca="1" ref="S20" ca="1">[1]!UNIFORM_INV(RAND(),Sheet2!U$13-SQRT(3)*Sheet2!U$14,Sheet2!U$13+SQRT(3)*Sheet2!U$14)</f>
        <v>23.180302517512107</v>
      </c>
      <c r="T20" s="8" cm="1">
        <f t="array" aca="1" ref="T20" ca="1">[1]!UNIFORM_INV(RAND(),Sheet2!V$13-SQRT(3)*Sheet2!V$14,Sheet2!V$13+SQRT(3)*Sheet2!V$14)</f>
        <v>23.247267948433681</v>
      </c>
      <c r="U20" s="8" cm="1">
        <f t="array" aca="1" ref="U20" ca="1">[1]!UNIFORM_INV(RAND(),Sheet2!W$13-SQRT(3)*Sheet2!W$14,Sheet2!W$13+SQRT(3)*Sheet2!W$14)</f>
        <v>25.350063329525902</v>
      </c>
      <c r="V20" s="8" cm="1">
        <f t="array" aca="1" ref="V20" ca="1">[1]!UNIFORM_INV(RAND(),Sheet2!X$13-SQRT(3)*Sheet2!X$14,Sheet2!X$13+SQRT(3)*Sheet2!X$14)</f>
        <v>20.574215129709742</v>
      </c>
      <c r="W20" s="8" cm="1">
        <f t="array" aca="1" ref="W20" ca="1">[1]!UNIFORM_INV(RAND(),Sheet2!Y$13-SQRT(3)*Sheet2!Y$14,Sheet2!Y$13+SQRT(3)*Sheet2!Y$14)</f>
        <v>20.324119046826414</v>
      </c>
      <c r="X20" s="8" cm="1">
        <f t="array" aca="1" ref="X20" ca="1">[1]!UNIFORM_INV(RAND(),Sheet2!Z$13-SQRT(3)*Sheet2!Z$14,Sheet2!Z$13+SQRT(3)*Sheet2!Z$14)</f>
        <v>8.5827925057708807</v>
      </c>
      <c r="Z20" s="10"/>
      <c r="AA20" s="10"/>
      <c r="AB20" s="10"/>
      <c r="AC20" s="10"/>
      <c r="AD20" s="10"/>
      <c r="AE20" s="10"/>
      <c r="AF20" s="10"/>
      <c r="AG20" s="10"/>
      <c r="AH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X20" s="7">
        <f ca="1">Sheet2!C$13+('RNG HERE'!A20-'RNG HERE'!Y$2)*Sheet2!C$14/'RNG HERE'!Y$3</f>
        <v>2.6686384788277273</v>
      </c>
      <c r="AY20" s="7">
        <f ca="1">Sheet2!D$13+('RNG HERE'!B20-'RNG HERE'!Z$2)*Sheet2!D$14/'RNG HERE'!Z$3</f>
        <v>6.4092997578114428</v>
      </c>
      <c r="AZ20" s="7">
        <f ca="1">Sheet2!E$13+('RNG HERE'!C20-'RNG HERE'!AA$2)*Sheet2!E$14/'RNG HERE'!AA$3</f>
        <v>20.344834606786712</v>
      </c>
      <c r="BA20" s="7">
        <f ca="1">Sheet2!F$13+('RNG HERE'!D20-'RNG HERE'!AB$2)*Sheet2!F$14/'RNG HERE'!AB$3</f>
        <v>22.106765530737825</v>
      </c>
      <c r="BB20" s="7">
        <f ca="1">Sheet2!G$13+('RNG HERE'!E20-'RNG HERE'!AC$2)*Sheet2!G$14/'RNG HERE'!AC$3</f>
        <v>20.204933534650745</v>
      </c>
      <c r="BC20" s="7">
        <f ca="1">Sheet2!H$13+('RNG HERE'!F20-'RNG HERE'!AD$2)*Sheet2!H$14/'RNG HERE'!AD$3</f>
        <v>25.857657630822747</v>
      </c>
      <c r="BD20" s="7">
        <f ca="1">Sheet2!I$13+('RNG HERE'!G20-'RNG HERE'!AE$2)*Sheet2!I$14/'RNG HERE'!AE$3</f>
        <v>12.665892070388939</v>
      </c>
      <c r="BE20" s="7">
        <f ca="1">Sheet2!J$13+('RNG HERE'!H20-'RNG HERE'!AF$2)*Sheet2!J$14/'RNG HERE'!AF$3</f>
        <v>19.779082973316182</v>
      </c>
      <c r="BF20" s="7">
        <f ca="1">Sheet2!K$13+('RNG HERE'!I20-'RNG HERE'!AG$2)*Sheet2!K$14/'RNG HERE'!AG$3</f>
        <v>30.465239445209313</v>
      </c>
      <c r="BG20" s="7">
        <f ca="1">Sheet2!L$13+('RNG HERE'!J20-'RNG HERE'!AH$2)*Sheet2!L$14/'RNG HERE'!AH$3</f>
        <v>18.586570888486484</v>
      </c>
      <c r="BH20" s="7">
        <f ca="1">Sheet2!M$13+('RNG HERE'!K20-'RNG HERE'!AI$2)*Sheet2!M$14/'RNG HERE'!AI$3</f>
        <v>21.340887753608374</v>
      </c>
      <c r="BI20" s="7">
        <f ca="1">Sheet2!N$13+('RNG HERE'!L20-'RNG HERE'!AJ$2)*Sheet2!N$14/'RNG HERE'!AJ$3</f>
        <v>6.4821634372630648</v>
      </c>
      <c r="BJ20" s="7">
        <f ca="1">Sheet2!O$13+('RNG HERE'!M20-'RNG HERE'!AK$2)*Sheet2!O$14/'RNG HERE'!AK$3</f>
        <v>4.1304634260183715</v>
      </c>
      <c r="BK20" s="7">
        <f ca="1">Sheet2!P$13+('RNG HERE'!N20-'RNG HERE'!AL$2)*Sheet2!P$14/'RNG HERE'!AL$3</f>
        <v>19.480070321077413</v>
      </c>
      <c r="BL20" s="7">
        <f ca="1">Sheet2!Q$13+('RNG HERE'!O20-'RNG HERE'!AM$2)*Sheet2!Q$14/'RNG HERE'!AM$3</f>
        <v>11.833717570217308</v>
      </c>
      <c r="BM20" s="7">
        <f ca="1">Sheet2!R$13+('RNG HERE'!P20-'RNG HERE'!AN$2)*Sheet2!R$14/'RNG HERE'!AN$3</f>
        <v>9.5124294531554465</v>
      </c>
      <c r="BN20" s="7">
        <f ca="1">Sheet2!S$13+('RNG HERE'!Q20-'RNG HERE'!AO$2)*Sheet2!S$14/'RNG HERE'!AO$3</f>
        <v>3.0384781342644205</v>
      </c>
      <c r="BO20" s="7">
        <f ca="1">Sheet2!T$13+('RNG HERE'!R20-'RNG HERE'!AP$2)*Sheet2!T$14/'RNG HERE'!AP$3</f>
        <v>14.77680042714778</v>
      </c>
      <c r="BP20" s="7">
        <f ca="1">Sheet2!U$13+('RNG HERE'!S20-'RNG HERE'!AQ$2)*Sheet2!U$14/'RNG HERE'!AQ$3</f>
        <v>23.389967060895046</v>
      </c>
      <c r="BQ20" s="7">
        <f ca="1">Sheet2!V$13+('RNG HERE'!T20-'RNG HERE'!AR$2)*Sheet2!V$14/'RNG HERE'!AR$3</f>
        <v>22.699829076484846</v>
      </c>
      <c r="BR20" s="7">
        <f ca="1">Sheet2!W$13+('RNG HERE'!U20-'RNG HERE'!AS$2)*Sheet2!W$14/'RNG HERE'!AS$3</f>
        <v>25.394829809811199</v>
      </c>
      <c r="BS20" s="7">
        <f ca="1">Sheet2!X$13+('RNG HERE'!V20-'RNG HERE'!AT$2)*Sheet2!X$14/'RNG HERE'!AT$3</f>
        <v>20.583155786622896</v>
      </c>
      <c r="BT20" s="7">
        <f ca="1">Sheet2!Y$13+('RNG HERE'!W20-'RNG HERE'!AU$2)*Sheet2!Y$14/'RNG HERE'!AU$3</f>
        <v>19.922949467790652</v>
      </c>
      <c r="BU20" s="7" t="e">
        <f ca="1">Sheet2!Z$13+('RNG HERE'!X20-'RNG HERE'!AV$2)*Sheet2!Z$14/'RNG HERE'!AV$3</f>
        <v>#NAME?</v>
      </c>
    </row>
    <row r="21" spans="1:97" x14ac:dyDescent="0.3">
      <c r="A21" s="8" cm="1">
        <f t="array" aca="1" ref="A21" ca="1">[1]!UNIFORM_INV(RAND(),Sheet2!C$13-SQRT(3)*Sheet2!C$14,Sheet2!C$13+SQRT(3)*Sheet2!C$14)</f>
        <v>3.5774367337198631</v>
      </c>
      <c r="B21" s="8" cm="1">
        <f t="array" aca="1" ref="B21" ca="1">[1]!UNIFORM_INV(RAND(),Sheet2!D$13-SQRT(3)*Sheet2!D$14,Sheet2!D$13+SQRT(3)*Sheet2!D$14)</f>
        <v>8.0129935560736634</v>
      </c>
      <c r="C21" s="8" cm="1">
        <f t="array" aca="1" ref="C21" ca="1">[1]!UNIFORM_INV(RAND(),Sheet2!E$13-SQRT(3)*Sheet2!E$14,Sheet2!E$13+SQRT(3)*Sheet2!E$14)</f>
        <v>17.680518011193129</v>
      </c>
      <c r="D21" s="8" cm="1">
        <f t="array" aca="1" ref="D21" ca="1">[1]!UNIFORM_INV(RAND(),Sheet2!F$13-SQRT(3)*Sheet2!F$14,Sheet2!F$13+SQRT(3)*Sheet2!F$14)</f>
        <v>24.099946009657902</v>
      </c>
      <c r="E21" s="8" cm="1">
        <f t="array" aca="1" ref="E21" ca="1">[1]!UNIFORM_INV(RAND(),Sheet2!G$13-SQRT(3)*Sheet2!G$14,Sheet2!G$13+SQRT(3)*Sheet2!G$14)</f>
        <v>21.670471078175527</v>
      </c>
      <c r="F21" s="8" cm="1">
        <f t="array" aca="1" ref="F21" ca="1">[1]!UNIFORM_INV(RAND(),Sheet2!H$13-SQRT(3)*Sheet2!H$14,Sheet2!H$13+SQRT(3)*Sheet2!H$14)</f>
        <v>25.192816358417414</v>
      </c>
      <c r="G21" s="8" cm="1">
        <f t="array" aca="1" ref="G21" ca="1">[1]!UNIFORM_INV(RAND(),Sheet2!I$13-SQRT(3)*Sheet2!I$14,Sheet2!I$13+SQRT(3)*Sheet2!I$14)</f>
        <v>12.950925596438811</v>
      </c>
      <c r="H21" s="8" cm="1">
        <f t="array" aca="1" ref="H21" ca="1">[1]!UNIFORM_INV(RAND(),Sheet2!J$13-SQRT(3)*Sheet2!J$14,Sheet2!J$13+SQRT(3)*Sheet2!J$14)</f>
        <v>19.309214590697259</v>
      </c>
      <c r="I21" s="8" cm="1">
        <f t="array" aca="1" ref="I21" ca="1">[1]!UNIFORM_INV(RAND(),Sheet2!K$13-SQRT(3)*Sheet2!K$14,Sheet2!K$13+SQRT(3)*Sheet2!K$14)</f>
        <v>26.280473124293795</v>
      </c>
      <c r="J21" s="8" cm="1">
        <f t="array" aca="1" ref="J21" ca="1">[1]!UNIFORM_INV(RAND(),Sheet2!L$13-SQRT(3)*Sheet2!L$14,Sheet2!L$13+SQRT(3)*Sheet2!L$14)</f>
        <v>19.359557567674766</v>
      </c>
      <c r="K21" s="8" cm="1">
        <f t="array" aca="1" ref="K21" ca="1">[1]!UNIFORM_INV(RAND(),Sheet2!M$13-SQRT(3)*Sheet2!M$14,Sheet2!M$13+SQRT(3)*Sheet2!M$14)</f>
        <v>19.222226951977593</v>
      </c>
      <c r="L21" s="8" cm="1">
        <f t="array" aca="1" ref="L21" ca="1">[1]!UNIFORM_INV(RAND(),Sheet2!N$13-SQRT(3)*Sheet2!N$14,Sheet2!N$13+SQRT(3)*Sheet2!N$14)</f>
        <v>9.6848609266367855</v>
      </c>
      <c r="M21" s="8" cm="1">
        <f t="array" aca="1" ref="M21" ca="1">[1]!UNIFORM_INV(RAND(),Sheet2!O$13-SQRT(3)*Sheet2!O$14,Sheet2!O$13+SQRT(3)*Sheet2!O$14)</f>
        <v>4.0282144360305576</v>
      </c>
      <c r="N21" s="8" cm="1">
        <f t="array" aca="1" ref="N21" ca="1">[1]!UNIFORM_INV(RAND(),Sheet2!P$13-SQRT(3)*Sheet2!P$14,Sheet2!P$13+SQRT(3)*Sheet2!P$14)</f>
        <v>25.197800114579316</v>
      </c>
      <c r="O21" s="8" cm="1">
        <f t="array" aca="1" ref="O21" ca="1">[1]!UNIFORM_INV(RAND(),Sheet2!Q$13-SQRT(3)*Sheet2!Q$14,Sheet2!Q$13+SQRT(3)*Sheet2!Q$14)</f>
        <v>13.507217267730937</v>
      </c>
      <c r="P21" s="8" cm="1">
        <f t="array" aca="1" ref="P21" ca="1">[1]!UNIFORM_INV(RAND(),Sheet2!R$13-SQRT(3)*Sheet2!R$14,Sheet2!R$13+SQRT(3)*Sheet2!R$14)</f>
        <v>8.2935288950147665</v>
      </c>
      <c r="Q21" s="8" cm="1">
        <f t="array" aca="1" ref="Q21" ca="1">[1]!UNIFORM_INV(RAND(),Sheet2!S$13-SQRT(3)*Sheet2!S$14,Sheet2!S$13+SQRT(3)*Sheet2!S$14)</f>
        <v>2.901138762179043</v>
      </c>
      <c r="R21" s="8" cm="1">
        <f t="array" aca="1" ref="R21" ca="1">[1]!UNIFORM_INV(RAND(),Sheet2!T$13-SQRT(3)*Sheet2!T$14,Sheet2!T$13+SQRT(3)*Sheet2!T$14)</f>
        <v>12.356019691547647</v>
      </c>
      <c r="S21" s="8" cm="1">
        <f t="array" aca="1" ref="S21" ca="1">[1]!UNIFORM_INV(RAND(),Sheet2!U$13-SQRT(3)*Sheet2!U$14,Sheet2!U$13+SQRT(3)*Sheet2!U$14)</f>
        <v>23.733570753011271</v>
      </c>
      <c r="T21" s="8" cm="1">
        <f t="array" aca="1" ref="T21" ca="1">[1]!UNIFORM_INV(RAND(),Sheet2!V$13-SQRT(3)*Sheet2!V$14,Sheet2!V$13+SQRT(3)*Sheet2!V$14)</f>
        <v>22.987983261040025</v>
      </c>
      <c r="U21" s="8" cm="1">
        <f t="array" aca="1" ref="U21" ca="1">[1]!UNIFORM_INV(RAND(),Sheet2!W$13-SQRT(3)*Sheet2!W$14,Sheet2!W$13+SQRT(3)*Sheet2!W$14)</f>
        <v>26.857302401334003</v>
      </c>
      <c r="V21" s="8" cm="1">
        <f t="array" aca="1" ref="V21" ca="1">[1]!UNIFORM_INV(RAND(),Sheet2!X$13-SQRT(3)*Sheet2!X$14,Sheet2!X$13+SQRT(3)*Sheet2!X$14)</f>
        <v>20.727459634160677</v>
      </c>
      <c r="W21" s="8" cm="1">
        <f t="array" aca="1" ref="W21" ca="1">[1]!UNIFORM_INV(RAND(),Sheet2!Y$13-SQRT(3)*Sheet2!Y$14,Sheet2!Y$13+SQRT(3)*Sheet2!Y$14)</f>
        <v>22.912806575059864</v>
      </c>
      <c r="X21" s="8" cm="1">
        <f t="array" aca="1" ref="X21" ca="1">[1]!UNIFORM_INV(RAND(),Sheet2!Z$13-SQRT(3)*Sheet2!Z$14,Sheet2!Z$13+SQRT(3)*Sheet2!Z$14)</f>
        <v>7.5198265995824416</v>
      </c>
      <c r="Z21" s="10"/>
      <c r="AA21" s="10"/>
      <c r="AB21" s="10"/>
      <c r="AC21" s="10"/>
      <c r="AD21" s="10"/>
      <c r="AE21" s="10"/>
      <c r="AF21" s="10"/>
      <c r="AG21" s="10"/>
      <c r="AH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X21" s="7">
        <f ca="1">Sheet2!C$13+('RNG HERE'!A21-'RNG HERE'!Y$2)*Sheet2!C$14/'RNG HERE'!Y$3</f>
        <v>3.5403260285866431</v>
      </c>
      <c r="AY21" s="7">
        <f ca="1">Sheet2!D$13+('RNG HERE'!B21-'RNG HERE'!Z$2)*Sheet2!D$14/'RNG HERE'!Z$3</f>
        <v>7.8350327740244827</v>
      </c>
      <c r="AZ21" s="7">
        <f ca="1">Sheet2!E$13+('RNG HERE'!C21-'RNG HERE'!AA$2)*Sheet2!E$14/'RNG HERE'!AA$3</f>
        <v>17.842849480614685</v>
      </c>
      <c r="BA21" s="7">
        <f ca="1">Sheet2!F$13+('RNG HERE'!D21-'RNG HERE'!AB$2)*Sheet2!F$14/'RNG HERE'!AB$3</f>
        <v>24.708793036010903</v>
      </c>
      <c r="BB21" s="7">
        <f ca="1">Sheet2!G$13+('RNG HERE'!E21-'RNG HERE'!AC$2)*Sheet2!G$14/'RNG HERE'!AC$3</f>
        <v>21.774729948110455</v>
      </c>
      <c r="BC21" s="7">
        <f ca="1">Sheet2!H$13+('RNG HERE'!F21-'RNG HERE'!AD$2)*Sheet2!H$14/'RNG HERE'!AD$3</f>
        <v>25.574682799878175</v>
      </c>
      <c r="BD21" s="7">
        <f ca="1">Sheet2!I$13+('RNG HERE'!G21-'RNG HERE'!AE$2)*Sheet2!I$14/'RNG HERE'!AE$3</f>
        <v>12.955812722707483</v>
      </c>
      <c r="BE21" s="7">
        <f ca="1">Sheet2!J$13+('RNG HERE'!H21-'RNG HERE'!AF$2)*Sheet2!J$14/'RNG HERE'!AF$3</f>
        <v>19.172373923367896</v>
      </c>
      <c r="BF21" s="7">
        <f ca="1">Sheet2!K$13+('RNG HERE'!I21-'RNG HERE'!AG$2)*Sheet2!K$14/'RNG HERE'!AG$3</f>
        <v>26.299611028994708</v>
      </c>
      <c r="BG21" s="7">
        <f ca="1">Sheet2!L$13+('RNG HERE'!J21-'RNG HERE'!AH$2)*Sheet2!L$14/'RNG HERE'!AH$3</f>
        <v>19.2735315118566</v>
      </c>
      <c r="BH21" s="7">
        <f ca="1">Sheet2!M$13+('RNG HERE'!K21-'RNG HERE'!AI$2)*Sheet2!M$14/'RNG HERE'!AI$3</f>
        <v>19.405426228332857</v>
      </c>
      <c r="BI21" s="7">
        <f ca="1">Sheet2!N$13+('RNG HERE'!L21-'RNG HERE'!AJ$2)*Sheet2!N$14/'RNG HERE'!AJ$3</f>
        <v>9.4413297254262947</v>
      </c>
      <c r="BJ21" s="7">
        <f ca="1">Sheet2!O$13+('RNG HERE'!M21-'RNG HERE'!AK$2)*Sheet2!O$14/'RNG HERE'!AK$3</f>
        <v>3.8993714567926574</v>
      </c>
      <c r="BK21" s="7">
        <f ca="1">Sheet2!P$13+('RNG HERE'!N21-'RNG HERE'!AL$2)*Sheet2!P$14/'RNG HERE'!AL$3</f>
        <v>25.284590072637201</v>
      </c>
      <c r="BL21" s="7">
        <f ca="1">Sheet2!Q$13+('RNG HERE'!O21-'RNG HERE'!AM$2)*Sheet2!Q$14/'RNG HERE'!AM$3</f>
        <v>13.66219676746198</v>
      </c>
      <c r="BM21" s="7">
        <f ca="1">Sheet2!R$13+('RNG HERE'!P21-'RNG HERE'!AN$2)*Sheet2!R$14/'RNG HERE'!AN$3</f>
        <v>8.2985699252673388</v>
      </c>
      <c r="BN21" s="7">
        <f ca="1">Sheet2!S$13+('RNG HERE'!Q21-'RNG HERE'!AO$2)*Sheet2!S$14/'RNG HERE'!AO$3</f>
        <v>3.0314476899845455</v>
      </c>
      <c r="BO21" s="7">
        <f ca="1">Sheet2!T$13+('RNG HERE'!R21-'RNG HERE'!AP$2)*Sheet2!T$14/'RNG HERE'!AP$3</f>
        <v>13.000108869366709</v>
      </c>
      <c r="BP21" s="7">
        <f ca="1">Sheet2!U$13+('RNG HERE'!S21-'RNG HERE'!AQ$2)*Sheet2!U$14/'RNG HERE'!AQ$3</f>
        <v>23.926406284764255</v>
      </c>
      <c r="BQ21" s="7">
        <f ca="1">Sheet2!V$13+('RNG HERE'!T21-'RNG HERE'!AR$2)*Sheet2!V$14/'RNG HERE'!AR$3</f>
        <v>22.42198162828732</v>
      </c>
      <c r="BR21" s="7">
        <f ca="1">Sheet2!W$13+('RNG HERE'!U21-'RNG HERE'!AS$2)*Sheet2!W$14/'RNG HERE'!AS$3</f>
        <v>26.899444898942498</v>
      </c>
      <c r="BS21" s="7">
        <f ca="1">Sheet2!X$13+('RNG HERE'!V21-'RNG HERE'!AT$2)*Sheet2!X$14/'RNG HERE'!AT$3</f>
        <v>20.768245513722974</v>
      </c>
      <c r="BT21" s="7">
        <f ca="1">Sheet2!Y$13+('RNG HERE'!W21-'RNG HERE'!AU$2)*Sheet2!Y$14/'RNG HERE'!AU$3</f>
        <v>22.670091705515404</v>
      </c>
      <c r="BU21" s="7" t="e">
        <f ca="1">Sheet2!Z$13+('RNG HERE'!X21-'RNG HERE'!AV$2)*Sheet2!Z$14/'RNG HERE'!AV$3</f>
        <v>#NAME?</v>
      </c>
    </row>
    <row r="22" spans="1:97" x14ac:dyDescent="0.3">
      <c r="A22" s="8" cm="1">
        <f t="array" aca="1" ref="A22" ca="1">[1]!UNIFORM_INV(RAND(),Sheet2!C$13-SQRT(3)*Sheet2!C$14,Sheet2!C$13+SQRT(3)*Sheet2!C$14)</f>
        <v>3.5547813782738711</v>
      </c>
      <c r="B22" s="8" cm="1">
        <f t="array" aca="1" ref="B22" ca="1">[1]!UNIFORM_INV(RAND(),Sheet2!D$13-SQRT(3)*Sheet2!D$14,Sheet2!D$13+SQRT(3)*Sheet2!D$14)</f>
        <v>7.6848135887465494</v>
      </c>
      <c r="C22" s="8" cm="1">
        <f t="array" aca="1" ref="C22" ca="1">[1]!UNIFORM_INV(RAND(),Sheet2!E$13-SQRT(3)*Sheet2!E$14,Sheet2!E$13+SQRT(3)*Sheet2!E$14)</f>
        <v>18.072116295044296</v>
      </c>
      <c r="D22" s="8" cm="1">
        <f t="array" aca="1" ref="D22" ca="1">[1]!UNIFORM_INV(RAND(),Sheet2!F$13-SQRT(3)*Sheet2!F$14,Sheet2!F$13+SQRT(3)*Sheet2!F$14)</f>
        <v>19.524307377561001</v>
      </c>
      <c r="E22" s="8" cm="1">
        <f t="array" aca="1" ref="E22" ca="1">[1]!UNIFORM_INV(RAND(),Sheet2!G$13-SQRT(3)*Sheet2!G$14,Sheet2!G$13+SQRT(3)*Sheet2!G$14)</f>
        <v>17.884268403767507</v>
      </c>
      <c r="F22" s="8" cm="1">
        <f t="array" aca="1" ref="F22" ca="1">[1]!UNIFORM_INV(RAND(),Sheet2!H$13-SQRT(3)*Sheet2!H$14,Sheet2!H$13+SQRT(3)*Sheet2!H$14)</f>
        <v>28.095504619741977</v>
      </c>
      <c r="G22" s="8" cm="1">
        <f t="array" aca="1" ref="G22" ca="1">[1]!UNIFORM_INV(RAND(),Sheet2!I$13-SQRT(3)*Sheet2!I$14,Sheet2!I$13+SQRT(3)*Sheet2!I$14)</f>
        <v>11.01252009726948</v>
      </c>
      <c r="H22" s="8" cm="1">
        <f t="array" aca="1" ref="H22" ca="1">[1]!UNIFORM_INV(RAND(),Sheet2!J$13-SQRT(3)*Sheet2!J$14,Sheet2!J$13+SQRT(3)*Sheet2!J$14)</f>
        <v>20.131990302575346</v>
      </c>
      <c r="I22" s="8" cm="1">
        <f t="array" aca="1" ref="I22" ca="1">[1]!UNIFORM_INV(RAND(),Sheet2!K$13-SQRT(3)*Sheet2!K$14,Sheet2!K$13+SQRT(3)*Sheet2!K$14)</f>
        <v>30.73183428463301</v>
      </c>
      <c r="J22" s="8" cm="1">
        <f t="array" aca="1" ref="J22" ca="1">[1]!UNIFORM_INV(RAND(),Sheet2!L$13-SQRT(3)*Sheet2!L$14,Sheet2!L$13+SQRT(3)*Sheet2!L$14)</f>
        <v>22.19434914897138</v>
      </c>
      <c r="K22" s="8" cm="1">
        <f t="array" aca="1" ref="K22" ca="1">[1]!UNIFORM_INV(RAND(),Sheet2!M$13-SQRT(3)*Sheet2!M$14,Sheet2!M$13+SQRT(3)*Sheet2!M$14)</f>
        <v>19.748470157394873</v>
      </c>
      <c r="L22" s="8" cm="1">
        <f t="array" aca="1" ref="L22" ca="1">[1]!UNIFORM_INV(RAND(),Sheet2!N$13-SQRT(3)*Sheet2!N$14,Sheet2!N$13+SQRT(3)*Sheet2!N$14)</f>
        <v>9.1889076702379828</v>
      </c>
      <c r="M22" s="8" cm="1">
        <f t="array" aca="1" ref="M22" ca="1">[1]!UNIFORM_INV(RAND(),Sheet2!O$13-SQRT(3)*Sheet2!O$14,Sheet2!O$13+SQRT(3)*Sheet2!O$14)</f>
        <v>6.4837255077691882</v>
      </c>
      <c r="N22" s="8" cm="1">
        <f t="array" aca="1" ref="N22" ca="1">[1]!UNIFORM_INV(RAND(),Sheet2!P$13-SQRT(3)*Sheet2!P$14,Sheet2!P$13+SQRT(3)*Sheet2!P$14)</f>
        <v>24.57091743105363</v>
      </c>
      <c r="O22" s="8" cm="1">
        <f t="array" aca="1" ref="O22" ca="1">[1]!UNIFORM_INV(RAND(),Sheet2!Q$13-SQRT(3)*Sheet2!Q$14,Sheet2!Q$13+SQRT(3)*Sheet2!Q$14)</f>
        <v>13.862522752530214</v>
      </c>
      <c r="P22" s="8" cm="1">
        <f t="array" aca="1" ref="P22" ca="1">[1]!UNIFORM_INV(RAND(),Sheet2!R$13-SQRT(3)*Sheet2!R$14,Sheet2!R$13+SQRT(3)*Sheet2!R$14)</f>
        <v>9.1973786315425716</v>
      </c>
      <c r="Q22" s="8" cm="1">
        <f t="array" aca="1" ref="Q22" ca="1">[1]!UNIFORM_INV(RAND(),Sheet2!S$13-SQRT(3)*Sheet2!S$14,Sheet2!S$13+SQRT(3)*Sheet2!S$14)</f>
        <v>3.4186691868015742</v>
      </c>
      <c r="R22" s="8" cm="1">
        <f t="array" aca="1" ref="R22" ca="1">[1]!UNIFORM_INV(RAND(),Sheet2!T$13-SQRT(3)*Sheet2!T$14,Sheet2!T$13+SQRT(3)*Sheet2!T$14)</f>
        <v>12.458009536050412</v>
      </c>
      <c r="S22" s="8" cm="1">
        <f t="array" aca="1" ref="S22" ca="1">[1]!UNIFORM_INV(RAND(),Sheet2!U$13-SQRT(3)*Sheet2!U$14,Sheet2!U$13+SQRT(3)*Sheet2!U$14)</f>
        <v>24.814771054726826</v>
      </c>
      <c r="T22" s="8" cm="1">
        <f t="array" aca="1" ref="T22" ca="1">[1]!UNIFORM_INV(RAND(),Sheet2!V$13-SQRT(3)*Sheet2!V$14,Sheet2!V$13+SQRT(3)*Sheet2!V$14)</f>
        <v>24.52352655579438</v>
      </c>
      <c r="U22" s="8" cm="1">
        <f t="array" aca="1" ref="U22" ca="1">[1]!UNIFORM_INV(RAND(),Sheet2!W$13-SQRT(3)*Sheet2!W$14,Sheet2!W$13+SQRT(3)*Sheet2!W$14)</f>
        <v>23.013937262117263</v>
      </c>
      <c r="V22" s="8" cm="1">
        <f t="array" aca="1" ref="V22" ca="1">[1]!UNIFORM_INV(RAND(),Sheet2!X$13-SQRT(3)*Sheet2!X$14,Sheet2!X$13+SQRT(3)*Sheet2!X$14)</f>
        <v>21.902008712399589</v>
      </c>
      <c r="W22" s="8" cm="1">
        <f t="array" aca="1" ref="W22" ca="1">[1]!UNIFORM_INV(RAND(),Sheet2!Y$13-SQRT(3)*Sheet2!Y$14,Sheet2!Y$13+SQRT(3)*Sheet2!Y$14)</f>
        <v>21.233347464599753</v>
      </c>
      <c r="X22" s="8" cm="1">
        <f t="array" aca="1" ref="X22" ca="1">[1]!UNIFORM_INV(RAND(),Sheet2!Z$13-SQRT(3)*Sheet2!Z$14,Sheet2!Z$13+SQRT(3)*Sheet2!Z$14)</f>
        <v>8.8616038888337698</v>
      </c>
      <c r="Z22" s="10"/>
      <c r="AA22" s="10"/>
      <c r="AB22" s="10"/>
      <c r="AC22" s="10"/>
      <c r="AD22" s="10"/>
      <c r="AE22" s="10"/>
      <c r="AF22" s="10"/>
      <c r="AG22" s="10"/>
      <c r="AH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X22" s="7">
        <f ca="1">Sheet2!C$13+('RNG HERE'!A22-'RNG HERE'!Y$2)*Sheet2!C$14/'RNG HERE'!Y$3</f>
        <v>3.5181093704516946</v>
      </c>
      <c r="AY22" s="7">
        <f ca="1">Sheet2!D$13+('RNG HERE'!B22-'RNG HERE'!Z$2)*Sheet2!D$14/'RNG HERE'!Z$3</f>
        <v>7.5076799456197119</v>
      </c>
      <c r="AZ22" s="7">
        <f ca="1">Sheet2!E$13+('RNG HERE'!C22-'RNG HERE'!AA$2)*Sheet2!E$14/'RNG HERE'!AA$3</f>
        <v>18.274865660530978</v>
      </c>
      <c r="BA22" s="7">
        <f ca="1">Sheet2!F$13+('RNG HERE'!D22-'RNG HERE'!AB$2)*Sheet2!F$14/'RNG HERE'!AB$3</f>
        <v>19.470585860561368</v>
      </c>
      <c r="BB22" s="7">
        <f ca="1">Sheet2!G$13+('RNG HERE'!E22-'RNG HERE'!AC$2)*Sheet2!G$14/'RNG HERE'!AC$3</f>
        <v>17.873483011750359</v>
      </c>
      <c r="BC22" s="7">
        <f ca="1">Sheet2!H$13+('RNG HERE'!F22-'RNG HERE'!AD$2)*Sheet2!H$14/'RNG HERE'!AD$3</f>
        <v>28.588053442197413</v>
      </c>
      <c r="BD22" s="7">
        <f ca="1">Sheet2!I$13+('RNG HERE'!G22-'RNG HERE'!AE$2)*Sheet2!I$14/'RNG HERE'!AE$3</f>
        <v>11.13568470474768</v>
      </c>
      <c r="BE22" s="7">
        <f ca="1">Sheet2!J$13+('RNG HERE'!H22-'RNG HERE'!AF$2)*Sheet2!J$14/'RNG HERE'!AF$3</f>
        <v>20.068309513506531</v>
      </c>
      <c r="BF22" s="7">
        <f ca="1">Sheet2!K$13+('RNG HERE'!I22-'RNG HERE'!AG$2)*Sheet2!K$14/'RNG HERE'!AG$3</f>
        <v>30.334804257465713</v>
      </c>
      <c r="BG22" s="7">
        <f ca="1">Sheet2!L$13+('RNG HERE'!J22-'RNG HERE'!AH$2)*Sheet2!L$14/'RNG HERE'!AH$3</f>
        <v>22.248357683206184</v>
      </c>
      <c r="BH22" s="7">
        <f ca="1">Sheet2!M$13+('RNG HERE'!K22-'RNG HERE'!AI$2)*Sheet2!M$14/'RNG HERE'!AI$3</f>
        <v>19.926000531696438</v>
      </c>
      <c r="BI22" s="7">
        <f ca="1">Sheet2!N$13+('RNG HERE'!L22-'RNG HERE'!AJ$2)*Sheet2!N$14/'RNG HERE'!AJ$3</f>
        <v>8.9095759783959423</v>
      </c>
      <c r="BJ22" s="7">
        <f ca="1">Sheet2!O$13+('RNG HERE'!M22-'RNG HERE'!AK$2)*Sheet2!O$14/'RNG HERE'!AK$3</f>
        <v>6.5368091932520196</v>
      </c>
      <c r="BK22" s="7">
        <f ca="1">Sheet2!P$13+('RNG HERE'!N22-'RNG HERE'!AL$2)*Sheet2!P$14/'RNG HERE'!AL$3</f>
        <v>24.616660500804699</v>
      </c>
      <c r="BL22" s="7">
        <f ca="1">Sheet2!Q$13+('RNG HERE'!O22-'RNG HERE'!AM$2)*Sheet2!Q$14/'RNG HERE'!AM$3</f>
        <v>13.992991239058229</v>
      </c>
      <c r="BM22" s="7">
        <f ca="1">Sheet2!R$13+('RNG HERE'!P22-'RNG HERE'!AN$2)*Sheet2!R$14/'RNG HERE'!AN$3</f>
        <v>9.2554130693300198</v>
      </c>
      <c r="BN22" s="7">
        <f ca="1">Sheet2!S$13+('RNG HERE'!Q22-'RNG HERE'!AO$2)*Sheet2!S$14/'RNG HERE'!AO$3</f>
        <v>3.4980585270276148</v>
      </c>
      <c r="BO22" s="7">
        <f ca="1">Sheet2!T$13+('RNG HERE'!R22-'RNG HERE'!AP$2)*Sheet2!T$14/'RNG HERE'!AP$3</f>
        <v>13.124583054980594</v>
      </c>
      <c r="BP22" s="7">
        <f ca="1">Sheet2!U$13+('RNG HERE'!S22-'RNG HERE'!AQ$2)*Sheet2!U$14/'RNG HERE'!AQ$3</f>
        <v>24.974719225007728</v>
      </c>
      <c r="BQ22" s="7">
        <f ca="1">Sheet2!V$13+('RNG HERE'!T22-'RNG HERE'!AR$2)*Sheet2!V$14/'RNG HERE'!AR$3</f>
        <v>24.067457843381241</v>
      </c>
      <c r="BR22" s="7">
        <f ca="1">Sheet2!W$13+('RNG HERE'!U22-'RNG HERE'!AS$2)*Sheet2!W$14/'RNG HERE'!AS$3</f>
        <v>23.062770751045296</v>
      </c>
      <c r="BS22" s="7">
        <f ca="1">Sheet2!X$13+('RNG HERE'!V22-'RNG HERE'!AT$2)*Sheet2!X$14/'RNG HERE'!AT$3</f>
        <v>22.186873667050932</v>
      </c>
      <c r="BT22" s="7">
        <f ca="1">Sheet2!Y$13+('RNG HERE'!W22-'RNG HERE'!AU$2)*Sheet2!Y$14/'RNG HERE'!AU$3</f>
        <v>20.887832159487822</v>
      </c>
      <c r="BU22" s="7" t="e">
        <f ca="1">Sheet2!Z$13+('RNG HERE'!X22-'RNG HERE'!AV$2)*Sheet2!Z$14/'RNG HERE'!AV$3</f>
        <v>#NAME?</v>
      </c>
    </row>
    <row r="23" spans="1:97" x14ac:dyDescent="0.3">
      <c r="A23" s="8" cm="1">
        <f t="array" aca="1" ref="A23" ca="1">[1]!UNIFORM_INV(RAND(),Sheet2!C$13-SQRT(3)*Sheet2!C$14,Sheet2!C$13+SQRT(3)*Sheet2!C$14)</f>
        <v>2.4119288750124892</v>
      </c>
      <c r="B23" s="8" cm="1">
        <f t="array" aca="1" ref="B23" ca="1">[1]!UNIFORM_INV(RAND(),Sheet2!D$13-SQRT(3)*Sheet2!D$14,Sheet2!D$13+SQRT(3)*Sheet2!D$14)</f>
        <v>9.3050826793303152</v>
      </c>
      <c r="C23" s="8" cm="1">
        <f t="array" aca="1" ref="C23" ca="1">[1]!UNIFORM_INV(RAND(),Sheet2!E$13-SQRT(3)*Sheet2!E$14,Sheet2!E$13+SQRT(3)*Sheet2!E$14)</f>
        <v>18.561425275838332</v>
      </c>
      <c r="D23" s="8" cm="1">
        <f t="array" aca="1" ref="D23" ca="1">[1]!UNIFORM_INV(RAND(),Sheet2!F$13-SQRT(3)*Sheet2!F$14,Sheet2!F$13+SQRT(3)*Sheet2!F$14)</f>
        <v>22.103482184685344</v>
      </c>
      <c r="E23" s="8" cm="1">
        <f t="array" aca="1" ref="E23" ca="1">[1]!UNIFORM_INV(RAND(),Sheet2!G$13-SQRT(3)*Sheet2!G$14,Sheet2!G$13+SQRT(3)*Sheet2!G$14)</f>
        <v>17.463534177003723</v>
      </c>
      <c r="F23" s="8" cm="1">
        <f t="array" aca="1" ref="F23" ca="1">[1]!UNIFORM_INV(RAND(),Sheet2!H$13-SQRT(3)*Sheet2!H$14,Sheet2!H$13+SQRT(3)*Sheet2!H$14)</f>
        <v>29.28616815609433</v>
      </c>
      <c r="G23" s="8" cm="1">
        <f t="array" aca="1" ref="G23" ca="1">[1]!UNIFORM_INV(RAND(),Sheet2!I$13-SQRT(3)*Sheet2!I$14,Sheet2!I$13+SQRT(3)*Sheet2!I$14)</f>
        <v>11.279472408727109</v>
      </c>
      <c r="H23" s="8" cm="1">
        <f t="array" aca="1" ref="H23" ca="1">[1]!UNIFORM_INV(RAND(),Sheet2!J$13-SQRT(3)*Sheet2!J$14,Sheet2!J$13+SQRT(3)*Sheet2!J$14)</f>
        <v>20.498542939031239</v>
      </c>
      <c r="I23" s="8" cm="1">
        <f t="array" aca="1" ref="I23" ca="1">[1]!UNIFORM_INV(RAND(),Sheet2!K$13-SQRT(3)*Sheet2!K$14,Sheet2!K$13+SQRT(3)*Sheet2!K$14)</f>
        <v>28.893820624472831</v>
      </c>
      <c r="J23" s="8" cm="1">
        <f t="array" aca="1" ref="J23" ca="1">[1]!UNIFORM_INV(RAND(),Sheet2!L$13-SQRT(3)*Sheet2!L$14,Sheet2!L$13+SQRT(3)*Sheet2!L$14)</f>
        <v>16.934952118108868</v>
      </c>
      <c r="K23" s="8" cm="1">
        <f t="array" aca="1" ref="K23" ca="1">[1]!UNIFORM_INV(RAND(),Sheet2!M$13-SQRT(3)*Sheet2!M$14,Sheet2!M$13+SQRT(3)*Sheet2!M$14)</f>
        <v>19.348617403521324</v>
      </c>
      <c r="L23" s="8" cm="1">
        <f t="array" aca="1" ref="L23" ca="1">[1]!UNIFORM_INV(RAND(),Sheet2!N$13-SQRT(3)*Sheet2!N$14,Sheet2!N$13+SQRT(3)*Sheet2!N$14)</f>
        <v>9.3932699183036306</v>
      </c>
      <c r="M23" s="8" cm="1">
        <f t="array" aca="1" ref="M23" ca="1">[1]!UNIFORM_INV(RAND(),Sheet2!O$13-SQRT(3)*Sheet2!O$14,Sheet2!O$13+SQRT(3)*Sheet2!O$14)</f>
        <v>6.3852261997919797</v>
      </c>
      <c r="N23" s="8" cm="1">
        <f t="array" aca="1" ref="N23" ca="1">[1]!UNIFORM_INV(RAND(),Sheet2!P$13-SQRT(3)*Sheet2!P$14,Sheet2!P$13+SQRT(3)*Sheet2!P$14)</f>
        <v>25.412277876912675</v>
      </c>
      <c r="O23" s="8" cm="1">
        <f t="array" aca="1" ref="O23" ca="1">[1]!UNIFORM_INV(RAND(),Sheet2!Q$13-SQRT(3)*Sheet2!Q$14,Sheet2!Q$13+SQRT(3)*Sheet2!Q$14)</f>
        <v>14.408055467464516</v>
      </c>
      <c r="P23" s="8" cm="1">
        <f t="array" aca="1" ref="P23" ca="1">[1]!UNIFORM_INV(RAND(),Sheet2!R$13-SQRT(3)*Sheet2!R$14,Sheet2!R$13+SQRT(3)*Sheet2!R$14)</f>
        <v>10.129857237209508</v>
      </c>
      <c r="Q23" s="8" cm="1">
        <f t="array" aca="1" ref="Q23" ca="1">[1]!UNIFORM_INV(RAND(),Sheet2!S$13-SQRT(3)*Sheet2!S$14,Sheet2!S$13+SQRT(3)*Sheet2!S$14)</f>
        <v>2.6038556259312986</v>
      </c>
      <c r="R23" s="8" cm="1">
        <f t="array" aca="1" ref="R23" ca="1">[1]!UNIFORM_INV(RAND(),Sheet2!T$13-SQRT(3)*Sheet2!T$14,Sheet2!T$13+SQRT(3)*Sheet2!T$14)</f>
        <v>10.889490824693194</v>
      </c>
      <c r="S23" s="8" cm="1">
        <f t="array" aca="1" ref="S23" ca="1">[1]!UNIFORM_INV(RAND(),Sheet2!U$13-SQRT(3)*Sheet2!U$14,Sheet2!U$13+SQRT(3)*Sheet2!U$14)</f>
        <v>24.742941963861394</v>
      </c>
      <c r="T23" s="8" cm="1">
        <f t="array" aca="1" ref="T23" ca="1">[1]!UNIFORM_INV(RAND(),Sheet2!V$13-SQRT(3)*Sheet2!V$14,Sheet2!V$13+SQRT(3)*Sheet2!V$14)</f>
        <v>25.220212919843696</v>
      </c>
      <c r="U23" s="8" cm="1">
        <f t="array" aca="1" ref="U23" ca="1">[1]!UNIFORM_INV(RAND(),Sheet2!W$13-SQRT(3)*Sheet2!W$14,Sheet2!W$13+SQRT(3)*Sheet2!W$14)</f>
        <v>24.218399728887363</v>
      </c>
      <c r="V23" s="8" cm="1">
        <f t="array" aca="1" ref="V23" ca="1">[1]!UNIFORM_INV(RAND(),Sheet2!X$13-SQRT(3)*Sheet2!X$14,Sheet2!X$13+SQRT(3)*Sheet2!X$14)</f>
        <v>21.20729381903881</v>
      </c>
      <c r="W23" s="8" cm="1">
        <f t="array" aca="1" ref="W23" ca="1">[1]!UNIFORM_INV(RAND(),Sheet2!Y$13-SQRT(3)*Sheet2!Y$14,Sheet2!Y$13+SQRT(3)*Sheet2!Y$14)</f>
        <v>20.512270852063523</v>
      </c>
      <c r="X23" s="8" cm="1">
        <f t="array" aca="1" ref="X23" ca="1">[1]!UNIFORM_INV(RAND(),Sheet2!Z$13-SQRT(3)*Sheet2!Z$14,Sheet2!Z$13+SQRT(3)*Sheet2!Z$14)</f>
        <v>8.5979837179073311</v>
      </c>
      <c r="Z23" s="10"/>
      <c r="AA23" s="10"/>
      <c r="AB23" s="10"/>
      <c r="AC23" s="10"/>
      <c r="AD23" s="10"/>
      <c r="AE23" s="10"/>
      <c r="AF23" s="10"/>
      <c r="AG23" s="10"/>
      <c r="AH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X23" s="7">
        <f ca="1">Sheet2!C$13+('RNG HERE'!A23-'RNG HERE'!Y$2)*Sheet2!C$14/'RNG HERE'!Y$3</f>
        <v>2.3973870130313517</v>
      </c>
      <c r="AY23" s="7">
        <f ca="1">Sheet2!D$13+('RNG HERE'!B23-'RNG HERE'!Z$2)*Sheet2!D$14/'RNG HERE'!Z$3</f>
        <v>9.1238653389552677</v>
      </c>
      <c r="AZ23" s="7">
        <f ca="1">Sheet2!E$13+('RNG HERE'!C23-'RNG HERE'!AA$2)*Sheet2!E$14/'RNG HERE'!AA$3</f>
        <v>18.81467751721857</v>
      </c>
      <c r="BA23" s="7">
        <f ca="1">Sheet2!F$13+('RNG HERE'!D23-'RNG HERE'!AB$2)*Sheet2!F$14/'RNG HERE'!AB$3</f>
        <v>22.423234237696427</v>
      </c>
      <c r="BB23" s="7">
        <f ca="1">Sheet2!G$13+('RNG HERE'!E23-'RNG HERE'!AC$2)*Sheet2!G$14/'RNG HERE'!AC$3</f>
        <v>17.439964720646021</v>
      </c>
      <c r="BC23" s="7">
        <f ca="1">Sheet2!H$13+('RNG HERE'!F23-'RNG HERE'!AD$2)*Sheet2!H$14/'RNG HERE'!AD$3</f>
        <v>29.824118159559429</v>
      </c>
      <c r="BD23" s="7">
        <f ca="1">Sheet2!I$13+('RNG HERE'!G23-'RNG HERE'!AE$2)*Sheet2!I$14/'RNG HERE'!AE$3</f>
        <v>11.386348140108021</v>
      </c>
      <c r="BE23" s="7">
        <f ca="1">Sheet2!J$13+('RNG HERE'!H23-'RNG HERE'!AF$2)*Sheet2!J$14/'RNG HERE'!AF$3</f>
        <v>20.467455414289567</v>
      </c>
      <c r="BF23" s="7">
        <f ca="1">Sheet2!K$13+('RNG HERE'!I23-'RNG HERE'!AG$2)*Sheet2!K$14/'RNG HERE'!AG$3</f>
        <v>28.668630696578919</v>
      </c>
      <c r="BG23" s="7">
        <f ca="1">Sheet2!L$13+('RNG HERE'!J23-'RNG HERE'!AH$2)*Sheet2!L$14/'RNG HERE'!AH$3</f>
        <v>16.729154071852214</v>
      </c>
      <c r="BH23" s="7">
        <f ca="1">Sheet2!M$13+('RNG HERE'!K23-'RNG HERE'!AI$2)*Sheet2!M$14/'RNG HERE'!AI$3</f>
        <v>19.530455151436982</v>
      </c>
      <c r="BI23" s="7">
        <f ca="1">Sheet2!N$13+('RNG HERE'!L23-'RNG HERE'!AJ$2)*Sheet2!N$14/'RNG HERE'!AJ$3</f>
        <v>9.1286901585296256</v>
      </c>
      <c r="BJ23" s="7">
        <f ca="1">Sheet2!O$13+('RNG HERE'!M23-'RNG HERE'!AK$2)*Sheet2!O$14/'RNG HERE'!AK$3</f>
        <v>6.43101215781439</v>
      </c>
      <c r="BK23" s="7">
        <f ca="1">Sheet2!P$13+('RNG HERE'!N23-'RNG HERE'!AL$2)*Sheet2!P$14/'RNG HERE'!AL$3</f>
        <v>25.513111363347001</v>
      </c>
      <c r="BL23" s="7">
        <f ca="1">Sheet2!Q$13+('RNG HERE'!O23-'RNG HERE'!AM$2)*Sheet2!Q$14/'RNG HERE'!AM$3</f>
        <v>14.500889973796609</v>
      </c>
      <c r="BM23" s="7">
        <f ca="1">Sheet2!R$13+('RNG HERE'!P23-'RNG HERE'!AN$2)*Sheet2!R$14/'RNG HERE'!AN$3</f>
        <v>10.242563615221769</v>
      </c>
      <c r="BN23" s="7">
        <f ca="1">Sheet2!S$13+('RNG HERE'!Q23-'RNG HERE'!AO$2)*Sheet2!S$14/'RNG HERE'!AO$3</f>
        <v>2.7634141088776509</v>
      </c>
      <c r="BO23" s="7">
        <f ca="1">Sheet2!T$13+('RNG HERE'!R23-'RNG HERE'!AP$2)*Sheet2!T$14/'RNG HERE'!AP$3</f>
        <v>11.210273937556297</v>
      </c>
      <c r="BP23" s="7">
        <f ca="1">Sheet2!U$13+('RNG HERE'!S23-'RNG HERE'!AQ$2)*Sheet2!U$14/'RNG HERE'!AQ$3</f>
        <v>24.905074992277974</v>
      </c>
      <c r="BQ23" s="7">
        <f ca="1">Sheet2!V$13+('RNG HERE'!T23-'RNG HERE'!AR$2)*Sheet2!V$14/'RNG HERE'!AR$3</f>
        <v>24.814021515887006</v>
      </c>
      <c r="BR23" s="7">
        <f ca="1">Sheet2!W$13+('RNG HERE'!U23-'RNG HERE'!AS$2)*Sheet2!W$14/'RNG HERE'!AS$3</f>
        <v>24.265136344992246</v>
      </c>
      <c r="BS23" s="7">
        <f ca="1">Sheet2!X$13+('RNG HERE'!V23-'RNG HERE'!AT$2)*Sheet2!X$14/'RNG HERE'!AT$3</f>
        <v>21.347792419177043</v>
      </c>
      <c r="BT23" s="7">
        <f ca="1">Sheet2!Y$13+('RNG HERE'!W23-'RNG HERE'!AU$2)*Sheet2!Y$14/'RNG HERE'!AU$3</f>
        <v>20.122618128312126</v>
      </c>
      <c r="BU23" s="7" t="e">
        <f ca="1">Sheet2!Z$13+('RNG HERE'!X23-'RNG HERE'!AV$2)*Sheet2!Z$14/'RNG HERE'!AV$3</f>
        <v>#NAME?</v>
      </c>
    </row>
    <row r="24" spans="1:97" x14ac:dyDescent="0.3">
      <c r="A24" s="8" cm="1">
        <f t="array" aca="1" ref="A24" ca="1">[1]!UNIFORM_INV(RAND(),Sheet2!C$13-SQRT(3)*Sheet2!C$14,Sheet2!C$13+SQRT(3)*Sheet2!C$14)</f>
        <v>3.3658313032841343</v>
      </c>
      <c r="B24" s="8" cm="1">
        <f t="array" aca="1" ref="B24" ca="1">[1]!UNIFORM_INV(RAND(),Sheet2!D$13-SQRT(3)*Sheet2!D$14,Sheet2!D$13+SQRT(3)*Sheet2!D$14)</f>
        <v>9.187991410649996</v>
      </c>
      <c r="C24" s="8" cm="1">
        <f t="array" aca="1" ref="C24" ca="1">[1]!UNIFORM_INV(RAND(),Sheet2!E$13-SQRT(3)*Sheet2!E$14,Sheet2!E$13+SQRT(3)*Sheet2!E$14)</f>
        <v>19.501726897663964</v>
      </c>
      <c r="D24" s="8" cm="1">
        <f t="array" aca="1" ref="D24" ca="1">[1]!UNIFORM_INV(RAND(),Sheet2!F$13-SQRT(3)*Sheet2!F$14,Sheet2!F$13+SQRT(3)*Sheet2!F$14)</f>
        <v>20.850146177701532</v>
      </c>
      <c r="E24" s="8" cm="1">
        <f t="array" aca="1" ref="E24" ca="1">[1]!UNIFORM_INV(RAND(),Sheet2!G$13-SQRT(3)*Sheet2!G$14,Sheet2!G$13+SQRT(3)*Sheet2!G$14)</f>
        <v>18.084511085099226</v>
      </c>
      <c r="F24" s="8" cm="1">
        <f t="array" aca="1" ref="F24" ca="1">[1]!UNIFORM_INV(RAND(),Sheet2!H$13-SQRT(3)*Sheet2!H$14,Sheet2!H$13+SQRT(3)*Sheet2!H$14)</f>
        <v>32.561830605921408</v>
      </c>
      <c r="G24" s="8" cm="1">
        <f t="array" aca="1" ref="G24" ca="1">[1]!UNIFORM_INV(RAND(),Sheet2!I$13-SQRT(3)*Sheet2!I$14,Sheet2!I$13+SQRT(3)*Sheet2!I$14)</f>
        <v>11.004144360023561</v>
      </c>
      <c r="H24" s="8" cm="1">
        <f t="array" aca="1" ref="H24" ca="1">[1]!UNIFORM_INV(RAND(),Sheet2!J$13-SQRT(3)*Sheet2!J$14,Sheet2!J$13+SQRT(3)*Sheet2!J$14)</f>
        <v>20.207163971360011</v>
      </c>
      <c r="I24" s="8" cm="1">
        <f t="array" aca="1" ref="I24" ca="1">[1]!UNIFORM_INV(RAND(),Sheet2!K$13-SQRT(3)*Sheet2!K$14,Sheet2!K$13+SQRT(3)*Sheet2!K$14)</f>
        <v>28.359317403170618</v>
      </c>
      <c r="J24" s="8" cm="1">
        <f t="array" aca="1" ref="J24" ca="1">[1]!UNIFORM_INV(RAND(),Sheet2!L$13-SQRT(3)*Sheet2!L$14,Sheet2!L$13+SQRT(3)*Sheet2!L$14)</f>
        <v>21.180857033160549</v>
      </c>
      <c r="K24" s="8" cm="1">
        <f t="array" aca="1" ref="K24" ca="1">[1]!UNIFORM_INV(RAND(),Sheet2!M$13-SQRT(3)*Sheet2!M$14,Sheet2!M$13+SQRT(3)*Sheet2!M$14)</f>
        <v>19.167652833286702</v>
      </c>
      <c r="L24" s="8" cm="1">
        <f t="array" aca="1" ref="L24" ca="1">[1]!UNIFORM_INV(RAND(),Sheet2!N$13-SQRT(3)*Sheet2!N$14,Sheet2!N$13+SQRT(3)*Sheet2!N$14)</f>
        <v>8.7395120979446759</v>
      </c>
      <c r="M24" s="8" cm="1">
        <f t="array" aca="1" ref="M24" ca="1">[1]!UNIFORM_INV(RAND(),Sheet2!O$13-SQRT(3)*Sheet2!O$14,Sheet2!O$13+SQRT(3)*Sheet2!O$14)</f>
        <v>5.1569416678729345</v>
      </c>
      <c r="N24" s="8" cm="1">
        <f t="array" aca="1" ref="N24" ca="1">[1]!UNIFORM_INV(RAND(),Sheet2!P$13-SQRT(3)*Sheet2!P$14,Sheet2!P$13+SQRT(3)*Sheet2!P$14)</f>
        <v>22.420436258623877</v>
      </c>
      <c r="O24" s="8" cm="1">
        <f t="array" aca="1" ref="O24" ca="1">[1]!UNIFORM_INV(RAND(),Sheet2!Q$13-SQRT(3)*Sheet2!Q$14,Sheet2!Q$13+SQRT(3)*Sheet2!Q$14)</f>
        <v>11.748653402770488</v>
      </c>
      <c r="P24" s="8" cm="1">
        <f t="array" aca="1" ref="P24" ca="1">[1]!UNIFORM_INV(RAND(),Sheet2!R$13-SQRT(3)*Sheet2!R$14,Sheet2!R$13+SQRT(3)*Sheet2!R$14)</f>
        <v>8.0986656981611649</v>
      </c>
      <c r="Q24" s="8" cm="1">
        <f t="array" aca="1" ref="Q24" ca="1">[1]!UNIFORM_INV(RAND(),Sheet2!S$13-SQRT(3)*Sheet2!S$14,Sheet2!S$13+SQRT(3)*Sheet2!S$14)</f>
        <v>2.7856889526096862</v>
      </c>
      <c r="R24" s="8" cm="1">
        <f t="array" aca="1" ref="R24" ca="1">[1]!UNIFORM_INV(RAND(),Sheet2!T$13-SQRT(3)*Sheet2!T$14,Sheet2!T$13+SQRT(3)*Sheet2!T$14)</f>
        <v>12.221156886826297</v>
      </c>
      <c r="S24" s="8" cm="1">
        <f t="array" aca="1" ref="S24" ca="1">[1]!UNIFORM_INV(RAND(),Sheet2!U$13-SQRT(3)*Sheet2!U$14,Sheet2!U$13+SQRT(3)*Sheet2!U$14)</f>
        <v>22.733149492314837</v>
      </c>
      <c r="T24" s="8" cm="1">
        <f t="array" aca="1" ref="T24" ca="1">[1]!UNIFORM_INV(RAND(),Sheet2!V$13-SQRT(3)*Sheet2!V$14,Sheet2!V$13+SQRT(3)*Sheet2!V$14)</f>
        <v>24.853136268788901</v>
      </c>
      <c r="U24" s="8" cm="1">
        <f t="array" aca="1" ref="U24" ca="1">[1]!UNIFORM_INV(RAND(),Sheet2!W$13-SQRT(3)*Sheet2!W$14,Sheet2!W$13+SQRT(3)*Sheet2!W$14)</f>
        <v>23.303679518960148</v>
      </c>
      <c r="V24" s="8" cm="1">
        <f t="array" aca="1" ref="V24" ca="1">[1]!UNIFORM_INV(RAND(),Sheet2!X$13-SQRT(3)*Sheet2!X$14,Sheet2!X$13+SQRT(3)*Sheet2!X$14)</f>
        <v>20.829560334447301</v>
      </c>
      <c r="W24" s="8" cm="1">
        <f t="array" aca="1" ref="W24" ca="1">[1]!UNIFORM_INV(RAND(),Sheet2!Y$13-SQRT(3)*Sheet2!Y$14,Sheet2!Y$13+SQRT(3)*Sheet2!Y$14)</f>
        <v>21.842711702178804</v>
      </c>
      <c r="X24" s="8" cm="1">
        <f t="array" aca="1" ref="X24" ca="1">[1]!UNIFORM_INV(RAND(),Sheet2!Z$13-SQRT(3)*Sheet2!Z$14,Sheet2!Z$13+SQRT(3)*Sheet2!Z$14)</f>
        <v>7.7219692647633096</v>
      </c>
      <c r="AX24" s="7">
        <f ca="1">Sheet2!C$13+('RNG HERE'!A24-'RNG HERE'!Y$2)*Sheet2!C$14/'RNG HERE'!Y$3</f>
        <v>3.3328181164421502</v>
      </c>
      <c r="AY24" s="7">
        <f ca="1">Sheet2!D$13+('RNG HERE'!B24-'RNG HERE'!Z$2)*Sheet2!D$14/'RNG HERE'!Z$3</f>
        <v>9.0070691850151334</v>
      </c>
      <c r="AZ24" s="7">
        <f ca="1">Sheet2!E$13+('RNG HERE'!C24-'RNG HERE'!AA$2)*Sheet2!E$14/'RNG HERE'!AA$3</f>
        <v>19.852030159919622</v>
      </c>
      <c r="BA24" s="7">
        <f ca="1">Sheet2!F$13+('RNG HERE'!D24-'RNG HERE'!AB$2)*Sheet2!F$14/'RNG HERE'!AB$3</f>
        <v>20.988410775244983</v>
      </c>
      <c r="BB24" s="7">
        <f ca="1">Sheet2!G$13+('RNG HERE'!E24-'RNG HERE'!AC$2)*Sheet2!G$14/'RNG HERE'!AC$3</f>
        <v>18.079810093064371</v>
      </c>
      <c r="BC24" s="7">
        <f ca="1">Sheet2!H$13+('RNG HERE'!F24-'RNG HERE'!AD$2)*Sheet2!H$14/'RNG HERE'!AD$3</f>
        <v>33.224684865938073</v>
      </c>
      <c r="BD24" s="7">
        <f ca="1">Sheet2!I$13+('RNG HERE'!G24-'RNG HERE'!AE$2)*Sheet2!I$14/'RNG HERE'!AE$3</f>
        <v>11.127820037608169</v>
      </c>
      <c r="BE24" s="7">
        <f ca="1">Sheet2!J$13+('RNG HERE'!H24-'RNG HERE'!AF$2)*Sheet2!J$14/'RNG HERE'!AF$3</f>
        <v>20.150167502668289</v>
      </c>
      <c r="BF24" s="7">
        <f ca="1">Sheet2!K$13+('RNG HERE'!I24-'RNG HERE'!AG$2)*Sheet2!K$14/'RNG HERE'!AG$3</f>
        <v>28.184099403451881</v>
      </c>
      <c r="BG24" s="7">
        <f ca="1">Sheet2!L$13+('RNG HERE'!J24-'RNG HERE'!AH$2)*Sheet2!L$14/'RNG HERE'!AH$3</f>
        <v>21.184800527730403</v>
      </c>
      <c r="BH24" s="7">
        <f ca="1">Sheet2!M$13+('RNG HERE'!K24-'RNG HERE'!AI$2)*Sheet2!M$14/'RNG HERE'!AI$3</f>
        <v>19.351440003851984</v>
      </c>
      <c r="BI24" s="7">
        <f ca="1">Sheet2!N$13+('RNG HERE'!L24-'RNG HERE'!AJ$2)*Sheet2!N$14/'RNG HERE'!AJ$3</f>
        <v>8.4277406917380837</v>
      </c>
      <c r="BJ24" s="7">
        <f ca="1">Sheet2!O$13+('RNG HERE'!M24-'RNG HERE'!AK$2)*Sheet2!O$14/'RNG HERE'!AK$3</f>
        <v>5.1117251006809603</v>
      </c>
      <c r="BK24" s="7">
        <f ca="1">Sheet2!P$13+('RNG HERE'!N24-'RNG HERE'!AL$2)*Sheet2!P$14/'RNG HERE'!AL$3</f>
        <v>22.325370588860586</v>
      </c>
      <c r="BL24" s="7">
        <f ca="1">Sheet2!Q$13+('RNG HERE'!O24-'RNG HERE'!AM$2)*Sheet2!Q$14/'RNG HERE'!AM$3</f>
        <v>12.024948739032357</v>
      </c>
      <c r="BM24" s="7">
        <f ca="1">Sheet2!R$13+('RNG HERE'!P24-'RNG HERE'!AN$2)*Sheet2!R$14/'RNG HERE'!AN$3</f>
        <v>8.0922817488102901</v>
      </c>
      <c r="BN24" s="7">
        <f ca="1">Sheet2!S$13+('RNG HERE'!Q24-'RNG HERE'!AO$2)*Sheet2!S$14/'RNG HERE'!AO$3</f>
        <v>2.9273569356701272</v>
      </c>
      <c r="BO24" s="7">
        <f ca="1">Sheet2!T$13+('RNG HERE'!R24-'RNG HERE'!AP$2)*Sheet2!T$14/'RNG HERE'!AP$3</f>
        <v>12.835514660314461</v>
      </c>
      <c r="BP24" s="7">
        <f ca="1">Sheet2!U$13+('RNG HERE'!S24-'RNG HERE'!AQ$2)*Sheet2!U$14/'RNG HERE'!AQ$3</f>
        <v>22.956415292698594</v>
      </c>
      <c r="BQ24" s="7">
        <f ca="1">Sheet2!V$13+('RNG HERE'!T24-'RNG HERE'!AR$2)*Sheet2!V$14/'RNG HERE'!AR$3</f>
        <v>24.420665040370878</v>
      </c>
      <c r="BR24" s="7">
        <f ca="1">Sheet2!W$13+('RNG HERE'!U24-'RNG HERE'!AS$2)*Sheet2!W$14/'RNG HERE'!AS$3</f>
        <v>23.352008589792263</v>
      </c>
      <c r="BS24" s="7">
        <f ca="1">Sheet2!X$13+('RNG HERE'!V24-'RNG HERE'!AT$2)*Sheet2!X$14/'RNG HERE'!AT$3</f>
        <v>20.891563415532815</v>
      </c>
      <c r="BT24" s="7">
        <f ca="1">Sheet2!Y$13+('RNG HERE'!W24-'RNG HERE'!AU$2)*Sheet2!Y$14/'RNG HERE'!AU$3</f>
        <v>21.534495851785483</v>
      </c>
      <c r="BU24" s="7" t="e">
        <f ca="1">Sheet2!Z$13+('RNG HERE'!X24-'RNG HERE'!AV$2)*Sheet2!Z$14/'RNG HERE'!AV$3</f>
        <v>#NAME?</v>
      </c>
    </row>
    <row r="25" spans="1:97" x14ac:dyDescent="0.3">
      <c r="A25" s="8" cm="1">
        <f t="array" aca="1" ref="A25" ca="1">[1]!UNIFORM_INV(RAND(),Sheet2!C$13-SQRT(3)*Sheet2!C$14,Sheet2!C$13+SQRT(3)*Sheet2!C$14)</f>
        <v>2.7237649713080661</v>
      </c>
      <c r="B25" s="8" cm="1">
        <f t="array" aca="1" ref="B25" ca="1">[1]!UNIFORM_INV(RAND(),Sheet2!D$13-SQRT(3)*Sheet2!D$14,Sheet2!D$13+SQRT(3)*Sheet2!D$14)</f>
        <v>4.5927874682502559</v>
      </c>
      <c r="C25" s="8" cm="1">
        <f t="array" aca="1" ref="C25" ca="1">[1]!UNIFORM_INV(RAND(),Sheet2!E$13-SQRT(3)*Sheet2!E$14,Sheet2!E$13+SQRT(3)*Sheet2!E$14)</f>
        <v>17.984720437733767</v>
      </c>
      <c r="D25" s="8" cm="1">
        <f t="array" aca="1" ref="D25" ca="1">[1]!UNIFORM_INV(RAND(),Sheet2!F$13-SQRT(3)*Sheet2!F$14,Sheet2!F$13+SQRT(3)*Sheet2!F$14)</f>
        <v>18.384364268552883</v>
      </c>
      <c r="E25" s="8" cm="1">
        <f t="array" aca="1" ref="E25" ca="1">[1]!UNIFORM_INV(RAND(),Sheet2!G$13-SQRT(3)*Sheet2!G$14,Sheet2!G$13+SQRT(3)*Sheet2!G$14)</f>
        <v>19.186991987807339</v>
      </c>
      <c r="F25" s="8" cm="1">
        <f t="array" aca="1" ref="F25" ca="1">[1]!UNIFORM_INV(RAND(),Sheet2!H$13-SQRT(3)*Sheet2!H$14,Sheet2!H$13+SQRT(3)*Sheet2!H$14)</f>
        <v>26.920268252009084</v>
      </c>
      <c r="G25" s="8" cm="1">
        <f t="array" aca="1" ref="G25" ca="1">[1]!UNIFORM_INV(RAND(),Sheet2!I$13-SQRT(3)*Sheet2!I$14,Sheet2!I$13+SQRT(3)*Sheet2!I$14)</f>
        <v>10.925104466876826</v>
      </c>
      <c r="H25" s="8" cm="1">
        <f t="array" aca="1" ref="H25" ca="1">[1]!UNIFORM_INV(RAND(),Sheet2!J$13-SQRT(3)*Sheet2!J$14,Sheet2!J$13+SQRT(3)*Sheet2!J$14)</f>
        <v>20.016490353978643</v>
      </c>
      <c r="I25" s="8" cm="1">
        <f t="array" aca="1" ref="I25" ca="1">[1]!UNIFORM_INV(RAND(),Sheet2!K$13-SQRT(3)*Sheet2!K$14,Sheet2!K$13+SQRT(3)*Sheet2!K$14)</f>
        <v>30.531874739885026</v>
      </c>
      <c r="J25" s="8" cm="1">
        <f t="array" aca="1" ref="J25" ca="1">[1]!UNIFORM_INV(RAND(),Sheet2!L$13-SQRT(3)*Sheet2!L$14,Sheet2!L$13+SQRT(3)*Sheet2!L$14)</f>
        <v>18.724155881243046</v>
      </c>
      <c r="K25" s="8" cm="1">
        <f t="array" aca="1" ref="K25" ca="1">[1]!UNIFORM_INV(RAND(),Sheet2!M$13-SQRT(3)*Sheet2!M$14,Sheet2!M$13+SQRT(3)*Sheet2!M$14)</f>
        <v>20.392362482710105</v>
      </c>
      <c r="L25" s="8" cm="1">
        <f t="array" aca="1" ref="L25" ca="1">[1]!UNIFORM_INV(RAND(),Sheet2!N$13-SQRT(3)*Sheet2!N$14,Sheet2!N$13+SQRT(3)*Sheet2!N$14)</f>
        <v>7.9449298120772953</v>
      </c>
      <c r="M25" s="8" cm="1">
        <f t="array" aca="1" ref="M25" ca="1">[1]!UNIFORM_INV(RAND(),Sheet2!O$13-SQRT(3)*Sheet2!O$14,Sheet2!O$13+SQRT(3)*Sheet2!O$14)</f>
        <v>4.5053067417809194</v>
      </c>
      <c r="N25" s="8" cm="1">
        <f t="array" aca="1" ref="N25" ca="1">[1]!UNIFORM_INV(RAND(),Sheet2!P$13-SQRT(3)*Sheet2!P$14,Sheet2!P$13+SQRT(3)*Sheet2!P$14)</f>
        <v>23.390125991531484</v>
      </c>
      <c r="O25" s="8" cm="1">
        <f t="array" aca="1" ref="O25" ca="1">[1]!UNIFORM_INV(RAND(),Sheet2!Q$13-SQRT(3)*Sheet2!Q$14,Sheet2!Q$13+SQRT(3)*Sheet2!Q$14)</f>
        <v>14.656734491596559</v>
      </c>
      <c r="P25" s="8" cm="1">
        <f t="array" aca="1" ref="P25" ca="1">[1]!UNIFORM_INV(RAND(),Sheet2!R$13-SQRT(3)*Sheet2!R$14,Sheet2!R$13+SQRT(3)*Sheet2!R$14)</f>
        <v>9.031468116570716</v>
      </c>
      <c r="Q25" s="8" cm="1">
        <f t="array" aca="1" ref="Q25" ca="1">[1]!UNIFORM_INV(RAND(),Sheet2!S$13-SQRT(3)*Sheet2!S$14,Sheet2!S$13+SQRT(3)*Sheet2!S$14)</f>
        <v>3.6357080054719639</v>
      </c>
      <c r="R25" s="8" cm="1">
        <f t="array" aca="1" ref="R25" ca="1">[1]!UNIFORM_INV(RAND(),Sheet2!T$13-SQRT(3)*Sheet2!T$14,Sheet2!T$13+SQRT(3)*Sheet2!T$14)</f>
        <v>11.303983990480971</v>
      </c>
      <c r="S25" s="8" cm="1">
        <f t="array" aca="1" ref="S25" ca="1">[1]!UNIFORM_INV(RAND(),Sheet2!U$13-SQRT(3)*Sheet2!U$14,Sheet2!U$13+SQRT(3)*Sheet2!U$14)</f>
        <v>23.041602566978789</v>
      </c>
      <c r="T25" s="8" cm="1">
        <f t="array" aca="1" ref="T25" ca="1">[1]!UNIFORM_INV(RAND(),Sheet2!V$13-SQRT(3)*Sheet2!V$14,Sheet2!V$13+SQRT(3)*Sheet2!V$14)</f>
        <v>23.125148571627083</v>
      </c>
      <c r="U25" s="8" cm="1">
        <f t="array" aca="1" ref="U25" ca="1">[1]!UNIFORM_INV(RAND(),Sheet2!W$13-SQRT(3)*Sheet2!W$14,Sheet2!W$13+SQRT(3)*Sheet2!W$14)</f>
        <v>22.811347103511082</v>
      </c>
      <c r="V25" s="8" cm="1">
        <f t="array" aca="1" ref="V25" ca="1">[1]!UNIFORM_INV(RAND(),Sheet2!X$13-SQRT(3)*Sheet2!X$14,Sheet2!X$13+SQRT(3)*Sheet2!X$14)</f>
        <v>21.176426810464744</v>
      </c>
      <c r="W25" s="8" cm="1">
        <f t="array" aca="1" ref="W25" ca="1">[1]!UNIFORM_INV(RAND(),Sheet2!Y$13-SQRT(3)*Sheet2!Y$14,Sheet2!Y$13+SQRT(3)*Sheet2!Y$14)</f>
        <v>23.382279327850146</v>
      </c>
      <c r="X25" s="8" cm="1">
        <f t="array" aca="1" ref="X25" ca="1">[1]!UNIFORM_INV(RAND(),Sheet2!Z$13-SQRT(3)*Sheet2!Z$14,Sheet2!Z$13+SQRT(3)*Sheet2!Z$14)</f>
        <v>8.7913241901023405</v>
      </c>
      <c r="AX25" s="7">
        <f ca="1">Sheet2!C$13+('RNG HERE'!A25-'RNG HERE'!Y$2)*Sheet2!C$14/'RNG HERE'!Y$3</f>
        <v>2.7031847288099082</v>
      </c>
      <c r="AY25" s="7">
        <f ca="1">Sheet2!D$13+('RNG HERE'!B25-'RNG HERE'!Z$2)*Sheet2!D$14/'RNG HERE'!Z$3</f>
        <v>4.4234469124772691</v>
      </c>
      <c r="AZ25" s="7">
        <f ca="1">Sheet2!E$13+('RNG HERE'!C25-'RNG HERE'!AA$2)*Sheet2!E$14/'RNG HERE'!AA$3</f>
        <v>18.178449445310395</v>
      </c>
      <c r="BA25" s="7">
        <f ca="1">Sheet2!F$13+('RNG HERE'!D25-'RNG HERE'!AB$2)*Sheet2!F$14/'RNG HERE'!AB$3</f>
        <v>18.165574985942953</v>
      </c>
      <c r="BB25" s="7">
        <f ca="1">Sheet2!G$13+('RNG HERE'!E25-'RNG HERE'!AC$2)*Sheet2!G$14/'RNG HERE'!AC$3</f>
        <v>19.215790021755854</v>
      </c>
      <c r="BC25" s="7">
        <f ca="1">Sheet2!H$13+('RNG HERE'!F25-'RNG HERE'!AD$2)*Sheet2!H$14/'RNG HERE'!AD$3</f>
        <v>27.368004146688097</v>
      </c>
      <c r="BD25" s="7">
        <f ca="1">Sheet2!I$13+('RNG HERE'!G25-'RNG HERE'!AE$2)*Sheet2!I$14/'RNG HERE'!AE$3</f>
        <v>11.053602994727012</v>
      </c>
      <c r="BE25" s="7">
        <f ca="1">Sheet2!J$13+('RNG HERE'!H25-'RNG HERE'!AF$2)*Sheet2!J$14/'RNG HERE'!AF$3</f>
        <v>19.942539497312492</v>
      </c>
      <c r="BF25" s="7">
        <f ca="1">Sheet2!K$13+('RNG HERE'!I25-'RNG HERE'!AG$2)*Sheet2!K$14/'RNG HERE'!AG$3</f>
        <v>30.153539387716588</v>
      </c>
      <c r="BG25" s="7">
        <f ca="1">Sheet2!L$13+('RNG HERE'!J25-'RNG HERE'!AH$2)*Sheet2!L$14/'RNG HERE'!AH$3</f>
        <v>18.606741904257944</v>
      </c>
      <c r="BH25" s="7">
        <f ca="1">Sheet2!M$13+('RNG HERE'!K25-'RNG HERE'!AI$2)*Sheet2!M$14/'RNG HERE'!AI$3</f>
        <v>20.562956591635192</v>
      </c>
      <c r="BI25" s="7">
        <f ca="1">Sheet2!N$13+('RNG HERE'!L25-'RNG HERE'!AJ$2)*Sheet2!N$14/'RNG HERE'!AJ$3</f>
        <v>7.575801315632515</v>
      </c>
      <c r="BJ25" s="7">
        <f ca="1">Sheet2!O$13+('RNG HERE'!M25-'RNG HERE'!AK$2)*Sheet2!O$14/'RNG HERE'!AK$3</f>
        <v>4.4118111136293372</v>
      </c>
      <c r="BK25" s="7">
        <f ca="1">Sheet2!P$13+('RNG HERE'!N25-'RNG HERE'!AL$2)*Sheet2!P$14/'RNG HERE'!AL$3</f>
        <v>23.358553455658999</v>
      </c>
      <c r="BL25" s="7">
        <f ca="1">Sheet2!Q$13+('RNG HERE'!O25-'RNG HERE'!AM$2)*Sheet2!Q$14/'RNG HERE'!AM$3</f>
        <v>14.732413690440898</v>
      </c>
      <c r="BM25" s="7">
        <f ca="1">Sheet2!R$13+('RNG HERE'!P25-'RNG HERE'!AN$2)*Sheet2!R$14/'RNG HERE'!AN$3</f>
        <v>9.0797750928356322</v>
      </c>
      <c r="BN25" s="7">
        <f ca="1">Sheet2!S$13+('RNG HERE'!Q25-'RNG HERE'!AO$2)*Sheet2!S$14/'RNG HERE'!AO$3</f>
        <v>3.6937429931621311</v>
      </c>
      <c r="BO25" s="7">
        <f ca="1">Sheet2!T$13+('RNG HERE'!R25-'RNG HERE'!AP$2)*Sheet2!T$14/'RNG HERE'!AP$3</f>
        <v>11.716144884859835</v>
      </c>
      <c r="BP25" s="7">
        <f ca="1">Sheet2!U$13+('RNG HERE'!S25-'RNG HERE'!AQ$2)*Sheet2!U$14/'RNG HERE'!AQ$3</f>
        <v>23.255486009858991</v>
      </c>
      <c r="BQ25" s="7">
        <f ca="1">Sheet2!V$13+('RNG HERE'!T25-'RNG HERE'!AR$2)*Sheet2!V$14/'RNG HERE'!AR$3</f>
        <v>22.56896690501511</v>
      </c>
      <c r="BR25" s="7">
        <f ca="1">Sheet2!W$13+('RNG HERE'!U25-'RNG HERE'!AS$2)*Sheet2!W$14/'RNG HERE'!AS$3</f>
        <v>22.860533285702324</v>
      </c>
      <c r="BS25" s="7">
        <f ca="1">Sheet2!X$13+('RNG HERE'!V25-'RNG HERE'!AT$2)*Sheet2!X$14/'RNG HERE'!AT$3</f>
        <v>21.310511041852358</v>
      </c>
      <c r="BT25" s="7">
        <f ca="1">Sheet2!Y$13+('RNG HERE'!W25-'RNG HERE'!AU$2)*Sheet2!Y$14/'RNG HERE'!AU$3</f>
        <v>23.168301093317108</v>
      </c>
      <c r="BU25" s="7" t="e">
        <f ca="1">Sheet2!Z$13+('RNG HERE'!X25-'RNG HERE'!AV$2)*Sheet2!Z$14/'RNG HERE'!AV$3</f>
        <v>#NAME?</v>
      </c>
    </row>
    <row r="26" spans="1:97" x14ac:dyDescent="0.3">
      <c r="A26" s="8" cm="1">
        <f t="array" aca="1" ref="A26" ca="1">[1]!UNIFORM_INV(RAND(),Sheet2!C$13-SQRT(3)*Sheet2!C$14,Sheet2!C$13+SQRT(3)*Sheet2!C$14)</f>
        <v>3.7827750325805005</v>
      </c>
      <c r="B26" s="8" cm="1">
        <f t="array" aca="1" ref="B26" ca="1">[1]!UNIFORM_INV(RAND(),Sheet2!D$13-SQRT(3)*Sheet2!D$14,Sheet2!D$13+SQRT(3)*Sheet2!D$14)</f>
        <v>6.4630940921421161</v>
      </c>
      <c r="C26" s="8" cm="1">
        <f t="array" aca="1" ref="C26" ca="1">[1]!UNIFORM_INV(RAND(),Sheet2!E$13-SQRT(3)*Sheet2!E$14,Sheet2!E$13+SQRT(3)*Sheet2!E$14)</f>
        <v>16.836175012900913</v>
      </c>
      <c r="D26" s="8" cm="1">
        <f t="array" aca="1" ref="D26" ca="1">[1]!UNIFORM_INV(RAND(),Sheet2!F$13-SQRT(3)*Sheet2!F$14,Sheet2!F$13+SQRT(3)*Sheet2!F$14)</f>
        <v>19.963082019043366</v>
      </c>
      <c r="E26" s="8" cm="1">
        <f t="array" aca="1" ref="E26" ca="1">[1]!UNIFORM_INV(RAND(),Sheet2!G$13-SQRT(3)*Sheet2!G$14,Sheet2!G$13+SQRT(3)*Sheet2!G$14)</f>
        <v>19.602301753368284</v>
      </c>
      <c r="F26" s="8" cm="1">
        <f t="array" aca="1" ref="F26" ca="1">[1]!UNIFORM_INV(RAND(),Sheet2!H$13-SQRT(3)*Sheet2!H$14,Sheet2!H$13+SQRT(3)*Sheet2!H$14)</f>
        <v>28.756489997341788</v>
      </c>
      <c r="G26" s="8" cm="1">
        <f t="array" aca="1" ref="G26" ca="1">[1]!UNIFORM_INV(RAND(),Sheet2!I$13-SQRT(3)*Sheet2!I$14,Sheet2!I$13+SQRT(3)*Sheet2!I$14)</f>
        <v>12.574353187819783</v>
      </c>
      <c r="H26" s="8" cm="1">
        <f t="array" aca="1" ref="H26" ca="1">[1]!UNIFORM_INV(RAND(),Sheet2!J$13-SQRT(3)*Sheet2!J$14,Sheet2!J$13+SQRT(3)*Sheet2!J$14)</f>
        <v>19.582642600971297</v>
      </c>
      <c r="I26" s="8" cm="1">
        <f t="array" aca="1" ref="I26" ca="1">[1]!UNIFORM_INV(RAND(),Sheet2!K$13-SQRT(3)*Sheet2!K$14,Sheet2!K$13+SQRT(3)*Sheet2!K$14)</f>
        <v>29.662471030077839</v>
      </c>
      <c r="J26" s="8" cm="1">
        <f t="array" aca="1" ref="J26" ca="1">[1]!UNIFORM_INV(RAND(),Sheet2!L$13-SQRT(3)*Sheet2!L$14,Sheet2!L$13+SQRT(3)*Sheet2!L$14)</f>
        <v>19.094042994282976</v>
      </c>
      <c r="K26" s="8" cm="1">
        <f t="array" aca="1" ref="K26" ca="1">[1]!UNIFORM_INV(RAND(),Sheet2!M$13-SQRT(3)*Sheet2!M$14,Sheet2!M$13+SQRT(3)*Sheet2!M$14)</f>
        <v>19.373021585097973</v>
      </c>
      <c r="L26" s="8" cm="1">
        <f t="array" aca="1" ref="L26" ca="1">[1]!UNIFORM_INV(RAND(),Sheet2!N$13-SQRT(3)*Sheet2!N$14,Sheet2!N$13+SQRT(3)*Sheet2!N$14)</f>
        <v>7.1166358927166806</v>
      </c>
      <c r="M26" s="8" cm="1">
        <f t="array" aca="1" ref="M26" ca="1">[1]!UNIFORM_INV(RAND(),Sheet2!O$13-SQRT(3)*Sheet2!O$14,Sheet2!O$13+SQRT(3)*Sheet2!O$14)</f>
        <v>4.6777519528332157</v>
      </c>
      <c r="N26" s="8" cm="1">
        <f t="array" aca="1" ref="N26" ca="1">[1]!UNIFORM_INV(RAND(),Sheet2!P$13-SQRT(3)*Sheet2!P$14,Sheet2!P$13+SQRT(3)*Sheet2!P$14)</f>
        <v>22.85840464666996</v>
      </c>
      <c r="O26" s="8" cm="1">
        <f t="array" aca="1" ref="O26" ca="1">[1]!UNIFORM_INV(RAND(),Sheet2!Q$13-SQRT(3)*Sheet2!Q$14,Sheet2!Q$13+SQRT(3)*Sheet2!Q$14)</f>
        <v>13.380108962372134</v>
      </c>
      <c r="P26" s="8" cm="1">
        <f t="array" aca="1" ref="P26" ca="1">[1]!UNIFORM_INV(RAND(),Sheet2!R$13-SQRT(3)*Sheet2!R$14,Sheet2!R$13+SQRT(3)*Sheet2!R$14)</f>
        <v>9.7270987431699112</v>
      </c>
      <c r="Q26" s="8" cm="1">
        <f t="array" aca="1" ref="Q26" ca="1">[1]!UNIFORM_INV(RAND(),Sheet2!S$13-SQRT(3)*Sheet2!S$14,Sheet2!S$13+SQRT(3)*Sheet2!S$14)</f>
        <v>2.6332362069146802</v>
      </c>
      <c r="R26" s="8" cm="1">
        <f t="array" aca="1" ref="R26" ca="1">[1]!UNIFORM_INV(RAND(),Sheet2!T$13-SQRT(3)*Sheet2!T$14,Sheet2!T$13+SQRT(3)*Sheet2!T$14)</f>
        <v>11.543485934018904</v>
      </c>
      <c r="S26" s="8" cm="1">
        <f t="array" aca="1" ref="S26" ca="1">[1]!UNIFORM_INV(RAND(),Sheet2!U$13-SQRT(3)*Sheet2!U$14,Sheet2!U$13+SQRT(3)*Sheet2!U$14)</f>
        <v>21.858078468659141</v>
      </c>
      <c r="T26" s="8" cm="1">
        <f t="array" aca="1" ref="T26" ca="1">[1]!UNIFORM_INV(RAND(),Sheet2!V$13-SQRT(3)*Sheet2!V$14,Sheet2!V$13+SQRT(3)*Sheet2!V$14)</f>
        <v>24.661588000023638</v>
      </c>
      <c r="U26" s="8" cm="1">
        <f t="array" aca="1" ref="U26" ca="1">[1]!UNIFORM_INV(RAND(),Sheet2!W$13-SQRT(3)*Sheet2!W$14,Sheet2!W$13+SQRT(3)*Sheet2!W$14)</f>
        <v>25.749379921210753</v>
      </c>
      <c r="V26" s="8" cm="1">
        <f t="array" aca="1" ref="V26" ca="1">[1]!UNIFORM_INV(RAND(),Sheet2!X$13-SQRT(3)*Sheet2!X$14,Sheet2!X$13+SQRT(3)*Sheet2!X$14)</f>
        <v>21.658185520350248</v>
      </c>
      <c r="W26" s="8" cm="1">
        <f t="array" aca="1" ref="W26" ca="1">[1]!UNIFORM_INV(RAND(),Sheet2!Y$13-SQRT(3)*Sheet2!Y$14,Sheet2!Y$13+SQRT(3)*Sheet2!Y$14)</f>
        <v>22.274158874512615</v>
      </c>
      <c r="X26" s="8" cm="1">
        <f t="array" aca="1" ref="X26" ca="1">[1]!UNIFORM_INV(RAND(),Sheet2!Z$13-SQRT(3)*Sheet2!Z$14,Sheet2!Z$13+SQRT(3)*Sheet2!Z$14)</f>
        <v>8.7253503812139765</v>
      </c>
      <c r="AX26" s="7">
        <f ca="1">Sheet2!C$13+('RNG HERE'!A26-'RNG HERE'!Y$2)*Sheet2!C$14/'RNG HERE'!Y$3</f>
        <v>3.7416881656175001</v>
      </c>
      <c r="AY26" s="7">
        <f ca="1">Sheet2!D$13+('RNG HERE'!B26-'RNG HERE'!Z$2)*Sheet2!D$14/'RNG HERE'!Z$3</f>
        <v>6.2890396489922225</v>
      </c>
      <c r="AZ26" s="7">
        <f ca="1">Sheet2!E$13+('RNG HERE'!C26-'RNG HERE'!AA$2)*Sheet2!E$14/'RNG HERE'!AA$3</f>
        <v>16.911359605138344</v>
      </c>
      <c r="BA26" s="7">
        <f ca="1">Sheet2!F$13+('RNG HERE'!D26-'RNG HERE'!AB$2)*Sheet2!F$14/'RNG HERE'!AB$3</f>
        <v>19.972896611086025</v>
      </c>
      <c r="BB26" s="7">
        <f ca="1">Sheet2!G$13+('RNG HERE'!E26-'RNG HERE'!AC$2)*Sheet2!G$14/'RNG HERE'!AC$3</f>
        <v>19.643719028696403</v>
      </c>
      <c r="BC26" s="7">
        <f ca="1">Sheet2!H$13+('RNG HERE'!F26-'RNG HERE'!AD$2)*Sheet2!H$14/'RNG HERE'!AD$3</f>
        <v>29.274242847515318</v>
      </c>
      <c r="BD26" s="7">
        <f ca="1">Sheet2!I$13+('RNG HERE'!G26-'RNG HERE'!AE$2)*Sheet2!I$14/'RNG HERE'!AE$3</f>
        <v>12.602217981043873</v>
      </c>
      <c r="BE26" s="7">
        <f ca="1">Sheet2!J$13+('RNG HERE'!H26-'RNG HERE'!AF$2)*Sheet2!J$14/'RNG HERE'!AF$3</f>
        <v>19.470114707652982</v>
      </c>
      <c r="BF26" s="7">
        <f ca="1">Sheet2!K$13+('RNG HERE'!I26-'RNG HERE'!AG$2)*Sheet2!K$14/'RNG HERE'!AG$3</f>
        <v>29.365418218425933</v>
      </c>
      <c r="BG26" s="7">
        <f ca="1">Sheet2!L$13+('RNG HERE'!J26-'RNG HERE'!AH$2)*Sheet2!L$14/'RNG HERE'!AH$3</f>
        <v>18.994900903874004</v>
      </c>
      <c r="BH26" s="7">
        <f ca="1">Sheet2!M$13+('RNG HERE'!K26-'RNG HERE'!AI$2)*Sheet2!M$14/'RNG HERE'!AI$3</f>
        <v>19.554596441419719</v>
      </c>
      <c r="BI26" s="7">
        <f ca="1">Sheet2!N$13+('RNG HERE'!L26-'RNG HERE'!AJ$2)*Sheet2!N$14/'RNG HERE'!AJ$3</f>
        <v>6.6877168246451388</v>
      </c>
      <c r="BJ26" s="7">
        <f ca="1">Sheet2!O$13+('RNG HERE'!M26-'RNG HERE'!AK$2)*Sheet2!O$14/'RNG HERE'!AK$3</f>
        <v>4.5970326393376268</v>
      </c>
      <c r="BK26" s="7">
        <f ca="1">Sheet2!P$13+('RNG HERE'!N26-'RNG HERE'!AL$2)*Sheet2!P$14/'RNG HERE'!AL$3</f>
        <v>22.792016175971952</v>
      </c>
      <c r="BL26" s="7">
        <f ca="1">Sheet2!Q$13+('RNG HERE'!O26-'RNG HERE'!AM$2)*Sheet2!Q$14/'RNG HERE'!AM$3</f>
        <v>13.543857123112236</v>
      </c>
      <c r="BM26" s="7">
        <f ca="1">Sheet2!R$13+('RNG HERE'!P26-'RNG HERE'!AN$2)*Sheet2!R$14/'RNG HERE'!AN$3</f>
        <v>9.8161910798761856</v>
      </c>
      <c r="BN26" s="7">
        <f ca="1">Sheet2!S$13+('RNG HERE'!Q26-'RNG HERE'!AO$2)*Sheet2!S$14/'RNG HERE'!AO$3</f>
        <v>2.7899039476063914</v>
      </c>
      <c r="BO26" s="7">
        <f ca="1">Sheet2!T$13+('RNG HERE'!R26-'RNG HERE'!AP$2)*Sheet2!T$14/'RNG HERE'!AP$3</f>
        <v>12.008446628432143</v>
      </c>
      <c r="BP26" s="7">
        <f ca="1">Sheet2!U$13+('RNG HERE'!S26-'RNG HERE'!AQ$2)*Sheet2!U$14/'RNG HERE'!AQ$3</f>
        <v>22.107961702485202</v>
      </c>
      <c r="BQ26" s="7">
        <f ca="1">Sheet2!V$13+('RNG HERE'!T26-'RNG HERE'!AR$2)*Sheet2!V$14/'RNG HERE'!AR$3</f>
        <v>24.215403409928815</v>
      </c>
      <c r="BR26" s="7">
        <f ca="1">Sheet2!W$13+('RNG HERE'!U26-'RNG HERE'!AS$2)*Sheet2!W$14/'RNG HERE'!AS$3</f>
        <v>25.793451223246802</v>
      </c>
      <c r="BS26" s="7">
        <f ca="1">Sheet2!X$13+('RNG HERE'!V26-'RNG HERE'!AT$2)*Sheet2!X$14/'RNG HERE'!AT$3</f>
        <v>21.892382401352517</v>
      </c>
      <c r="BT26" s="7">
        <f ca="1">Sheet2!Y$13+('RNG HERE'!W26-'RNG HERE'!AU$2)*Sheet2!Y$14/'RNG HERE'!AU$3</f>
        <v>21.992352096518871</v>
      </c>
      <c r="BU26" s="7" t="e">
        <f ca="1">Sheet2!Z$13+('RNG HERE'!X26-'RNG HERE'!AV$2)*Sheet2!Z$14/'RNG HERE'!AV$3</f>
        <v>#NAME?</v>
      </c>
    </row>
    <row r="27" spans="1:97" x14ac:dyDescent="0.3">
      <c r="A27" s="8" cm="1">
        <f t="array" aca="1" ref="A27" ca="1">[1]!UNIFORM_INV(RAND(),Sheet2!C$13-SQRT(3)*Sheet2!C$14,Sheet2!C$13+SQRT(3)*Sheet2!C$14)</f>
        <v>3.3720615886978478</v>
      </c>
      <c r="B27" s="8" cm="1">
        <f t="array" aca="1" ref="B27" ca="1">[1]!UNIFORM_INV(RAND(),Sheet2!D$13-SQRT(3)*Sheet2!D$14,Sheet2!D$13+SQRT(3)*Sheet2!D$14)</f>
        <v>7.1823852922600881</v>
      </c>
      <c r="C27" s="8" cm="1">
        <f t="array" aca="1" ref="C27" ca="1">[1]!UNIFORM_INV(RAND(),Sheet2!E$13-SQRT(3)*Sheet2!E$14,Sheet2!E$13+SQRT(3)*Sheet2!E$14)</f>
        <v>19.405050002140076</v>
      </c>
      <c r="D27" s="8" cm="1">
        <f t="array" aca="1" ref="D27" ca="1">[1]!UNIFORM_INV(RAND(),Sheet2!F$13-SQRT(3)*Sheet2!F$14,Sheet2!F$13+SQRT(3)*Sheet2!F$14)</f>
        <v>19.123447323824262</v>
      </c>
      <c r="E27" s="8" cm="1">
        <f t="array" aca="1" ref="E27" ca="1">[1]!UNIFORM_INV(RAND(),Sheet2!G$13-SQRT(3)*Sheet2!G$14,Sheet2!G$13+SQRT(3)*Sheet2!G$14)</f>
        <v>22.147821316048766</v>
      </c>
      <c r="F27" s="8" cm="1">
        <f t="array" aca="1" ref="F27" ca="1">[1]!UNIFORM_INV(RAND(),Sheet2!H$13-SQRT(3)*Sheet2!H$14,Sheet2!H$13+SQRT(3)*Sheet2!H$14)</f>
        <v>26.47108726222277</v>
      </c>
      <c r="G27" s="8" cm="1">
        <f t="array" aca="1" ref="G27" ca="1">[1]!UNIFORM_INV(RAND(),Sheet2!I$13-SQRT(3)*Sheet2!I$14,Sheet2!I$13+SQRT(3)*Sheet2!I$14)</f>
        <v>12.476783831484116</v>
      </c>
      <c r="H27" s="8" cm="1">
        <f t="array" aca="1" ref="H27" ca="1">[1]!UNIFORM_INV(RAND(),Sheet2!J$13-SQRT(3)*Sheet2!J$14,Sheet2!J$13+SQRT(3)*Sheet2!J$14)</f>
        <v>19.165412873838591</v>
      </c>
      <c r="I27" s="8" cm="1">
        <f t="array" aca="1" ref="I27" ca="1">[1]!UNIFORM_INV(RAND(),Sheet2!K$13-SQRT(3)*Sheet2!K$14,Sheet2!K$13+SQRT(3)*Sheet2!K$14)</f>
        <v>27.122872272219208</v>
      </c>
      <c r="J27" s="8" cm="1">
        <f t="array" aca="1" ref="J27" ca="1">[1]!UNIFORM_INV(RAND(),Sheet2!L$13-SQRT(3)*Sheet2!L$14,Sheet2!L$13+SQRT(3)*Sheet2!L$14)</f>
        <v>21.48814112067954</v>
      </c>
      <c r="K27" s="8" cm="1">
        <f t="array" aca="1" ref="K27" ca="1">[1]!UNIFORM_INV(RAND(),Sheet2!M$13-SQRT(3)*Sheet2!M$14,Sheet2!M$13+SQRT(3)*Sheet2!M$14)</f>
        <v>20.821315507801028</v>
      </c>
      <c r="L27" s="8" cm="1">
        <f t="array" aca="1" ref="L27" ca="1">[1]!UNIFORM_INV(RAND(),Sheet2!N$13-SQRT(3)*Sheet2!N$14,Sheet2!N$13+SQRT(3)*Sheet2!N$14)</f>
        <v>9.317448645174494</v>
      </c>
      <c r="M27" s="8" cm="1">
        <f t="array" aca="1" ref="M27" ca="1">[1]!UNIFORM_INV(RAND(),Sheet2!O$13-SQRT(3)*Sheet2!O$14,Sheet2!O$13+SQRT(3)*Sheet2!O$14)</f>
        <v>7.6093852029238196</v>
      </c>
      <c r="N27" s="8" cm="1">
        <f t="array" aca="1" ref="N27" ca="1">[1]!UNIFORM_INV(RAND(),Sheet2!P$13-SQRT(3)*Sheet2!P$14,Sheet2!P$13+SQRT(3)*Sheet2!P$14)</f>
        <v>22.772980443333299</v>
      </c>
      <c r="O27" s="8" cm="1">
        <f t="array" aca="1" ref="O27" ca="1">[1]!UNIFORM_INV(RAND(),Sheet2!Q$13-SQRT(3)*Sheet2!Q$14,Sheet2!Q$13+SQRT(3)*Sheet2!Q$14)</f>
        <v>11.156450393024002</v>
      </c>
      <c r="P27" s="8" cm="1">
        <f t="array" aca="1" ref="P27" ca="1">[1]!UNIFORM_INV(RAND(),Sheet2!R$13-SQRT(3)*Sheet2!R$14,Sheet2!R$13+SQRT(3)*Sheet2!R$14)</f>
        <v>9.7312018273513257</v>
      </c>
      <c r="Q27" s="8" cm="1">
        <f t="array" aca="1" ref="Q27" ca="1">[1]!UNIFORM_INV(RAND(),Sheet2!S$13-SQRT(3)*Sheet2!S$14,Sheet2!S$13+SQRT(3)*Sheet2!S$14)</f>
        <v>3.4300119067769117</v>
      </c>
      <c r="R27" s="8" cm="1">
        <f t="array" aca="1" ref="R27" ca="1">[1]!UNIFORM_INV(RAND(),Sheet2!T$13-SQRT(3)*Sheet2!T$14,Sheet2!T$13+SQRT(3)*Sheet2!T$14)</f>
        <v>13.882616911023515</v>
      </c>
      <c r="S27" s="8" cm="1">
        <f t="array" aca="1" ref="S27" ca="1">[1]!UNIFORM_INV(RAND(),Sheet2!U$13-SQRT(3)*Sheet2!U$14,Sheet2!U$13+SQRT(3)*Sheet2!U$14)</f>
        <v>22.035146802262492</v>
      </c>
      <c r="T27" s="8" cm="1">
        <f t="array" aca="1" ref="T27" ca="1">[1]!UNIFORM_INV(RAND(),Sheet2!V$13-SQRT(3)*Sheet2!V$14,Sheet2!V$13+SQRT(3)*Sheet2!V$14)</f>
        <v>26.002725223626381</v>
      </c>
      <c r="U27" s="8" cm="1">
        <f t="array" aca="1" ref="U27" ca="1">[1]!UNIFORM_INV(RAND(),Sheet2!W$13-SQRT(3)*Sheet2!W$14,Sheet2!W$13+SQRT(3)*Sheet2!W$14)</f>
        <v>24.050834548801415</v>
      </c>
      <c r="V27" s="8" cm="1">
        <f t="array" aca="1" ref="V27" ca="1">[1]!UNIFORM_INV(RAND(),Sheet2!X$13-SQRT(3)*Sheet2!X$14,Sheet2!X$13+SQRT(3)*Sheet2!X$14)</f>
        <v>21.48247208476014</v>
      </c>
      <c r="W27" s="8" cm="1">
        <f t="array" aca="1" ref="W27" ca="1">[1]!UNIFORM_INV(RAND(),Sheet2!Y$13-SQRT(3)*Sheet2!Y$14,Sheet2!Y$13+SQRT(3)*Sheet2!Y$14)</f>
        <v>21.896533830611151</v>
      </c>
      <c r="X27" s="8" cm="1">
        <f t="array" aca="1" ref="X27" ca="1">[1]!UNIFORM_INV(RAND(),Sheet2!Z$13-SQRT(3)*Sheet2!Z$14,Sheet2!Z$13+SQRT(3)*Sheet2!Z$14)</f>
        <v>7.3437663856498423</v>
      </c>
      <c r="AX27" s="7">
        <f ca="1">Sheet2!C$13+('RNG HERE'!A27-'RNG HERE'!Y$2)*Sheet2!C$14/'RNG HERE'!Y$3</f>
        <v>3.338927758881864</v>
      </c>
      <c r="AY27" s="7">
        <f ca="1">Sheet2!D$13+('RNG HERE'!B27-'RNG HERE'!Z$2)*Sheet2!D$14/'RNG HERE'!Z$3</f>
        <v>7.0065179604291385</v>
      </c>
      <c r="AZ27" s="7">
        <f ca="1">Sheet2!E$13+('RNG HERE'!C27-'RNG HERE'!AA$2)*Sheet2!E$14/'RNG HERE'!AA$3</f>
        <v>19.745374985949887</v>
      </c>
      <c r="BA27" s="7">
        <f ca="1">Sheet2!F$13+('RNG HERE'!D27-'RNG HERE'!AB$2)*Sheet2!F$14/'RNG HERE'!AB$3</f>
        <v>19.011679863242126</v>
      </c>
      <c r="BB27" s="7">
        <f ca="1">Sheet2!G$13+('RNG HERE'!E27-'RNG HERE'!AC$2)*Sheet2!G$14/'RNG HERE'!AC$3</f>
        <v>22.266584535204078</v>
      </c>
      <c r="BC27" s="7">
        <f ca="1">Sheet2!H$13+('RNG HERE'!F27-'RNG HERE'!AD$2)*Sheet2!H$14/'RNG HERE'!AD$3</f>
        <v>26.901695440464053</v>
      </c>
      <c r="BD27" s="7">
        <f ca="1">Sheet2!I$13+('RNG HERE'!G27-'RNG HERE'!AE$2)*Sheet2!I$14/'RNG HERE'!AE$3</f>
        <v>12.510602104367424</v>
      </c>
      <c r="BE27" s="7">
        <f ca="1">Sheet2!J$13+('RNG HERE'!H27-'RNG HERE'!AF$2)*Sheet2!J$14/'RNG HERE'!AF$3</f>
        <v>19.015785591703811</v>
      </c>
      <c r="BF27" s="7">
        <f ca="1">Sheet2!K$13+('RNG HERE'!I27-'RNG HERE'!AG$2)*Sheet2!K$14/'RNG HERE'!AG$3</f>
        <v>27.063252354633477</v>
      </c>
      <c r="BG27" s="7">
        <f ca="1">Sheet2!L$13+('RNG HERE'!J27-'RNG HERE'!AH$2)*Sheet2!L$14/'RNG HERE'!AH$3</f>
        <v>21.507264003219014</v>
      </c>
      <c r="BH27" s="7">
        <f ca="1">Sheet2!M$13+('RNG HERE'!K27-'RNG HERE'!AI$2)*Sheet2!M$14/'RNG HERE'!AI$3</f>
        <v>20.987288763364312</v>
      </c>
      <c r="BI27" s="7">
        <f ca="1">Sheet2!N$13+('RNG HERE'!L27-'RNG HERE'!AJ$2)*Sheet2!N$14/'RNG HERE'!AJ$3</f>
        <v>9.0473957107750387</v>
      </c>
      <c r="BJ27" s="7">
        <f ca="1">Sheet2!O$13+('RNG HERE'!M27-'RNG HERE'!AK$2)*Sheet2!O$14/'RNG HERE'!AK$3</f>
        <v>7.7458680293459894</v>
      </c>
      <c r="BK27" s="7">
        <f ca="1">Sheet2!P$13+('RNG HERE'!N27-'RNG HERE'!AL$2)*Sheet2!P$14/'RNG HERE'!AL$3</f>
        <v>22.700998585187836</v>
      </c>
      <c r="BL27" s="7">
        <f ca="1">Sheet2!Q$13+('RNG HERE'!O27-'RNG HERE'!AM$2)*Sheet2!Q$14/'RNG HERE'!AM$3</f>
        <v>11.473599294490388</v>
      </c>
      <c r="BM27" s="7">
        <f ca="1">Sheet2!R$13+('RNG HERE'!P27-'RNG HERE'!AN$2)*Sheet2!R$14/'RNG HERE'!AN$3</f>
        <v>9.8205347310494222</v>
      </c>
      <c r="BN27" s="7">
        <f ca="1">Sheet2!S$13+('RNG HERE'!Q27-'RNG HERE'!AO$2)*Sheet2!S$14/'RNG HERE'!AO$3</f>
        <v>3.508285241845198</v>
      </c>
      <c r="BO27" s="7">
        <f ca="1">Sheet2!T$13+('RNG HERE'!R27-'RNG HERE'!AP$2)*Sheet2!T$14/'RNG HERE'!AP$3</f>
        <v>14.863254622564986</v>
      </c>
      <c r="BP27" s="7">
        <f ca="1">Sheet2!U$13+('RNG HERE'!S27-'RNG HERE'!AQ$2)*Sheet2!U$14/'RNG HERE'!AQ$3</f>
        <v>22.279644068027654</v>
      </c>
      <c r="BQ27" s="7">
        <f ca="1">Sheet2!V$13+('RNG HERE'!T27-'RNG HERE'!AR$2)*Sheet2!V$14/'RNG HERE'!AR$3</f>
        <v>25.652555595838649</v>
      </c>
      <c r="BR27" s="7">
        <f ca="1">Sheet2!W$13+('RNG HERE'!U27-'RNG HERE'!AS$2)*Sheet2!W$14/'RNG HERE'!AS$3</f>
        <v>24.09786288248316</v>
      </c>
      <c r="BS27" s="7">
        <f ca="1">Sheet2!X$13+('RNG HERE'!V27-'RNG HERE'!AT$2)*Sheet2!X$14/'RNG HERE'!AT$3</f>
        <v>21.680154550456873</v>
      </c>
      <c r="BT27" s="7">
        <f ca="1">Sheet2!Y$13+('RNG HERE'!W27-'RNG HERE'!AU$2)*Sheet2!Y$14/'RNG HERE'!AU$3</f>
        <v>21.591612456523656</v>
      </c>
      <c r="BU27" s="7" t="e">
        <f ca="1">Sheet2!Z$13+('RNG HERE'!X27-'RNG HERE'!AV$2)*Sheet2!Z$14/'RNG HERE'!AV$3</f>
        <v>#NAME?</v>
      </c>
    </row>
    <row r="28" spans="1:97" x14ac:dyDescent="0.3">
      <c r="A28" s="8" cm="1">
        <f t="array" aca="1" ref="A28" ca="1">[1]!UNIFORM_INV(RAND(),Sheet2!C$13-SQRT(3)*Sheet2!C$14,Sheet2!C$13+SQRT(3)*Sheet2!C$14)</f>
        <v>3.0890095836328593</v>
      </c>
      <c r="B28" s="8" cm="1">
        <f t="array" aca="1" ref="B28" ca="1">[1]!UNIFORM_INV(RAND(),Sheet2!D$13-SQRT(3)*Sheet2!D$14,Sheet2!D$13+SQRT(3)*Sheet2!D$14)</f>
        <v>4.6279690847537518</v>
      </c>
      <c r="C28" s="8" cm="1">
        <f t="array" aca="1" ref="C28" ca="1">[1]!UNIFORM_INV(RAND(),Sheet2!E$13-SQRT(3)*Sheet2!E$14,Sheet2!E$13+SQRT(3)*Sheet2!E$14)</f>
        <v>19.249089228283164</v>
      </c>
      <c r="D28" s="8" cm="1">
        <f t="array" aca="1" ref="D28" ca="1">[1]!UNIFORM_INV(RAND(),Sheet2!F$13-SQRT(3)*Sheet2!F$14,Sheet2!F$13+SQRT(3)*Sheet2!F$14)</f>
        <v>18.880670765793788</v>
      </c>
      <c r="E28" s="8" cm="1">
        <f t="array" aca="1" ref="E28" ca="1">[1]!UNIFORM_INV(RAND(),Sheet2!G$13-SQRT(3)*Sheet2!G$14,Sheet2!G$13+SQRT(3)*Sheet2!G$14)</f>
        <v>17.156719452011171</v>
      </c>
      <c r="F28" s="8" cm="1">
        <f t="array" aca="1" ref="F28" ca="1">[1]!UNIFORM_INV(RAND(),Sheet2!H$13-SQRT(3)*Sheet2!H$14,Sheet2!H$13+SQRT(3)*Sheet2!H$14)</f>
        <v>24.588554347262463</v>
      </c>
      <c r="G28" s="8" cm="1">
        <f t="array" aca="1" ref="G28" ca="1">[1]!UNIFORM_INV(RAND(),Sheet2!I$13-SQRT(3)*Sheet2!I$14,Sheet2!I$13+SQRT(3)*Sheet2!I$14)</f>
        <v>12.377227197343743</v>
      </c>
      <c r="H28" s="8" cm="1">
        <f t="array" aca="1" ref="H28" ca="1">[1]!UNIFORM_INV(RAND(),Sheet2!J$13-SQRT(3)*Sheet2!J$14,Sheet2!J$13+SQRT(3)*Sheet2!J$14)</f>
        <v>20.151922561500765</v>
      </c>
      <c r="I28" s="8" cm="1">
        <f t="array" aca="1" ref="I28" ca="1">[1]!UNIFORM_INV(RAND(),Sheet2!K$13-SQRT(3)*Sheet2!K$14,Sheet2!K$13+SQRT(3)*Sheet2!K$14)</f>
        <v>30.008096613288401</v>
      </c>
      <c r="J28" s="8" cm="1">
        <f t="array" aca="1" ref="J28" ca="1">[1]!UNIFORM_INV(RAND(),Sheet2!L$13-SQRT(3)*Sheet2!L$14,Sheet2!L$13+SQRT(3)*Sheet2!L$14)</f>
        <v>21.609797139210187</v>
      </c>
      <c r="K28" s="8" cm="1">
        <f t="array" aca="1" ref="K28" ca="1">[1]!UNIFORM_INV(RAND(),Sheet2!M$13-SQRT(3)*Sheet2!M$14,Sheet2!M$13+SQRT(3)*Sheet2!M$14)</f>
        <v>21.278003956899255</v>
      </c>
      <c r="L28" s="8" cm="1">
        <f t="array" aca="1" ref="L28" ca="1">[1]!UNIFORM_INV(RAND(),Sheet2!N$13-SQRT(3)*Sheet2!N$14,Sheet2!N$13+SQRT(3)*Sheet2!N$14)</f>
        <v>9.0209526375341671</v>
      </c>
      <c r="M28" s="8" cm="1">
        <f t="array" aca="1" ref="M28" ca="1">[1]!UNIFORM_INV(RAND(),Sheet2!O$13-SQRT(3)*Sheet2!O$14,Sheet2!O$13+SQRT(3)*Sheet2!O$14)</f>
        <v>6.3887690046441064</v>
      </c>
      <c r="N28" s="8" cm="1">
        <f t="array" aca="1" ref="N28" ca="1">[1]!UNIFORM_INV(RAND(),Sheet2!P$13-SQRT(3)*Sheet2!P$14,Sheet2!P$13+SQRT(3)*Sheet2!P$14)</f>
        <v>19.980697714913138</v>
      </c>
      <c r="O28" s="8" cm="1">
        <f t="array" aca="1" ref="O28" ca="1">[1]!UNIFORM_INV(RAND(),Sheet2!Q$13-SQRT(3)*Sheet2!Q$14,Sheet2!Q$13+SQRT(3)*Sheet2!Q$14)</f>
        <v>12.593897389274007</v>
      </c>
      <c r="P28" s="8" cm="1">
        <f t="array" aca="1" ref="P28" ca="1">[1]!UNIFORM_INV(RAND(),Sheet2!R$13-SQRT(3)*Sheet2!R$14,Sheet2!R$13+SQRT(3)*Sheet2!R$14)</f>
        <v>9.6028137887516429</v>
      </c>
      <c r="Q28" s="8" cm="1">
        <f t="array" aca="1" ref="Q28" ca="1">[1]!UNIFORM_INV(RAND(),Sheet2!S$13-SQRT(3)*Sheet2!S$14,Sheet2!S$13+SQRT(3)*Sheet2!S$14)</f>
        <v>3.4212656704630331</v>
      </c>
      <c r="R28" s="8" cm="1">
        <f t="array" aca="1" ref="R28" ca="1">[1]!UNIFORM_INV(RAND(),Sheet2!T$13-SQRT(3)*Sheet2!T$14,Sheet2!T$13+SQRT(3)*Sheet2!T$14)</f>
        <v>11.587651121578718</v>
      </c>
      <c r="S28" s="8" cm="1">
        <f t="array" aca="1" ref="S28" ca="1">[1]!UNIFORM_INV(RAND(),Sheet2!U$13-SQRT(3)*Sheet2!U$14,Sheet2!U$13+SQRT(3)*Sheet2!U$14)</f>
        <v>22.055617803871534</v>
      </c>
      <c r="T28" s="8" cm="1">
        <f t="array" aca="1" ref="T28" ca="1">[1]!UNIFORM_INV(RAND(),Sheet2!V$13-SQRT(3)*Sheet2!V$14,Sheet2!V$13+SQRT(3)*Sheet2!V$14)</f>
        <v>25.875973784591231</v>
      </c>
      <c r="U28" s="8" cm="1">
        <f t="array" aca="1" ref="U28" ca="1">[1]!UNIFORM_INV(RAND(),Sheet2!W$13-SQRT(3)*Sheet2!W$14,Sheet2!W$13+SQRT(3)*Sheet2!W$14)</f>
        <v>25.632239467266025</v>
      </c>
      <c r="V28" s="8" cm="1">
        <f t="array" aca="1" ref="V28" ca="1">[1]!UNIFORM_INV(RAND(),Sheet2!X$13-SQRT(3)*Sheet2!X$14,Sheet2!X$13+SQRT(3)*Sheet2!X$14)</f>
        <v>21.595084028155242</v>
      </c>
      <c r="W28" s="8" cm="1">
        <f t="array" aca="1" ref="W28" ca="1">[1]!UNIFORM_INV(RAND(),Sheet2!Y$13-SQRT(3)*Sheet2!Y$14,Sheet2!Y$13+SQRT(3)*Sheet2!Y$14)</f>
        <v>22.395833161487879</v>
      </c>
      <c r="X28" s="8" cm="1">
        <f t="array" aca="1" ref="X28" ca="1">[1]!UNIFORM_INV(RAND(),Sheet2!Z$13-SQRT(3)*Sheet2!Z$14,Sheet2!Z$13+SQRT(3)*Sheet2!Z$14)</f>
        <v>8.8927287283875813</v>
      </c>
      <c r="AX28" s="7">
        <f ca="1">Sheet2!C$13+('RNG HERE'!A28-'RNG HERE'!Y$2)*Sheet2!C$14/'RNG HERE'!Y$3</f>
        <v>3.0613567604514245</v>
      </c>
      <c r="AY28" s="7">
        <f ca="1">Sheet2!D$13+('RNG HERE'!B28-'RNG HERE'!Z$2)*Sheet2!D$14/'RNG HERE'!Z$3</f>
        <v>4.4585398578635189</v>
      </c>
      <c r="AZ28" s="7">
        <f ca="1">Sheet2!E$13+('RNG HERE'!C28-'RNG HERE'!AA$2)*Sheet2!E$14/'RNG HERE'!AA$3</f>
        <v>19.573317087544847</v>
      </c>
      <c r="BA28" s="7">
        <f ca="1">Sheet2!F$13+('RNG HERE'!D28-'RNG HERE'!AB$2)*Sheet2!F$14/'RNG HERE'!AB$3</f>
        <v>18.733748406989129</v>
      </c>
      <c r="BB28" s="7">
        <f ca="1">Sheet2!G$13+('RNG HERE'!E28-'RNG HERE'!AC$2)*Sheet2!G$14/'RNG HERE'!AC$3</f>
        <v>17.123827390228413</v>
      </c>
      <c r="BC28" s="7">
        <f ca="1">Sheet2!H$13+('RNG HERE'!F28-'RNG HERE'!AD$2)*Sheet2!H$14/'RNG HERE'!AD$3</f>
        <v>24.947379679200584</v>
      </c>
      <c r="BD28" s="7">
        <f ca="1">Sheet2!I$13+('RNG HERE'!G28-'RNG HERE'!AE$2)*Sheet2!I$14/'RNG HERE'!AE$3</f>
        <v>12.417120209454145</v>
      </c>
      <c r="BE28" s="7">
        <f ca="1">Sheet2!J$13+('RNG HERE'!H28-'RNG HERE'!AF$2)*Sheet2!J$14/'RNG HERE'!AF$3</f>
        <v>20.090014116480745</v>
      </c>
      <c r="BF28" s="7">
        <f ca="1">Sheet2!K$13+('RNG HERE'!I28-'RNG HERE'!AG$2)*Sheet2!K$14/'RNG HERE'!AG$3</f>
        <v>29.678730475670712</v>
      </c>
      <c r="BG28" s="7">
        <f ca="1">Sheet2!L$13+('RNG HERE'!J28-'RNG HERE'!AH$2)*Sheet2!L$14/'RNG HERE'!AH$3</f>
        <v>21.634929652508699</v>
      </c>
      <c r="BH28" s="7">
        <f ca="1">Sheet2!M$13+('RNG HERE'!K28-'RNG HERE'!AI$2)*Sheet2!M$14/'RNG HERE'!AI$3</f>
        <v>21.439057582032458</v>
      </c>
      <c r="BI28" s="7">
        <f ca="1">Sheet2!N$13+('RNG HERE'!L28-'RNG HERE'!AJ$2)*Sheet2!N$14/'RNG HERE'!AJ$3</f>
        <v>8.7294970761595518</v>
      </c>
      <c r="BJ28" s="7">
        <f ca="1">Sheet2!O$13+('RNG HERE'!M28-'RNG HERE'!AK$2)*Sheet2!O$14/'RNG HERE'!AK$3</f>
        <v>6.4348174459751535</v>
      </c>
      <c r="BK28" s="7">
        <f ca="1">Sheet2!P$13+('RNG HERE'!N28-'RNG HERE'!AL$2)*Sheet2!P$14/'RNG HERE'!AL$3</f>
        <v>19.725883374252927</v>
      </c>
      <c r="BL28" s="7">
        <f ca="1">Sheet2!Q$13+('RNG HERE'!O28-'RNG HERE'!AM$2)*Sheet2!Q$14/'RNG HERE'!AM$3</f>
        <v>12.811882940296641</v>
      </c>
      <c r="BM28" s="7">
        <f ca="1">Sheet2!R$13+('RNG HERE'!P28-'RNG HERE'!AN$2)*Sheet2!R$14/'RNG HERE'!AN$3</f>
        <v>9.6846192026722306</v>
      </c>
      <c r="BN28" s="7">
        <f ca="1">Sheet2!S$13+('RNG HERE'!Q28-'RNG HERE'!AO$2)*Sheet2!S$14/'RNG HERE'!AO$3</f>
        <v>3.500399543820059</v>
      </c>
      <c r="BO28" s="7">
        <f ca="1">Sheet2!T$13+('RNG HERE'!R28-'RNG HERE'!AP$2)*Sheet2!T$14/'RNG HERE'!AP$3</f>
        <v>12.062348326005996</v>
      </c>
      <c r="BP28" s="7">
        <f ca="1">Sheet2!U$13+('RNG HERE'!S28-'RNG HERE'!AQ$2)*Sheet2!U$14/'RNG HERE'!AQ$3</f>
        <v>22.299492393867421</v>
      </c>
      <c r="BQ28" s="7">
        <f ca="1">Sheet2!V$13+('RNG HERE'!T28-'RNG HERE'!AR$2)*Sheet2!V$14/'RNG HERE'!AR$3</f>
        <v>25.516729742621902</v>
      </c>
      <c r="BR28" s="7">
        <f ca="1">Sheet2!W$13+('RNG HERE'!U28-'RNG HERE'!AS$2)*Sheet2!W$14/'RNG HERE'!AS$3</f>
        <v>25.676514701463635</v>
      </c>
      <c r="BS28" s="7">
        <f ca="1">Sheet2!X$13+('RNG HERE'!V28-'RNG HERE'!AT$2)*Sheet2!X$14/'RNG HERE'!AT$3</f>
        <v>21.816168001287551</v>
      </c>
      <c r="BT28" s="7">
        <f ca="1">Sheet2!Y$13+('RNG HERE'!W28-'RNG HERE'!AU$2)*Sheet2!Y$14/'RNG HERE'!AU$3</f>
        <v>22.121474120459279</v>
      </c>
      <c r="BU28" s="7" t="e">
        <f ca="1">Sheet2!Z$13+('RNG HERE'!X28-'RNG HERE'!AV$2)*Sheet2!Z$14/'RNG HERE'!AV$3</f>
        <v>#NAME?</v>
      </c>
    </row>
    <row r="29" spans="1:97" x14ac:dyDescent="0.3">
      <c r="A29" s="8" cm="1">
        <f t="array" aca="1" ref="A29" ca="1">[1]!UNIFORM_INV(RAND(),Sheet2!C$13-SQRT(3)*Sheet2!C$14,Sheet2!C$13+SQRT(3)*Sheet2!C$14)</f>
        <v>3.7143582246836564</v>
      </c>
      <c r="B29" s="8" cm="1">
        <f t="array" aca="1" ref="B29" ca="1">[1]!UNIFORM_INV(RAND(),Sheet2!D$13-SQRT(3)*Sheet2!D$14,Sheet2!D$13+SQRT(3)*Sheet2!D$14)</f>
        <v>7.040125848048417</v>
      </c>
      <c r="C29" s="8" cm="1">
        <f t="array" aca="1" ref="C29" ca="1">[1]!UNIFORM_INV(RAND(),Sheet2!E$13-SQRT(3)*Sheet2!E$14,Sheet2!E$13+SQRT(3)*Sheet2!E$14)</f>
        <v>18.624558678735365</v>
      </c>
      <c r="D29" s="8" cm="1">
        <f t="array" aca="1" ref="D29" ca="1">[1]!UNIFORM_INV(RAND(),Sheet2!F$13-SQRT(3)*Sheet2!F$14,Sheet2!F$13+SQRT(3)*Sheet2!F$14)</f>
        <v>24.669738884048421</v>
      </c>
      <c r="E29" s="8" cm="1">
        <f t="array" aca="1" ref="E29" ca="1">[1]!UNIFORM_INV(RAND(),Sheet2!G$13-SQRT(3)*Sheet2!G$14,Sheet2!G$13+SQRT(3)*Sheet2!G$14)</f>
        <v>19.22436197003578</v>
      </c>
      <c r="F29" s="8" cm="1">
        <f t="array" aca="1" ref="F29" ca="1">[1]!UNIFORM_INV(RAND(),Sheet2!H$13-SQRT(3)*Sheet2!H$14,Sheet2!H$13+SQRT(3)*Sheet2!H$14)</f>
        <v>26.68196209322835</v>
      </c>
      <c r="G29" s="8" cm="1">
        <f t="array" aca="1" ref="G29" ca="1">[1]!UNIFORM_INV(RAND(),Sheet2!I$13-SQRT(3)*Sheet2!I$14,Sheet2!I$13+SQRT(3)*Sheet2!I$14)</f>
        <v>11.87916220639347</v>
      </c>
      <c r="H29" s="8" cm="1">
        <f t="array" aca="1" ref="H29" ca="1">[1]!UNIFORM_INV(RAND(),Sheet2!J$13-SQRT(3)*Sheet2!J$14,Sheet2!J$13+SQRT(3)*Sheet2!J$14)</f>
        <v>19.678153834391914</v>
      </c>
      <c r="I29" s="8" cm="1">
        <f t="array" aca="1" ref="I29" ca="1">[1]!UNIFORM_INV(RAND(),Sheet2!K$13-SQRT(3)*Sheet2!K$14,Sheet2!K$13+SQRT(3)*Sheet2!K$14)</f>
        <v>30.771179417216199</v>
      </c>
      <c r="J29" s="8" cm="1">
        <f t="array" aca="1" ref="J29" ca="1">[1]!UNIFORM_INV(RAND(),Sheet2!L$13-SQRT(3)*Sheet2!L$14,Sheet2!L$13+SQRT(3)*Sheet2!L$14)</f>
        <v>17.155457022403535</v>
      </c>
      <c r="K29" s="8" cm="1">
        <f t="array" aca="1" ref="K29" ca="1">[1]!UNIFORM_INV(RAND(),Sheet2!M$13-SQRT(3)*Sheet2!M$14,Sheet2!M$13+SQRT(3)*Sheet2!M$14)</f>
        <v>18.914981444874783</v>
      </c>
      <c r="L29" s="8" cm="1">
        <f t="array" aca="1" ref="L29" ca="1">[1]!UNIFORM_INV(RAND(),Sheet2!N$13-SQRT(3)*Sheet2!N$14,Sheet2!N$13+SQRT(3)*Sheet2!N$14)</f>
        <v>10.176619941471493</v>
      </c>
      <c r="M29" s="8" cm="1">
        <f t="array" aca="1" ref="M29" ca="1">[1]!UNIFORM_INV(RAND(),Sheet2!O$13-SQRT(3)*Sheet2!O$14,Sheet2!O$13+SQRT(3)*Sheet2!O$14)</f>
        <v>7.4471706333607539</v>
      </c>
      <c r="N29" s="8" cm="1">
        <f t="array" aca="1" ref="N29" ca="1">[1]!UNIFORM_INV(RAND(),Sheet2!P$13-SQRT(3)*Sheet2!P$14,Sheet2!P$13+SQRT(3)*Sheet2!P$14)</f>
        <v>20.793670518888558</v>
      </c>
      <c r="O29" s="8" cm="1">
        <f t="array" aca="1" ref="O29" ca="1">[1]!UNIFORM_INV(RAND(),Sheet2!Q$13-SQRT(3)*Sheet2!Q$14,Sheet2!Q$13+SQRT(3)*Sheet2!Q$14)</f>
        <v>12.465315714600985</v>
      </c>
      <c r="P29" s="8" cm="1">
        <f t="array" aca="1" ref="P29" ca="1">[1]!UNIFORM_INV(RAND(),Sheet2!R$13-SQRT(3)*Sheet2!R$14,Sheet2!R$13+SQRT(3)*Sheet2!R$14)</f>
        <v>8.7010852765257916</v>
      </c>
      <c r="Q29" s="8" cm="1">
        <f t="array" aca="1" ref="Q29" ca="1">[1]!UNIFORM_INV(RAND(),Sheet2!S$13-SQRT(3)*Sheet2!S$14,Sheet2!S$13+SQRT(3)*Sheet2!S$14)</f>
        <v>3.7280313788882853</v>
      </c>
      <c r="R29" s="8" cm="1">
        <f t="array" aca="1" ref="R29" ca="1">[1]!UNIFORM_INV(RAND(),Sheet2!T$13-SQRT(3)*Sheet2!T$14,Sheet2!T$13+SQRT(3)*Sheet2!T$14)</f>
        <v>12.252881917886208</v>
      </c>
      <c r="S29" s="8" cm="1">
        <f t="array" aca="1" ref="S29" ca="1">[1]!UNIFORM_INV(RAND(),Sheet2!U$13-SQRT(3)*Sheet2!U$14,Sheet2!U$13+SQRT(3)*Sheet2!U$14)</f>
        <v>22.954463721284252</v>
      </c>
      <c r="T29" s="8" cm="1">
        <f t="array" aca="1" ref="T29" ca="1">[1]!UNIFORM_INV(RAND(),Sheet2!V$13-SQRT(3)*Sheet2!V$14,Sheet2!V$13+SQRT(3)*Sheet2!V$14)</f>
        <v>25.596965625827803</v>
      </c>
      <c r="U29" s="8" cm="1">
        <f t="array" aca="1" ref="U29" ca="1">[1]!UNIFORM_INV(RAND(),Sheet2!W$13-SQRT(3)*Sheet2!W$14,Sheet2!W$13+SQRT(3)*Sheet2!W$14)</f>
        <v>23.509778346306369</v>
      </c>
      <c r="V29" s="8" cm="1">
        <f t="array" aca="1" ref="V29" ca="1">[1]!UNIFORM_INV(RAND(),Sheet2!X$13-SQRT(3)*Sheet2!X$14,Sheet2!X$13+SQRT(3)*Sheet2!X$14)</f>
        <v>21.502908538543007</v>
      </c>
      <c r="W29" s="8" cm="1">
        <f t="array" aca="1" ref="W29" ca="1">[1]!UNIFORM_INV(RAND(),Sheet2!Y$13-SQRT(3)*Sheet2!Y$14,Sheet2!Y$13+SQRT(3)*Sheet2!Y$14)</f>
        <v>23.67726074883824</v>
      </c>
      <c r="X29" s="8" cm="1">
        <f t="array" aca="1" ref="X29" ca="1">[1]!UNIFORM_INV(RAND(),Sheet2!Z$13-SQRT(3)*Sheet2!Z$14,Sheet2!Z$13+SQRT(3)*Sheet2!Z$14)</f>
        <v>8.1094212012059526</v>
      </c>
      <c r="AX29" s="7">
        <f ca="1">Sheet2!C$13+('RNG HERE'!A29-'RNG HERE'!Y$2)*Sheet2!C$14/'RNG HERE'!Y$3</f>
        <v>3.6745961777936005</v>
      </c>
      <c r="AY29" s="7">
        <f ca="1">Sheet2!D$13+('RNG HERE'!B29-'RNG HERE'!Z$2)*Sheet2!D$14/'RNG HERE'!Z$3</f>
        <v>6.8646170643772981</v>
      </c>
      <c r="AZ29" s="7">
        <f ca="1">Sheet2!E$13+('RNG HERE'!C29-'RNG HERE'!AA$2)*Sheet2!E$14/'RNG HERE'!AA$3</f>
        <v>18.884327085844003</v>
      </c>
      <c r="BA29" s="7">
        <f ca="1">Sheet2!F$13+('RNG HERE'!D29-'RNG HERE'!AB$2)*Sheet2!F$14/'RNG HERE'!AB$3</f>
        <v>25.361093919698614</v>
      </c>
      <c r="BB29" s="7">
        <f ca="1">Sheet2!G$13+('RNG HERE'!E29-'RNG HERE'!AC$2)*Sheet2!G$14/'RNG HERE'!AC$3</f>
        <v>19.25429549576705</v>
      </c>
      <c r="BC29" s="7">
        <f ca="1">Sheet2!H$13+('RNG HERE'!F29-'RNG HERE'!AD$2)*Sheet2!H$14/'RNG HERE'!AD$3</f>
        <v>27.120611137827392</v>
      </c>
      <c r="BD29" s="7">
        <f ca="1">Sheet2!I$13+('RNG HERE'!G29-'RNG HERE'!AE$2)*Sheet2!I$14/'RNG HERE'!AE$3</f>
        <v>11.949446110726109</v>
      </c>
      <c r="BE29" s="7">
        <f ca="1">Sheet2!J$13+('RNG HERE'!H29-'RNG HERE'!AF$2)*Sheet2!J$14/'RNG HERE'!AF$3</f>
        <v>19.574118644624143</v>
      </c>
      <c r="BF29" s="7">
        <f ca="1">Sheet2!K$13+('RNG HERE'!I29-'RNG HERE'!AG$2)*Sheet2!K$14/'RNG HERE'!AG$3</f>
        <v>30.370470923650327</v>
      </c>
      <c r="BG29" s="7">
        <f ca="1">Sheet2!L$13+('RNG HERE'!J29-'RNG HERE'!AH$2)*Sheet2!L$14/'RNG HERE'!AH$3</f>
        <v>16.960551598405711</v>
      </c>
      <c r="BH29" s="7">
        <f ca="1">Sheet2!M$13+('RNG HERE'!K29-'RNG HERE'!AI$2)*Sheet2!M$14/'RNG HERE'!AI$3</f>
        <v>19.101490492583437</v>
      </c>
      <c r="BI29" s="7">
        <f ca="1">Sheet2!N$13+('RNG HERE'!L29-'RNG HERE'!AJ$2)*Sheet2!N$14/'RNG HERE'!AJ$3</f>
        <v>9.9685864686788044</v>
      </c>
      <c r="BJ29" s="7">
        <f ca="1">Sheet2!O$13+('RNG HERE'!M29-'RNG HERE'!AK$2)*Sheet2!O$14/'RNG HERE'!AK$3</f>
        <v>7.5716351243946729</v>
      </c>
      <c r="BK29" s="7">
        <f ca="1">Sheet2!P$13+('RNG HERE'!N29-'RNG HERE'!AL$2)*Sheet2!P$14/'RNG HERE'!AL$3</f>
        <v>20.592087835056986</v>
      </c>
      <c r="BL29" s="7">
        <f ca="1">Sheet2!Q$13+('RNG HERE'!O29-'RNG HERE'!AM$2)*Sheet2!Q$14/'RNG HERE'!AM$3</f>
        <v>12.69217156811095</v>
      </c>
      <c r="BM29" s="7">
        <f ca="1">Sheet2!R$13+('RNG HERE'!P29-'RNG HERE'!AN$2)*Sheet2!R$14/'RNG HERE'!AN$3</f>
        <v>8.7300216519292313</v>
      </c>
      <c r="BN29" s="7">
        <f ca="1">Sheet2!S$13+('RNG HERE'!Q29-'RNG HERE'!AO$2)*Sheet2!S$14/'RNG HERE'!AO$3</f>
        <v>3.7769827110586203</v>
      </c>
      <c r="BO29" s="7">
        <f ca="1">Sheet2!T$13+('RNG HERE'!R29-'RNG HERE'!AP$2)*Sheet2!T$14/'RNG HERE'!AP$3</f>
        <v>12.87423368595873</v>
      </c>
      <c r="BP29" s="7">
        <f ca="1">Sheet2!U$13+('RNG HERE'!S29-'RNG HERE'!AQ$2)*Sheet2!U$14/'RNG HERE'!AQ$3</f>
        <v>23.170997706077983</v>
      </c>
      <c r="BQ29" s="7">
        <f ca="1">Sheet2!V$13+('RNG HERE'!T29-'RNG HERE'!AR$2)*Sheet2!V$14/'RNG HERE'!AR$3</f>
        <v>25.217746776377492</v>
      </c>
      <c r="BR29" s="7">
        <f ca="1">Sheet2!W$13+('RNG HERE'!U29-'RNG HERE'!AS$2)*Sheet2!W$14/'RNG HERE'!AS$3</f>
        <v>23.557748615563618</v>
      </c>
      <c r="BS29" s="7">
        <f ca="1">Sheet2!X$13+('RNG HERE'!V29-'RNG HERE'!AT$2)*Sheet2!X$14/'RNG HERE'!AT$3</f>
        <v>21.704837834644561</v>
      </c>
      <c r="BT29" s="7">
        <f ca="1">Sheet2!Y$13+('RNG HERE'!W29-'RNG HERE'!AU$2)*Sheet2!Y$14/'RNG HERE'!AU$3</f>
        <v>23.481338457658048</v>
      </c>
      <c r="BU29" s="7" t="e">
        <f ca="1">Sheet2!Z$13+('RNG HERE'!X29-'RNG HERE'!AV$2)*Sheet2!Z$14/'RNG HERE'!AV$3</f>
        <v>#NAME?</v>
      </c>
    </row>
    <row r="30" spans="1:97" x14ac:dyDescent="0.3">
      <c r="A30" s="8" cm="1">
        <f t="array" aca="1" ref="A30" ca="1">[1]!UNIFORM_INV(RAND(),Sheet2!C$13-SQRT(3)*Sheet2!C$14,Sheet2!C$13+SQRT(3)*Sheet2!C$14)</f>
        <v>2.4466855882563392</v>
      </c>
      <c r="B30" s="8" cm="1">
        <f t="array" aca="1" ref="B30" ca="1">[1]!UNIFORM_INV(RAND(),Sheet2!D$13-SQRT(3)*Sheet2!D$14,Sheet2!D$13+SQRT(3)*Sheet2!D$14)</f>
        <v>8.1614767588346862</v>
      </c>
      <c r="C30" s="8" cm="1">
        <f t="array" aca="1" ref="C30" ca="1">[1]!UNIFORM_INV(RAND(),Sheet2!E$13-SQRT(3)*Sheet2!E$14,Sheet2!E$13+SQRT(3)*Sheet2!E$14)</f>
        <v>19.394812826761694</v>
      </c>
      <c r="D30" s="8" cm="1">
        <f t="array" aca="1" ref="D30" ca="1">[1]!UNIFORM_INV(RAND(),Sheet2!F$13-SQRT(3)*Sheet2!F$14,Sheet2!F$13+SQRT(3)*Sheet2!F$14)</f>
        <v>20.064667571171245</v>
      </c>
      <c r="E30" s="8" cm="1">
        <f t="array" aca="1" ref="E30" ca="1">[1]!UNIFORM_INV(RAND(),Sheet2!G$13-SQRT(3)*Sheet2!G$14,Sheet2!G$13+SQRT(3)*Sheet2!G$14)</f>
        <v>21.215905798304572</v>
      </c>
      <c r="F30" s="8" cm="1">
        <f t="array" aca="1" ref="F30" ca="1">[1]!UNIFORM_INV(RAND(),Sheet2!H$13-SQRT(3)*Sheet2!H$14,Sheet2!H$13+SQRT(3)*Sheet2!H$14)</f>
        <v>26.460676277650421</v>
      </c>
      <c r="G30" s="8" cm="1">
        <f t="array" aca="1" ref="G30" ca="1">[1]!UNIFORM_INV(RAND(),Sheet2!I$13-SQRT(3)*Sheet2!I$14,Sheet2!I$13+SQRT(3)*Sheet2!I$14)</f>
        <v>11.959933443982809</v>
      </c>
      <c r="H30" s="8" cm="1">
        <f t="array" aca="1" ref="H30" ca="1">[1]!UNIFORM_INV(RAND(),Sheet2!J$13-SQRT(3)*Sheet2!J$14,Sheet2!J$13+SQRT(3)*Sheet2!J$14)</f>
        <v>20.029724811520023</v>
      </c>
      <c r="I30" s="8" cm="1">
        <f t="array" aca="1" ref="I30" ca="1">[1]!UNIFORM_INV(RAND(),Sheet2!K$13-SQRT(3)*Sheet2!K$14,Sheet2!K$13+SQRT(3)*Sheet2!K$14)</f>
        <v>29.454793420094301</v>
      </c>
      <c r="J30" s="8" cm="1">
        <f t="array" aca="1" ref="J30" ca="1">[1]!UNIFORM_INV(RAND(),Sheet2!L$13-SQRT(3)*Sheet2!L$14,Sheet2!L$13+SQRT(3)*Sheet2!L$14)</f>
        <v>19.573860612166154</v>
      </c>
      <c r="K30" s="8" cm="1">
        <f t="array" aca="1" ref="K30" ca="1">[1]!UNIFORM_INV(RAND(),Sheet2!M$13-SQRT(3)*Sheet2!M$14,Sheet2!M$13+SQRT(3)*Sheet2!M$14)</f>
        <v>21.72038260118287</v>
      </c>
      <c r="L30" s="8" cm="1">
        <f t="array" aca="1" ref="L30" ca="1">[1]!UNIFORM_INV(RAND(),Sheet2!N$13-SQRT(3)*Sheet2!N$14,Sheet2!N$13+SQRT(3)*Sheet2!N$14)</f>
        <v>9.4492087762720924</v>
      </c>
      <c r="M30" s="8" cm="1">
        <f t="array" aca="1" ref="M30" ca="1">[1]!UNIFORM_INV(RAND(),Sheet2!O$13-SQRT(3)*Sheet2!O$14,Sheet2!O$13+SQRT(3)*Sheet2!O$14)</f>
        <v>6.9139980237043774</v>
      </c>
      <c r="N30" s="8" cm="1">
        <f t="array" aca="1" ref="N30" ca="1">[1]!UNIFORM_INV(RAND(),Sheet2!P$13-SQRT(3)*Sheet2!P$14,Sheet2!P$13+SQRT(3)*Sheet2!P$14)</f>
        <v>25.432365106024914</v>
      </c>
      <c r="O30" s="8" cm="1">
        <f t="array" aca="1" ref="O30" ca="1">[1]!UNIFORM_INV(RAND(),Sheet2!Q$13-SQRT(3)*Sheet2!Q$14,Sheet2!Q$13+SQRT(3)*Sheet2!Q$14)</f>
        <v>15.379991645215464</v>
      </c>
      <c r="P30" s="8" cm="1">
        <f t="array" aca="1" ref="P30" ca="1">[1]!UNIFORM_INV(RAND(),Sheet2!R$13-SQRT(3)*Sheet2!R$14,Sheet2!R$13+SQRT(3)*Sheet2!R$14)</f>
        <v>9.317974410545192</v>
      </c>
      <c r="Q30" s="8" cm="1">
        <f t="array" aca="1" ref="Q30" ca="1">[1]!UNIFORM_INV(RAND(),Sheet2!S$13-SQRT(3)*Sheet2!S$14,Sheet2!S$13+SQRT(3)*Sheet2!S$14)</f>
        <v>4.4595920322862872</v>
      </c>
      <c r="R30" s="8" cm="1">
        <f t="array" aca="1" ref="R30" ca="1">[1]!UNIFORM_INV(RAND(),Sheet2!T$13-SQRT(3)*Sheet2!T$14,Sheet2!T$13+SQRT(3)*Sheet2!T$14)</f>
        <v>13.484781260984025</v>
      </c>
      <c r="S30" s="8" cm="1">
        <f t="array" aca="1" ref="S30" ca="1">[1]!UNIFORM_INV(RAND(),Sheet2!U$13-SQRT(3)*Sheet2!U$14,Sheet2!U$13+SQRT(3)*Sheet2!U$14)</f>
        <v>25.150129411128002</v>
      </c>
      <c r="T30" s="8" cm="1">
        <f t="array" aca="1" ref="T30" ca="1">[1]!UNIFORM_INV(RAND(),Sheet2!V$13-SQRT(3)*Sheet2!V$14,Sheet2!V$13+SQRT(3)*Sheet2!V$14)</f>
        <v>23.571868766252798</v>
      </c>
      <c r="U30" s="8" cm="1">
        <f t="array" aca="1" ref="U30" ca="1">[1]!UNIFORM_INV(RAND(),Sheet2!W$13-SQRT(3)*Sheet2!W$14,Sheet2!W$13+SQRT(3)*Sheet2!W$14)</f>
        <v>26.439791571231844</v>
      </c>
      <c r="V30" s="8" cm="1">
        <f t="array" aca="1" ref="V30" ca="1">[1]!UNIFORM_INV(RAND(),Sheet2!X$13-SQRT(3)*Sheet2!X$14,Sheet2!X$13+SQRT(3)*Sheet2!X$14)</f>
        <v>20.987674289532052</v>
      </c>
      <c r="W30" s="8" cm="1">
        <f t="array" aca="1" ref="W30" ca="1">[1]!UNIFORM_INV(RAND(),Sheet2!Y$13-SQRT(3)*Sheet2!Y$14,Sheet2!Y$13+SQRT(3)*Sheet2!Y$14)</f>
        <v>20.027578080009615</v>
      </c>
      <c r="X30" s="8" cm="1">
        <f t="array" aca="1" ref="X30" ca="1">[1]!UNIFORM_INV(RAND(),Sheet2!Z$13-SQRT(3)*Sheet2!Z$14,Sheet2!Z$13+SQRT(3)*Sheet2!Z$14)</f>
        <v>7.8389241560098553</v>
      </c>
      <c r="AX30" s="7">
        <f ca="1">Sheet2!C$13+('RNG HERE'!A30-'RNG HERE'!Y$2)*Sheet2!C$14/'RNG HERE'!Y$3</f>
        <v>2.4314706988015367</v>
      </c>
      <c r="AY30" s="7">
        <f ca="1">Sheet2!D$13+('RNG HERE'!B30-'RNG HERE'!Z$2)*Sheet2!D$14/'RNG HERE'!Z$3</f>
        <v>7.9831417423758975</v>
      </c>
      <c r="AZ30" s="7">
        <f ca="1">Sheet2!E$13+('RNG HERE'!C30-'RNG HERE'!AA$2)*Sheet2!E$14/'RNG HERE'!AA$3</f>
        <v>19.734081204586474</v>
      </c>
      <c r="BA30" s="7">
        <f ca="1">Sheet2!F$13+('RNG HERE'!D30-'RNG HERE'!AB$2)*Sheet2!F$14/'RNG HERE'!AB$3</f>
        <v>20.089192107925644</v>
      </c>
      <c r="BB30" s="7">
        <f ca="1">Sheet2!G$13+('RNG HERE'!E30-'RNG HERE'!AC$2)*Sheet2!G$14/'RNG HERE'!AC$3</f>
        <v>21.306352642938986</v>
      </c>
      <c r="BC30" s="7">
        <f ca="1">Sheet2!H$13+('RNG HERE'!F30-'RNG HERE'!AD$2)*Sheet2!H$14/'RNG HERE'!AD$3</f>
        <v>26.890887474728991</v>
      </c>
      <c r="BD30" s="7">
        <f ca="1">Sheet2!I$13+('RNG HERE'!G30-'RNG HERE'!AE$2)*Sheet2!I$14/'RNG HERE'!AE$3</f>
        <v>12.025288855004662</v>
      </c>
      <c r="BE30" s="7">
        <f ca="1">Sheet2!J$13+('RNG HERE'!H30-'RNG HERE'!AF$2)*Sheet2!J$14/'RNG HERE'!AF$3</f>
        <v>19.956950741295902</v>
      </c>
      <c r="BF30" s="7">
        <f ca="1">Sheet2!K$13+('RNG HERE'!I30-'RNG HERE'!AG$2)*Sheet2!K$14/'RNG HERE'!AG$3</f>
        <v>29.177156863005663</v>
      </c>
      <c r="BG30" s="7">
        <f ca="1">Sheet2!L$13+('RNG HERE'!J30-'RNG HERE'!AH$2)*Sheet2!L$14/'RNG HERE'!AH$3</f>
        <v>19.498420815733141</v>
      </c>
      <c r="BH30" s="7">
        <f ca="1">Sheet2!M$13+('RNG HERE'!K30-'RNG HERE'!AI$2)*Sheet2!M$14/'RNG HERE'!AI$3</f>
        <v>21.876670746820512</v>
      </c>
      <c r="BI30" s="7">
        <f ca="1">Sheet2!N$13+('RNG HERE'!L30-'RNG HERE'!AJ$2)*Sheet2!N$14/'RNG HERE'!AJ$3</f>
        <v>9.1886669747830698</v>
      </c>
      <c r="BJ30" s="7">
        <f ca="1">Sheet2!O$13+('RNG HERE'!M30-'RNG HERE'!AK$2)*Sheet2!O$14/'RNG HERE'!AK$3</f>
        <v>6.998960223051804</v>
      </c>
      <c r="BK30" s="7">
        <f ca="1">Sheet2!P$13+('RNG HERE'!N30-'RNG HERE'!AL$2)*Sheet2!P$14/'RNG HERE'!AL$3</f>
        <v>25.534513859687753</v>
      </c>
      <c r="BL30" s="7">
        <f ca="1">Sheet2!Q$13+('RNG HERE'!O30-'RNG HERE'!AM$2)*Sheet2!Q$14/'RNG HERE'!AM$3</f>
        <v>15.405776411240808</v>
      </c>
      <c r="BM30" s="7">
        <f ca="1">Sheet2!R$13+('RNG HERE'!P30-'RNG HERE'!AN$2)*Sheet2!R$14/'RNG HERE'!AN$3</f>
        <v>9.3830794719168455</v>
      </c>
      <c r="BN30" s="7">
        <f ca="1">Sheet2!S$13+('RNG HERE'!Q30-'RNG HERE'!AO$2)*Sheet2!S$14/'RNG HERE'!AO$3</f>
        <v>4.4365654381587483</v>
      </c>
      <c r="BO30" s="7">
        <f ca="1">Sheet2!T$13+('RNG HERE'!R30-'RNG HERE'!AP$2)*Sheet2!T$14/'RNG HERE'!AP$3</f>
        <v>14.377713451399721</v>
      </c>
      <c r="BP30" s="7">
        <f ca="1">Sheet2!U$13+('RNG HERE'!S30-'RNG HERE'!AQ$2)*Sheet2!U$14/'RNG HERE'!AQ$3</f>
        <v>25.299876833710119</v>
      </c>
      <c r="BQ30" s="7">
        <f ca="1">Sheet2!V$13+('RNG HERE'!T30-'RNG HERE'!AR$2)*Sheet2!V$14/'RNG HERE'!AR$3</f>
        <v>23.047668780481498</v>
      </c>
      <c r="BR30" s="7">
        <f ca="1">Sheet2!W$13+('RNG HERE'!U30-'RNG HERE'!AS$2)*Sheet2!W$14/'RNG HERE'!AS$3</f>
        <v>26.482660921803518</v>
      </c>
      <c r="BS30" s="7">
        <f ca="1">Sheet2!X$13+('RNG HERE'!V30-'RNG HERE'!AT$2)*Sheet2!X$14/'RNG HERE'!AT$3</f>
        <v>21.082534497348806</v>
      </c>
      <c r="BT30" s="7">
        <f ca="1">Sheet2!Y$13+('RNG HERE'!W30-'RNG HERE'!AU$2)*Sheet2!Y$14/'RNG HERE'!AU$3</f>
        <v>19.608257097130497</v>
      </c>
      <c r="BU30" s="7" t="e">
        <f ca="1">Sheet2!Z$13+('RNG HERE'!X30-'RNG HERE'!AV$2)*Sheet2!Z$14/'RNG HERE'!AV$3</f>
        <v>#NAME?</v>
      </c>
    </row>
    <row r="31" spans="1:97" x14ac:dyDescent="0.3">
      <c r="A31" s="8" cm="1">
        <f t="array" aca="1" ref="A31" ca="1">[1]!UNIFORM_INV(RAND(),Sheet2!C$13-SQRT(3)*Sheet2!C$14,Sheet2!C$13+SQRT(3)*Sheet2!C$14)</f>
        <v>2.7295414603689974</v>
      </c>
      <c r="B31" s="8" cm="1">
        <f t="array" aca="1" ref="B31" ca="1">[1]!UNIFORM_INV(RAND(),Sheet2!D$13-SQRT(3)*Sheet2!D$14,Sheet2!D$13+SQRT(3)*Sheet2!D$14)</f>
        <v>4.8313457474168757</v>
      </c>
      <c r="C31" s="8" cm="1">
        <f t="array" aca="1" ref="C31" ca="1">[1]!UNIFORM_INV(RAND(),Sheet2!E$13-SQRT(3)*Sheet2!E$14,Sheet2!E$13+SQRT(3)*Sheet2!E$14)</f>
        <v>17.630191459430971</v>
      </c>
      <c r="D31" s="8" cm="1">
        <f t="array" aca="1" ref="D31" ca="1">[1]!UNIFORM_INV(RAND(),Sheet2!F$13-SQRT(3)*Sheet2!F$14,Sheet2!F$13+SQRT(3)*Sheet2!F$14)</f>
        <v>19.651990553789833</v>
      </c>
      <c r="E31" s="8" cm="1">
        <f t="array" aca="1" ref="E31" ca="1">[1]!UNIFORM_INV(RAND(),Sheet2!G$13-SQRT(3)*Sheet2!G$14,Sheet2!G$13+SQRT(3)*Sheet2!G$14)</f>
        <v>21.246024538789573</v>
      </c>
      <c r="F31" s="8" cm="1">
        <f t="array" aca="1" ref="F31" ca="1">[1]!UNIFORM_INV(RAND(),Sheet2!H$13-SQRT(3)*Sheet2!H$14,Sheet2!H$13+SQRT(3)*Sheet2!H$14)</f>
        <v>31.461473135606937</v>
      </c>
      <c r="G31" s="8" cm="1">
        <f t="array" aca="1" ref="G31" ca="1">[1]!UNIFORM_INV(RAND(),Sheet2!I$13-SQRT(3)*Sheet2!I$14,Sheet2!I$13+SQRT(3)*Sheet2!I$14)</f>
        <v>12.343304687705224</v>
      </c>
      <c r="H31" s="8" cm="1">
        <f t="array" aca="1" ref="H31" ca="1">[1]!UNIFORM_INV(RAND(),Sheet2!J$13-SQRT(3)*Sheet2!J$14,Sheet2!J$13+SQRT(3)*Sheet2!J$14)</f>
        <v>19.58248020167537</v>
      </c>
      <c r="I31" s="8" cm="1">
        <f t="array" aca="1" ref="I31" ca="1">[1]!UNIFORM_INV(RAND(),Sheet2!K$13-SQRT(3)*Sheet2!K$14,Sheet2!K$13+SQRT(3)*Sheet2!K$14)</f>
        <v>30.02942773607661</v>
      </c>
      <c r="J31" s="8" cm="1">
        <f t="array" aca="1" ref="J31" ca="1">[1]!UNIFORM_INV(RAND(),Sheet2!L$13-SQRT(3)*Sheet2!L$14,Sheet2!L$13+SQRT(3)*Sheet2!L$14)</f>
        <v>21.377698265746094</v>
      </c>
      <c r="K31" s="8" cm="1">
        <f t="array" aca="1" ref="K31" ca="1">[1]!UNIFORM_INV(RAND(),Sheet2!M$13-SQRT(3)*Sheet2!M$14,Sheet2!M$13+SQRT(3)*Sheet2!M$14)</f>
        <v>19.388871853171242</v>
      </c>
      <c r="L31" s="8" cm="1">
        <f t="array" aca="1" ref="L31" ca="1">[1]!UNIFORM_INV(RAND(),Sheet2!N$13-SQRT(3)*Sheet2!N$14,Sheet2!N$13+SQRT(3)*Sheet2!N$14)</f>
        <v>8.99721670126155</v>
      </c>
      <c r="M31" s="8" cm="1">
        <f t="array" aca="1" ref="M31" ca="1">[1]!UNIFORM_INV(RAND(),Sheet2!O$13-SQRT(3)*Sheet2!O$14,Sheet2!O$13+SQRT(3)*Sheet2!O$14)</f>
        <v>5.2410065158706836</v>
      </c>
      <c r="N31" s="8" cm="1">
        <f t="array" aca="1" ref="N31" ca="1">[1]!UNIFORM_INV(RAND(),Sheet2!P$13-SQRT(3)*Sheet2!P$14,Sheet2!P$13+SQRT(3)*Sheet2!P$14)</f>
        <v>25.259611549681306</v>
      </c>
      <c r="O31" s="8" cm="1">
        <f t="array" aca="1" ref="O31" ca="1">[1]!UNIFORM_INV(RAND(),Sheet2!Q$13-SQRT(3)*Sheet2!Q$14,Sheet2!Q$13+SQRT(3)*Sheet2!Q$14)</f>
        <v>13.74329396628098</v>
      </c>
      <c r="P31" s="8" cm="1">
        <f t="array" aca="1" ref="P31" ca="1">[1]!UNIFORM_INV(RAND(),Sheet2!R$13-SQRT(3)*Sheet2!R$14,Sheet2!R$13+SQRT(3)*Sheet2!R$14)</f>
        <v>11.331873202080621</v>
      </c>
      <c r="Q31" s="8" cm="1">
        <f t="array" aca="1" ref="Q31" ca="1">[1]!UNIFORM_INV(RAND(),Sheet2!S$13-SQRT(3)*Sheet2!S$14,Sheet2!S$13+SQRT(3)*Sheet2!S$14)</f>
        <v>3.0642928870217432</v>
      </c>
      <c r="R31" s="8" cm="1">
        <f t="array" aca="1" ref="R31" ca="1">[1]!UNIFORM_INV(RAND(),Sheet2!T$13-SQRT(3)*Sheet2!T$14,Sheet2!T$13+SQRT(3)*Sheet2!T$14)</f>
        <v>13.666227924503447</v>
      </c>
      <c r="S31" s="8" cm="1">
        <f t="array" aca="1" ref="S31" ca="1">[1]!UNIFORM_INV(RAND(),Sheet2!U$13-SQRT(3)*Sheet2!U$14,Sheet2!U$13+SQRT(3)*Sheet2!U$14)</f>
        <v>21.948806749926952</v>
      </c>
      <c r="T31" s="8" cm="1">
        <f t="array" aca="1" ref="T31" ca="1">[1]!UNIFORM_INV(RAND(),Sheet2!V$13-SQRT(3)*Sheet2!V$14,Sheet2!V$13+SQRT(3)*Sheet2!V$14)</f>
        <v>24.933218378381561</v>
      </c>
      <c r="U31" s="8" cm="1">
        <f t="array" aca="1" ref="U31" ca="1">[1]!UNIFORM_INV(RAND(),Sheet2!W$13-SQRT(3)*Sheet2!W$14,Sheet2!W$13+SQRT(3)*Sheet2!W$14)</f>
        <v>24.076841067704169</v>
      </c>
      <c r="V31" s="8" cm="1">
        <f t="array" aca="1" ref="V31" ca="1">[1]!UNIFORM_INV(RAND(),Sheet2!X$13-SQRT(3)*Sheet2!X$14,Sheet2!X$13+SQRT(3)*Sheet2!X$14)</f>
        <v>21.789794741786775</v>
      </c>
      <c r="W31" s="8" cm="1">
        <f t="array" aca="1" ref="W31" ca="1">[1]!UNIFORM_INV(RAND(),Sheet2!Y$13-SQRT(3)*Sheet2!Y$14,Sheet2!Y$13+SQRT(3)*Sheet2!Y$14)</f>
        <v>22.895820455153853</v>
      </c>
      <c r="X31" s="8" cm="1">
        <f t="array" aca="1" ref="X31" ca="1">[1]!UNIFORM_INV(RAND(),Sheet2!Z$13-SQRT(3)*Sheet2!Z$14,Sheet2!Z$13+SQRT(3)*Sheet2!Z$14)</f>
        <v>7.1939297867835981</v>
      </c>
      <c r="AX31" s="7">
        <f ca="1">Sheet2!C$13+('RNG HERE'!A31-'RNG HERE'!Y$2)*Sheet2!C$14/'RNG HERE'!Y$3</f>
        <v>2.7088493621895484</v>
      </c>
      <c r="AY31" s="7">
        <f ca="1">Sheet2!D$13+('RNG HERE'!B31-'RNG HERE'!Z$2)*Sheet2!D$14/'RNG HERE'!Z$3</f>
        <v>4.6614039336221005</v>
      </c>
      <c r="AZ31" s="7">
        <f ca="1">Sheet2!E$13+('RNG HERE'!C31-'RNG HERE'!AA$2)*Sheet2!E$14/'RNG HERE'!AA$3</f>
        <v>17.78732859215004</v>
      </c>
      <c r="BA31" s="7">
        <f ca="1">Sheet2!F$13+('RNG HERE'!D31-'RNG HERE'!AB$2)*Sheet2!F$14/'RNG HERE'!AB$3</f>
        <v>19.61675800912537</v>
      </c>
      <c r="BB31" s="7">
        <f ca="1">Sheet2!G$13+('RNG HERE'!E31-'RNG HERE'!AC$2)*Sheet2!G$14/'RNG HERE'!AC$3</f>
        <v>21.337386545280864</v>
      </c>
      <c r="BC31" s="7">
        <f ca="1">Sheet2!H$13+('RNG HERE'!F31-'RNG HERE'!AD$2)*Sheet2!H$14/'RNG HERE'!AD$3</f>
        <v>32.08236967443721</v>
      </c>
      <c r="BD31" s="7">
        <f ca="1">Sheet2!I$13+('RNG HERE'!G31-'RNG HERE'!AE$2)*Sheet2!I$14/'RNG HERE'!AE$3</f>
        <v>12.38526758096179</v>
      </c>
      <c r="BE31" s="7">
        <f ca="1">Sheet2!J$13+('RNG HERE'!H31-'RNG HERE'!AF$2)*Sheet2!J$14/'RNG HERE'!AF$3</f>
        <v>19.469937868075764</v>
      </c>
      <c r="BF31" s="7">
        <f ca="1">Sheet2!K$13+('RNG HERE'!I31-'RNG HERE'!AG$2)*Sheet2!K$14/'RNG HERE'!AG$3</f>
        <v>29.698067303020864</v>
      </c>
      <c r="BG31" s="7">
        <f ca="1">Sheet2!L$13+('RNG HERE'!J31-'RNG HERE'!AH$2)*Sheet2!L$14/'RNG HERE'!AH$3</f>
        <v>21.391365431534847</v>
      </c>
      <c r="BH31" s="7">
        <f ca="1">Sheet2!M$13+('RNG HERE'!K31-'RNG HERE'!AI$2)*Sheet2!M$14/'RNG HERE'!AI$3</f>
        <v>19.570275964072795</v>
      </c>
      <c r="BI31" s="7">
        <f ca="1">Sheet2!N$13+('RNG HERE'!L31-'RNG HERE'!AJ$2)*Sheet2!N$14/'RNG HERE'!AJ$3</f>
        <v>8.7040477563105689</v>
      </c>
      <c r="BJ31" s="7">
        <f ca="1">Sheet2!O$13+('RNG HERE'!M31-'RNG HERE'!AK$2)*Sheet2!O$14/'RNG HERE'!AK$3</f>
        <v>5.202018239641232</v>
      </c>
      <c r="BK31" s="7">
        <f ca="1">Sheet2!P$13+('RNG HERE'!N31-'RNG HERE'!AL$2)*Sheet2!P$14/'RNG HERE'!AL$3</f>
        <v>25.350448783472579</v>
      </c>
      <c r="BL31" s="7">
        <f ca="1">Sheet2!Q$13+('RNG HERE'!O31-'RNG HERE'!AM$2)*Sheet2!Q$14/'RNG HERE'!AM$3</f>
        <v>13.881987539330209</v>
      </c>
      <c r="BM31" s="7">
        <f ca="1">Sheet2!R$13+('RNG HERE'!P31-'RNG HERE'!AN$2)*Sheet2!R$14/'RNG HERE'!AN$3</f>
        <v>11.515054703684273</v>
      </c>
      <c r="BN31" s="7">
        <f ca="1">Sheet2!S$13+('RNG HERE'!Q31-'RNG HERE'!AO$2)*Sheet2!S$14/'RNG HERE'!AO$3</f>
        <v>3.1785491532761152</v>
      </c>
      <c r="BO31" s="7">
        <f ca="1">Sheet2!T$13+('RNG HERE'!R31-'RNG HERE'!AP$2)*Sheet2!T$14/'RNG HERE'!AP$3</f>
        <v>14.599161241462037</v>
      </c>
      <c r="BP31" s="7">
        <f ca="1">Sheet2!U$13+('RNG HERE'!S31-'RNG HERE'!AQ$2)*Sheet2!U$14/'RNG HERE'!AQ$3</f>
        <v>22.195930260344628</v>
      </c>
      <c r="BQ31" s="7">
        <f ca="1">Sheet2!V$13+('RNG HERE'!T31-'RNG HERE'!AR$2)*Sheet2!V$14/'RNG HERE'!AR$3</f>
        <v>24.506480404248553</v>
      </c>
      <c r="BR31" s="7">
        <f ca="1">Sheet2!W$13+('RNG HERE'!U31-'RNG HERE'!AS$2)*Sheet2!W$14/'RNG HERE'!AS$3</f>
        <v>24.123824126116475</v>
      </c>
      <c r="BS31" s="7">
        <f ca="1">Sheet2!X$13+('RNG HERE'!V31-'RNG HERE'!AT$2)*Sheet2!X$14/'RNG HERE'!AT$3</f>
        <v>22.05134089038166</v>
      </c>
      <c r="BT31" s="7">
        <f ca="1">Sheet2!Y$13+('RNG HERE'!W31-'RNG HERE'!AU$2)*Sheet2!Y$14/'RNG HERE'!AU$3</f>
        <v>22.652065857691003</v>
      </c>
      <c r="BU31" s="7" t="e">
        <f ca="1">Sheet2!Z$13+('RNG HERE'!X31-'RNG HERE'!AV$2)*Sheet2!Z$14/'RNG HERE'!AV$3</f>
        <v>#NAME?</v>
      </c>
    </row>
    <row r="32" spans="1:97" x14ac:dyDescent="0.3">
      <c r="A32" s="8" cm="1">
        <f t="array" aca="1" ref="A32" ca="1">[1]!UNIFORM_INV(RAND(),Sheet2!C$15-SQRT(3)*Sheet2!C$16,Sheet2!C$15+SQRT(3)*Sheet2!C$16)</f>
        <v>4.916704278355545</v>
      </c>
      <c r="B32" s="8" cm="1">
        <f t="array" aca="1" ref="B32" ca="1">[1]!UNIFORM_INV(RAND(),Sheet2!D$15-SQRT(3)*Sheet2!D$16,Sheet2!D$15+SQRT(3)*Sheet2!D$16)</f>
        <v>6.361233048492732</v>
      </c>
      <c r="C32" s="8" cm="1">
        <f t="array" aca="1" ref="C32" ca="1">[1]!UNIFORM_INV(RAND(),Sheet2!E$15-SQRT(3)*Sheet2!E$16,Sheet2!E$15+SQRT(3)*Sheet2!E$16)</f>
        <v>18.555883794182243</v>
      </c>
      <c r="D32" s="8" cm="1">
        <f t="array" aca="1" ref="D32" ca="1">[1]!UNIFORM_INV(RAND(),Sheet2!F$15-SQRT(3)*Sheet2!F$16,Sheet2!F$15+SQRT(3)*Sheet2!F$16)</f>
        <v>20.450049550245161</v>
      </c>
      <c r="E32" s="8" cm="1">
        <f t="array" aca="1" ref="E32" ca="1">[1]!UNIFORM_INV(RAND(),Sheet2!G$15-SQRT(3)*Sheet2!G$16,Sheet2!G$15+SQRT(3)*Sheet2!G$16)</f>
        <v>15.387810599085149</v>
      </c>
      <c r="F32" s="8" cm="1">
        <f t="array" aca="1" ref="F32" ca="1">[1]!UNIFORM_INV(RAND(),Sheet2!H$15-SQRT(3)*Sheet2!H$16,Sheet2!H$15+SQRT(3)*Sheet2!H$16)</f>
        <v>33.478328165587683</v>
      </c>
      <c r="G32" s="8" cm="1">
        <f t="array" aca="1" ref="G32" ca="1">[1]!UNIFORM_INV(RAND(),Sheet2!I$15-SQRT(3)*Sheet2!I$16,Sheet2!I$15+SQRT(3)*Sheet2!I$16)</f>
        <v>12.176717466143964</v>
      </c>
      <c r="H32" s="8" cm="1">
        <f t="array" aca="1" ref="H32" ca="1">[1]!UNIFORM_INV(RAND(),Sheet2!J$15-SQRT(3)*Sheet2!J$16,Sheet2!J$15+SQRT(3)*Sheet2!J$16)</f>
        <v>21.738034379614547</v>
      </c>
      <c r="I32" s="8" cm="1">
        <f t="array" aca="1" ref="I32" ca="1">[1]!UNIFORM_INV(RAND(),Sheet2!K$15-SQRT(3)*Sheet2!K$16,Sheet2!K$15+SQRT(3)*Sheet2!K$16)</f>
        <v>26.745259005531967</v>
      </c>
      <c r="J32" s="8" cm="1">
        <f t="array" aca="1" ref="J32" ca="1">[1]!UNIFORM_INV(RAND(),Sheet2!L$15-SQRT(3)*Sheet2!L$16,Sheet2!L$15+SQRT(3)*Sheet2!L$16)</f>
        <v>22.516325138285719</v>
      </c>
      <c r="K32" s="8" cm="1">
        <f t="array" aca="1" ref="K32" ca="1">[1]!UNIFORM_INV(RAND(),Sheet2!M$15-SQRT(3)*Sheet2!M$16,Sheet2!M$15+SQRT(3)*Sheet2!M$16)</f>
        <v>17.467099291909268</v>
      </c>
      <c r="L32" s="8" cm="1">
        <f t="array" aca="1" ref="L32" ca="1">[1]!UNIFORM_INV(RAND(),Sheet2!N$15-SQRT(3)*Sheet2!N$16,Sheet2!N$15+SQRT(3)*Sheet2!N$16)</f>
        <v>8.6954113363279699</v>
      </c>
      <c r="M32" s="8" cm="1">
        <f t="array" aca="1" ref="M32" ca="1">[1]!UNIFORM_INV(RAND(),Sheet2!O$15-SQRT(3)*Sheet2!O$16,Sheet2!O$15+SQRT(3)*Sheet2!O$16)</f>
        <v>5.0983986802008383</v>
      </c>
      <c r="N32" s="8" cm="1">
        <f t="array" aca="1" ref="N32" ca="1">[1]!UNIFORM_INV(RAND(),Sheet2!P$15-SQRT(3)*Sheet2!P$16,Sheet2!P$15+SQRT(3)*Sheet2!P$16)</f>
        <v>19.946380334354032</v>
      </c>
      <c r="O32" s="8" cm="1">
        <f t="array" aca="1" ref="O32" ca="1">[1]!UNIFORM_INV(RAND(),Sheet2!Q$15-SQRT(3)*Sheet2!Q$16,Sheet2!Q$15+SQRT(3)*Sheet2!Q$16)</f>
        <v>10.835392107368383</v>
      </c>
      <c r="P32" s="8" cm="1">
        <f t="array" aca="1" ref="P32" ca="1">[1]!UNIFORM_INV(RAND(),Sheet2!R$15-SQRT(3)*Sheet2!R$16,Sheet2!R$15+SQRT(3)*Sheet2!R$16)</f>
        <v>9.0599821626501651</v>
      </c>
      <c r="Q32" s="8" cm="1">
        <f t="array" aca="1" ref="Q32" ca="1">[1]!UNIFORM_INV(RAND(),Sheet2!S$15-SQRT(3)*Sheet2!S$16,Sheet2!S$15+SQRT(3)*Sheet2!S$16)</f>
        <v>4.6858839657206266</v>
      </c>
      <c r="R32" s="8" cm="1">
        <f t="array" aca="1" ref="R32" ca="1">[1]!UNIFORM_INV(RAND(),Sheet2!T$15-SQRT(3)*Sheet2!T$16,Sheet2!T$15+SQRT(3)*Sheet2!T$16)</f>
        <v>19.199448136505783</v>
      </c>
      <c r="S32" s="8" cm="1">
        <f t="array" aca="1" ref="S32" ca="1">[1]!UNIFORM_INV(RAND(),Sheet2!U$15-SQRT(3)*Sheet2!U$16,Sheet2!U$15+SQRT(3)*Sheet2!U$16)</f>
        <v>23.490971425858952</v>
      </c>
      <c r="T32" s="8" cm="1">
        <f t="array" aca="1" ref="T32" ca="1">[1]!UNIFORM_INV(RAND(),Sheet2!V$15-SQRT(3)*Sheet2!V$16,Sheet2!V$15+SQRT(3)*Sheet2!V$16)</f>
        <v>19.859911712346342</v>
      </c>
      <c r="U32" s="8" cm="1">
        <f t="array" aca="1" ref="U32" ca="1">[1]!UNIFORM_INV(RAND(),Sheet2!W$15-SQRT(3)*Sheet2!W$16,Sheet2!W$15+SQRT(3)*Sheet2!W$16)</f>
        <v>26.510284859699102</v>
      </c>
      <c r="V32" s="8" cm="1">
        <f t="array" aca="1" ref="V32" ca="1">[1]!UNIFORM_INV(RAND(),Sheet2!X$15-SQRT(3)*Sheet2!X$16,Sheet2!X$15+SQRT(3)*Sheet2!X$16)</f>
        <v>20.427518060202949</v>
      </c>
      <c r="W32" s="8" cm="1">
        <f t="array" aca="1" ref="W32" ca="1">[1]!UNIFORM_INV(RAND(),Sheet2!Y$15-SQRT(3)*Sheet2!Y$16,Sheet2!Y$15+SQRT(3)*Sheet2!Y$16)</f>
        <v>20.804330906485081</v>
      </c>
      <c r="X32" s="8" cm="1">
        <f t="array" aca="1" ref="X32" ca="1">[1]!UNIFORM_INV(RAND(),Sheet2!Z$15-SQRT(3)*Sheet2!Z$16,Sheet2!Z$15+SQRT(3)*Sheet2!Z$16)</f>
        <v>8.3842700540503827</v>
      </c>
      <c r="Y32" s="5">
        <f ca="1">AVERAGE(A32:A61)</f>
        <v>4.719281140098798</v>
      </c>
      <c r="Z32" s="5">
        <f t="shared" ref="Z32:AQ32" ca="1" si="25">AVERAGE(B32:B61)</f>
        <v>9.559669716762853</v>
      </c>
      <c r="AA32" s="5">
        <f t="shared" ca="1" si="25"/>
        <v>17.321257829417203</v>
      </c>
      <c r="AB32" s="5">
        <f t="shared" ca="1" si="25"/>
        <v>16.357175111182816</v>
      </c>
      <c r="AC32" s="5">
        <f t="shared" ca="1" si="25"/>
        <v>21.852090683086121</v>
      </c>
      <c r="AD32" s="5">
        <f t="shared" ca="1" si="25"/>
        <v>32.169545568472856</v>
      </c>
      <c r="AE32" s="5">
        <f t="shared" ca="1" si="25"/>
        <v>12.687833709918635</v>
      </c>
      <c r="AF32" s="5">
        <f t="shared" ca="1" si="25"/>
        <v>22.131685515896756</v>
      </c>
      <c r="AG32" s="5">
        <f t="shared" ca="1" si="25"/>
        <v>24.287861576465456</v>
      </c>
      <c r="AH32" s="5">
        <f t="shared" ca="1" si="25"/>
        <v>23.575103451380656</v>
      </c>
      <c r="AI32" s="5">
        <f t="shared" ca="1" si="25"/>
        <v>17.053027185715496</v>
      </c>
      <c r="AJ32" s="5">
        <f t="shared" ca="1" si="25"/>
        <v>8.4388171833148604</v>
      </c>
      <c r="AK32" s="5">
        <f t="shared" ca="1" si="25"/>
        <v>4.7124436121733622</v>
      </c>
      <c r="AL32" s="5">
        <f t="shared" ca="1" si="25"/>
        <v>23.280342487431245</v>
      </c>
      <c r="AM32" s="5">
        <f t="shared" ca="1" si="25"/>
        <v>9.5127933260857365</v>
      </c>
      <c r="AN32" s="5">
        <f t="shared" ca="1" si="25"/>
        <v>9.3644471977424946</v>
      </c>
      <c r="AO32" s="5">
        <f t="shared" ca="1" si="25"/>
        <v>3.61685365328078</v>
      </c>
      <c r="AP32" s="5">
        <f t="shared" ca="1" si="25"/>
        <v>18.112672426236948</v>
      </c>
      <c r="AQ32" s="5">
        <f t="shared" ca="1" si="25"/>
        <v>23.880370722039157</v>
      </c>
      <c r="AR32" s="5">
        <f ca="1">AVERAGE(T32:T61)</f>
        <v>22.313457186784799</v>
      </c>
      <c r="AS32" s="5">
        <f ca="1">AVERAGE(U32:U61)</f>
        <v>26.303067872934715</v>
      </c>
      <c r="AT32" s="5">
        <f t="shared" ref="AT32" ca="1" si="26">AVERAGE(V32:V61)</f>
        <v>21.734599424682585</v>
      </c>
      <c r="AU32" s="5">
        <f ca="1">AVERAGE(W32:W61)</f>
        <v>21.553424036443051</v>
      </c>
      <c r="AV32" s="5">
        <f t="shared" ref="AV32" ca="1" si="27">AVERAGE(X32:X61)</f>
        <v>8.0581281805384055</v>
      </c>
      <c r="AX32" s="7">
        <f ca="1">Sheet2!C$15+('RNG HERE'!A32-'RNG HERE'!Y$32)*Sheet2!C$16/'RNG HERE'!Y$33</f>
        <v>4.8003093797609377</v>
      </c>
      <c r="AY32" s="7">
        <f ca="1">Sheet2!D$15+('RNG HERE'!B32-'RNG HERE'!Z$32)*Sheet2!D$16/'RNG HERE'!Z$33</f>
        <v>5.2997102059468775</v>
      </c>
      <c r="AZ32" s="7">
        <f ca="1">Sheet2!E$15+('RNG HERE'!C32-'RNG HERE'!AA$32)*Sheet2!E$16/'RNG HERE'!AA$33</f>
        <v>18.708012618175161</v>
      </c>
      <c r="BA32" s="7">
        <f ca="1">Sheet2!F$15+('RNG HERE'!D32-'RNG HERE'!AB$32)*Sheet2!F$16/'RNG HERE'!AB$33</f>
        <v>20.292632082977146</v>
      </c>
      <c r="BB32" s="7">
        <f ca="1">Sheet2!G$15+('RNG HERE'!E32-'RNG HERE'!AC$32)*Sheet2!G$16/'RNG HERE'!AC$33</f>
        <v>14.271493850111717</v>
      </c>
      <c r="BC32" s="7">
        <f ca="1">Sheet2!H$15+('RNG HERE'!F32-'RNG HERE'!AD$32)*Sheet2!H$16/'RNG HERE'!AD$33</f>
        <v>31.975004432317522</v>
      </c>
      <c r="BD32" s="7">
        <f ca="1">Sheet2!I$15+('RNG HERE'!G32-'RNG HERE'!AE$32)*Sheet2!I$16/'RNG HERE'!AE$33</f>
        <v>12.11579846526754</v>
      </c>
      <c r="BE32" s="7">
        <f ca="1">Sheet2!J$15+('RNG HERE'!H32-'RNG HERE'!AF$32)*Sheet2!J$16/'RNG HERE'!AF$33</f>
        <v>21.811319007939286</v>
      </c>
      <c r="BF32" s="7">
        <f ca="1">Sheet2!K$15+('RNG HERE'!I32-'RNG HERE'!AG$32)*Sheet2!K$16/'RNG HERE'!AG$33</f>
        <v>27.441842226257574</v>
      </c>
      <c r="BG32" s="7">
        <f ca="1">Sheet2!L$15+('RNG HERE'!J32-'RNG HERE'!AH$32)*Sheet2!L$16/'RNG HERE'!AH$33</f>
        <v>22.159893018804322</v>
      </c>
      <c r="BH32" s="7">
        <f ca="1">Sheet2!M$15+('RNG HERE'!K32-'RNG HERE'!AI$32)*Sheet2!M$16/'RNG HERE'!AI$33</f>
        <v>17.521144276532091</v>
      </c>
      <c r="BI32" s="7">
        <f ca="1">Sheet2!N$15+('RNG HERE'!L32-'RNG HERE'!AJ$32)*Sheet2!N$16/'RNG HERE'!AJ$33</f>
        <v>8.5673394346609886</v>
      </c>
      <c r="BJ32" s="7">
        <f ca="1">Sheet2!O$15+('RNG HERE'!M32-'RNG HERE'!AK$32)*Sheet2!O$16/'RNG HERE'!AK$33</f>
        <v>5.2985415449785878</v>
      </c>
      <c r="BK32" s="7">
        <f ca="1">Sheet2!P$15+('RNG HERE'!N32-'RNG HERE'!AL$32)*Sheet2!P$16/'RNG HERE'!AL$33</f>
        <v>19.265553578433007</v>
      </c>
      <c r="BL32" s="7">
        <f ca="1">Sheet2!Q$15+('RNG HERE'!O32-'RNG HERE'!AM$32)*Sheet2!Q$16/'RNG HERE'!AM$33</f>
        <v>10.766364221311484</v>
      </c>
      <c r="BM32" s="7">
        <f ca="1">Sheet2!R$15+('RNG HERE'!P32-'RNG HERE'!AN$32)*Sheet2!R$16/'RNG HERE'!AN$33</f>
        <v>8.9100180801983324</v>
      </c>
      <c r="BN32" s="7">
        <f ca="1">Sheet2!S$15+('RNG HERE'!Q32-'RNG HERE'!AO$32)*Sheet2!S$16/'RNG HERE'!AO$33</f>
        <v>4.9020440347813778</v>
      </c>
      <c r="BO32" s="7">
        <f ca="1">Sheet2!T$15+('RNG HERE'!R32-'RNG HERE'!AP$32)*Sheet2!T$16/'RNG HERE'!AP$33</f>
        <v>18.932091451918641</v>
      </c>
      <c r="BP32" s="7">
        <f ca="1">Sheet2!U$15+('RNG HERE'!S32-'RNG HERE'!AQ$32)*Sheet2!U$16/'RNG HERE'!AQ$33</f>
        <v>23.470384552563949</v>
      </c>
      <c r="BQ32" s="7">
        <f ca="1">Sheet2!V$15+('RNG HERE'!T32-'RNG HERE'!AR$32)*Sheet2!V$16/'RNG HERE'!AR$33</f>
        <v>19.584170058454049</v>
      </c>
      <c r="BR32" s="7">
        <f ca="1">Sheet2!W$15+('RNG HERE'!U32-'RNG HERE'!AS$32)*Sheet2!W$16/'RNG HERE'!AS$33</f>
        <v>26.640546395464408</v>
      </c>
      <c r="BS32" s="7">
        <f ca="1">Sheet2!X$15+('RNG HERE'!V32-'RNG HERE'!AT$32)*Sheet2!X$16/'RNG HERE'!AT$33</f>
        <v>20.588218508759244</v>
      </c>
      <c r="BT32" s="7">
        <f ca="1">Sheet2!Y$15+('RNG HERE'!W32-'RNG HERE'!AU$32)*Sheet2!Y$16/'RNG HERE'!AU$33</f>
        <v>20.647680448258271</v>
      </c>
      <c r="BU32" s="7">
        <f ca="1">Sheet2!Z$15+('RNG HERE'!X32-'RNG HERE'!AV$32)*Sheet2!Z$16/'RNG HERE'!AV$33</f>
        <v>8.5315401576228389</v>
      </c>
      <c r="BV32" s="5">
        <f ca="1">AVERAGE(AX32:AX61)</f>
        <v>4.5999999999999979</v>
      </c>
      <c r="BW32" s="5">
        <f t="shared" ref="BW32" ca="1" si="28">AVERAGE(AY32:AY61)</f>
        <v>9.0999999999999961</v>
      </c>
      <c r="BX32" s="5">
        <f t="shared" ref="BX32" ca="1" si="29">AVERAGE(AZ32:AZ61)</f>
        <v>17.399999999999991</v>
      </c>
      <c r="BY32" s="5">
        <f t="shared" ref="BY32" ca="1" si="30">AVERAGE(BA32:BA61)</f>
        <v>16.5</v>
      </c>
      <c r="BZ32" s="5">
        <f t="shared" ref="BZ32" ca="1" si="31">AVERAGE(BB32:BB61)</f>
        <v>21.700000000000006</v>
      </c>
      <c r="CA32" s="5">
        <f t="shared" ref="CA32" ca="1" si="32">AVERAGE(BC32:BC61)</f>
        <v>30.600000000000005</v>
      </c>
      <c r="CB32" s="5">
        <f t="shared" ref="CB32" ca="1" si="33">AVERAGE(BD32:BD61)</f>
        <v>12.7</v>
      </c>
      <c r="CC32" s="5">
        <f t="shared" ref="CC32" ca="1" si="34">AVERAGE(BE32:BE61)</f>
        <v>22.199999999999996</v>
      </c>
      <c r="CD32" s="5">
        <f t="shared" ref="CD32" ca="1" si="35">AVERAGE(BF32:BF61)</f>
        <v>24.7</v>
      </c>
      <c r="CE32" s="5">
        <f t="shared" ref="CE32" ca="1" si="36">AVERAGE(BG32:BG61)</f>
        <v>23.300000000000004</v>
      </c>
      <c r="CF32" s="5">
        <f t="shared" ref="CF32" ca="1" si="37">AVERAGE(BH32:BH61)</f>
        <v>17.100000000000001</v>
      </c>
      <c r="CG32" s="5">
        <f t="shared" ref="CG32" ca="1" si="38">AVERAGE(BI32:BI61)</f>
        <v>8.3000000000000025</v>
      </c>
      <c r="CH32" s="5">
        <f t="shared" ref="CH32" ca="1" si="39">AVERAGE(BJ32:BJ61)</f>
        <v>4.9000000000000012</v>
      </c>
      <c r="CI32" s="5">
        <f t="shared" ref="CI32" ca="1" si="40">AVERAGE(BK32:BK61)</f>
        <v>22.999999999999996</v>
      </c>
      <c r="CJ32" s="5">
        <f t="shared" ref="CJ32" ca="1" si="41">AVERAGE(BL32:BL61)</f>
        <v>9.4000000000000039</v>
      </c>
      <c r="CK32" s="5">
        <f t="shared" ref="CK32" ca="1" si="42">AVERAGE(BM32:BM61)</f>
        <v>9.23</v>
      </c>
      <c r="CL32" s="5">
        <f t="shared" ref="CL32" ca="1" si="43">AVERAGE(BN32:BN61)</f>
        <v>3.8000000000000012</v>
      </c>
      <c r="CM32" s="5">
        <f t="shared" ref="CM32" ca="1" si="44">AVERAGE(BO32:BO61)</f>
        <v>17.7</v>
      </c>
      <c r="CN32" s="5">
        <f t="shared" ref="CN32" ca="1" si="45">AVERAGE(BP32:BP61)</f>
        <v>23.899999999999991</v>
      </c>
      <c r="CO32" s="5">
        <f ca="1">AVERAGE(BQ32:BQ61)</f>
        <v>22.100000000000009</v>
      </c>
      <c r="CP32" s="5">
        <f ca="1">AVERAGE(BR32:BR61)</f>
        <v>26.4</v>
      </c>
      <c r="CQ32" s="5">
        <f t="shared" ref="CQ32" ca="1" si="46">AVERAGE(BS32:BS61)</f>
        <v>21.8</v>
      </c>
      <c r="CR32" s="5">
        <f ca="1">AVERAGE(BT32:BT61)</f>
        <v>21.500000000000007</v>
      </c>
      <c r="CS32" s="5">
        <f t="shared" ref="CS32" ca="1" si="47">AVERAGE(BU32:BU61)</f>
        <v>8.2000000000000046</v>
      </c>
    </row>
    <row r="33" spans="1:97" x14ac:dyDescent="0.3">
      <c r="A33" s="8" cm="1">
        <f t="array" aca="1" ref="A33" ca="1">[1]!UNIFORM_INV(RAND(),Sheet2!C$15-SQRT(3)*Sheet2!C$16,Sheet2!C$15+SQRT(3)*Sheet2!C$16)</f>
        <v>5.8539917642039958</v>
      </c>
      <c r="B33" s="8" cm="1">
        <f t="array" aca="1" ref="B33" ca="1">[1]!UNIFORM_INV(RAND(),Sheet2!D$15-SQRT(3)*Sheet2!D$16,Sheet2!D$15+SQRT(3)*Sheet2!D$16)</f>
        <v>8.9662025741149769</v>
      </c>
      <c r="C33" s="8" cm="1">
        <f t="array" aca="1" ref="C33" ca="1">[1]!UNIFORM_INV(RAND(),Sheet2!E$15-SQRT(3)*Sheet2!E$16,Sheet2!E$15+SQRT(3)*Sheet2!E$16)</f>
        <v>16.325317164309372</v>
      </c>
      <c r="D33" s="8" cm="1">
        <f t="array" aca="1" ref="D33" ca="1">[1]!UNIFORM_INV(RAND(),Sheet2!F$15-SQRT(3)*Sheet2!F$16,Sheet2!F$15+SQRT(3)*Sheet2!F$16)</f>
        <v>20.008900472579597</v>
      </c>
      <c r="E33" s="8" cm="1">
        <f t="array" aca="1" ref="E33" ca="1">[1]!UNIFORM_INV(RAND(),Sheet2!G$15-SQRT(3)*Sheet2!G$16,Sheet2!G$15+SQRT(3)*Sheet2!G$16)</f>
        <v>25.31906625213179</v>
      </c>
      <c r="F33" s="8" cm="1">
        <f t="array" aca="1" ref="F33" ca="1">[1]!UNIFORM_INV(RAND(),Sheet2!H$15-SQRT(3)*Sheet2!H$16,Sheet2!H$15+SQRT(3)*Sheet2!H$16)</f>
        <v>26.481451941876092</v>
      </c>
      <c r="G33" s="8" cm="1">
        <f t="array" aca="1" ref="G33" ca="1">[1]!UNIFORM_INV(RAND(),Sheet2!I$15-SQRT(3)*Sheet2!I$16,Sheet2!I$15+SQRT(3)*Sheet2!I$16)</f>
        <v>12.294697969997786</v>
      </c>
      <c r="H33" s="8" cm="1">
        <f t="array" aca="1" ref="H33" ca="1">[1]!UNIFORM_INV(RAND(),Sheet2!J$15-SQRT(3)*Sheet2!J$16,Sheet2!J$15+SQRT(3)*Sheet2!J$16)</f>
        <v>22.422499954148794</v>
      </c>
      <c r="I33" s="8" cm="1">
        <f t="array" aca="1" ref="I33" ca="1">[1]!UNIFORM_INV(RAND(),Sheet2!K$15-SQRT(3)*Sheet2!K$16,Sheet2!K$15+SQRT(3)*Sheet2!K$16)</f>
        <v>22.809848810109266</v>
      </c>
      <c r="J33" s="8" cm="1">
        <f t="array" aca="1" ref="J33" ca="1">[1]!UNIFORM_INV(RAND(),Sheet2!L$15-SQRT(3)*Sheet2!L$16,Sheet2!L$15+SQRT(3)*Sheet2!L$16)</f>
        <v>21.459249893078262</v>
      </c>
      <c r="K33" s="8" cm="1">
        <f t="array" aca="1" ref="K33" ca="1">[1]!UNIFORM_INV(RAND(),Sheet2!M$15-SQRT(3)*Sheet2!M$16,Sheet2!M$15+SQRT(3)*Sheet2!M$16)</f>
        <v>17.5434294565183</v>
      </c>
      <c r="L33" s="8" cm="1">
        <f t="array" aca="1" ref="L33" ca="1">[1]!UNIFORM_INV(RAND(),Sheet2!N$15-SQRT(3)*Sheet2!N$16,Sheet2!N$15+SQRT(3)*Sheet2!N$16)</f>
        <v>8.3258673386163391</v>
      </c>
      <c r="M33" s="8" cm="1">
        <f t="array" aca="1" ref="M33" ca="1">[1]!UNIFORM_INV(RAND(),Sheet2!O$15-SQRT(3)*Sheet2!O$16,Sheet2!O$15+SQRT(3)*Sheet2!O$16)</f>
        <v>5.4509418499793547</v>
      </c>
      <c r="N33" s="8" cm="1">
        <f t="array" aca="1" ref="N33" ca="1">[1]!UNIFORM_INV(RAND(),Sheet2!P$15-SQRT(3)*Sheet2!P$16,Sheet2!P$15+SQRT(3)*Sheet2!P$16)</f>
        <v>24.588479789920342</v>
      </c>
      <c r="O33" s="8" cm="1">
        <f t="array" aca="1" ref="O33" ca="1">[1]!UNIFORM_INV(RAND(),Sheet2!Q$15-SQRT(3)*Sheet2!Q$16,Sheet2!Q$15+SQRT(3)*Sheet2!Q$16)</f>
        <v>9.0290878300325765</v>
      </c>
      <c r="P33" s="8" cm="1">
        <f t="array" aca="1" ref="P33" ca="1">[1]!UNIFORM_INV(RAND(),Sheet2!R$15-SQRT(3)*Sheet2!R$16,Sheet2!R$15+SQRT(3)*Sheet2!R$16)</f>
        <v>10.620459394918329</v>
      </c>
      <c r="Q33" s="8" cm="1">
        <f t="array" aca="1" ref="Q33" ca="1">[1]!UNIFORM_INV(RAND(),Sheet2!S$15-SQRT(3)*Sheet2!S$16,Sheet2!S$15+SQRT(3)*Sheet2!S$16)</f>
        <v>2.7152481003373725</v>
      </c>
      <c r="R33" s="8" cm="1">
        <f t="array" aca="1" ref="R33" ca="1">[1]!UNIFORM_INV(RAND(),Sheet2!T$15-SQRT(3)*Sheet2!T$16,Sheet2!T$15+SQRT(3)*Sheet2!T$16)</f>
        <v>18.712604861346424</v>
      </c>
      <c r="S33" s="8" cm="1">
        <f t="array" aca="1" ref="S33" ca="1">[1]!UNIFORM_INV(RAND(),Sheet2!U$15-SQRT(3)*Sheet2!U$16,Sheet2!U$15+SQRT(3)*Sheet2!U$16)</f>
        <v>23.180529946359272</v>
      </c>
      <c r="T33" s="8" cm="1">
        <f t="array" aca="1" ref="T33" ca="1">[1]!UNIFORM_INV(RAND(),Sheet2!V$15-SQRT(3)*Sheet2!V$16,Sheet2!V$15+SQRT(3)*Sheet2!V$16)</f>
        <v>23.480993986766496</v>
      </c>
      <c r="U33" s="8" cm="1">
        <f t="array" aca="1" ref="U33" ca="1">[1]!UNIFORM_INV(RAND(),Sheet2!W$15-SQRT(3)*Sheet2!W$16,Sheet2!W$15+SQRT(3)*Sheet2!W$16)</f>
        <v>27.309917146573312</v>
      </c>
      <c r="V33" s="8" cm="1">
        <f t="array" aca="1" ref="V33" ca="1">[1]!UNIFORM_INV(RAND(),Sheet2!X$15-SQRT(3)*Sheet2!X$16,Sheet2!X$15+SQRT(3)*Sheet2!X$16)</f>
        <v>19.736847148800553</v>
      </c>
      <c r="W33" s="8" cm="1">
        <f t="array" aca="1" ref="W33" ca="1">[1]!UNIFORM_INV(RAND(),Sheet2!Y$15-SQRT(3)*Sheet2!Y$16,Sheet2!Y$15+SQRT(3)*Sheet2!Y$16)</f>
        <v>20.127460193934184</v>
      </c>
      <c r="X33" s="8" cm="1">
        <f t="array" aca="1" ref="X33" ca="1">[1]!UNIFORM_INV(RAND(),Sheet2!Z$15-SQRT(3)*Sheet2!Z$16,Sheet2!Z$15+SQRT(3)*Sheet2!Z$16)</f>
        <v>7.6699205116512585</v>
      </c>
      <c r="Y33" s="5">
        <f ca="1">_xlfn.STDEV.S(A32:A61)</f>
        <v>1.1827092979412013</v>
      </c>
      <c r="Z33" s="5">
        <f t="shared" ref="Z33:AQ33" ca="1" si="48">_xlfn.STDEV.P(B32:B61)</f>
        <v>1.599096384497535</v>
      </c>
      <c r="AA33" s="5">
        <f t="shared" ca="1" si="48"/>
        <v>1.6046207130851242</v>
      </c>
      <c r="AB33" s="5">
        <f t="shared" ca="1" si="48"/>
        <v>2.5899951376350829</v>
      </c>
      <c r="AC33" s="5">
        <f t="shared" ca="1" si="48"/>
        <v>3.4807967866315566</v>
      </c>
      <c r="AD33" s="5">
        <f t="shared" ca="1" si="48"/>
        <v>3.0458842257755823</v>
      </c>
      <c r="AE33" s="5">
        <f t="shared" ca="1" si="48"/>
        <v>0.61242798823888556</v>
      </c>
      <c r="AF33" s="5">
        <f t="shared" ca="1" si="48"/>
        <v>0.91150848611256075</v>
      </c>
      <c r="AG33" s="5">
        <f t="shared" ca="1" si="48"/>
        <v>1.4340124493133584</v>
      </c>
      <c r="AH33" s="5">
        <f t="shared" ca="1" si="48"/>
        <v>1.4858652116797693</v>
      </c>
      <c r="AI33" s="5">
        <f t="shared" ca="1" si="48"/>
        <v>0.68824507535140289</v>
      </c>
      <c r="AJ33" s="5">
        <f t="shared" ca="1" si="48"/>
        <v>0.6718646178665959</v>
      </c>
      <c r="AK33" s="5">
        <f t="shared" ca="1" si="48"/>
        <v>0.96841865770408608</v>
      </c>
      <c r="AL33" s="5">
        <f t="shared" ca="1" si="48"/>
        <v>2.0533466239582592</v>
      </c>
      <c r="AM33" s="5">
        <f t="shared" ca="1" si="48"/>
        <v>1.0647663607690832</v>
      </c>
      <c r="AN33" s="5">
        <f t="shared" ca="1" si="48"/>
        <v>0.95150699539850025</v>
      </c>
      <c r="AO33" s="5">
        <f t="shared" ca="1" si="48"/>
        <v>0.67903023390199035</v>
      </c>
      <c r="AP33" s="5">
        <f t="shared" ca="1" si="48"/>
        <v>1.4112922654583555</v>
      </c>
      <c r="AQ33" s="5">
        <f t="shared" ca="1" si="48"/>
        <v>0.72511228076950351</v>
      </c>
      <c r="AR33" s="5">
        <f ca="1">_xlfn.STDEV.P(T32:T61)</f>
        <v>1.26781586628626</v>
      </c>
      <c r="AS33" s="5">
        <f ca="1">_xlfn.STDEV.P(U32:U61)</f>
        <v>1.3783086551054646</v>
      </c>
      <c r="AT33" s="5">
        <f t="shared" ref="AT33" ca="1" si="49">_xlfn.STDEV.P(V32:V61)</f>
        <v>1.2943733244923235</v>
      </c>
      <c r="AU33" s="5">
        <f ca="1">_xlfn.STDEV.P(W32:W61)</f>
        <v>0.96677641768267009</v>
      </c>
      <c r="AV33" s="5">
        <f t="shared" ref="AV33" ca="1" si="50">_xlfn.STDEV.P(X32:X61)</f>
        <v>0.4918587779085834</v>
      </c>
      <c r="AX33" s="7">
        <f ca="1">Sheet2!C$15+('RNG HERE'!A33-'RNG HERE'!Y$32)*Sheet2!C$16/'RNG HERE'!Y$33</f>
        <v>5.751299606164026</v>
      </c>
      <c r="AY33" s="7">
        <f ca="1">Sheet2!D$15+('RNG HERE'!B33-'RNG HERE'!Z$32)*Sheet2!D$16/'RNG HERE'!Z$33</f>
        <v>8.3948595331948841</v>
      </c>
      <c r="AZ33" s="7">
        <f ca="1">Sheet2!E$15+('RNG HERE'!C33-'RNG HERE'!AA$32)*Sheet2!E$16/'RNG HERE'!AA$33</f>
        <v>16.344860229662572</v>
      </c>
      <c r="BA33" s="7">
        <f ca="1">Sheet2!F$15+('RNG HERE'!D33-'RNG HERE'!AB$32)*Sheet2!F$16/'RNG HERE'!AB$33</f>
        <v>19.883844525420535</v>
      </c>
      <c r="BB33" s="7">
        <f ca="1">Sheet2!G$15+('RNG HERE'!E33-'RNG HERE'!AC$32)*Sheet2!G$16/'RNG HERE'!AC$33</f>
        <v>25.684117179561909</v>
      </c>
      <c r="BC33" s="7">
        <f ca="1">Sheet2!H$15+('RNG HERE'!F33-'RNG HERE'!AD$32)*Sheet2!H$16/'RNG HERE'!AD$33</f>
        <v>24.624099980203667</v>
      </c>
      <c r="BD33" s="7">
        <f ca="1">Sheet2!I$15+('RNG HERE'!G33-'RNG HERE'!AE$32)*Sheet2!I$16/'RNG HERE'!AE$33</f>
        <v>12.250649181243409</v>
      </c>
      <c r="BE33" s="7">
        <f ca="1">Sheet2!J$15+('RNG HERE'!H33-'RNG HERE'!AF$32)*Sheet2!J$16/'RNG HERE'!AF$33</f>
        <v>22.487142685355661</v>
      </c>
      <c r="BF33" s="7">
        <f ca="1">Sheet2!K$15+('RNG HERE'!I33-'RNG HERE'!AG$32)*Sheet2!K$16/'RNG HERE'!AG$33</f>
        <v>23.050906627552472</v>
      </c>
      <c r="BG33" s="7">
        <f ca="1">Sheet2!L$15+('RNG HERE'!J33-'RNG HERE'!AH$32)*Sheet2!L$16/'RNG HERE'!AH$33</f>
        <v>21.021619924423241</v>
      </c>
      <c r="BH33" s="7">
        <f ca="1">Sheet2!M$15+('RNG HERE'!K33-'RNG HERE'!AI$32)*Sheet2!M$16/'RNG HERE'!AI$33</f>
        <v>17.59877812694365</v>
      </c>
      <c r="BI33" s="7">
        <f ca="1">Sheet2!N$15+('RNG HERE'!L33-'RNG HERE'!AJ$32)*Sheet2!N$16/'RNG HERE'!AJ$33</f>
        <v>8.1823202038231706</v>
      </c>
      <c r="BJ33" s="7">
        <f ca="1">Sheet2!O$15+('RNG HERE'!M33-'RNG HERE'!AK$32)*Sheet2!O$16/'RNG HERE'!AK$33</f>
        <v>5.6625815879640466</v>
      </c>
      <c r="BK33" s="7">
        <f ca="1">Sheet2!P$15+('RNG HERE'!N33-'RNG HERE'!AL$32)*Sheet2!P$16/'RNG HERE'!AL$33</f>
        <v>24.465274182458774</v>
      </c>
      <c r="BL33" s="7">
        <f ca="1">Sheet2!Q$15+('RNG HERE'!O33-'RNG HERE'!AM$32)*Sheet2!Q$16/'RNG HERE'!AM$33</f>
        <v>8.9002884526947721</v>
      </c>
      <c r="BM33" s="7">
        <f ca="1">Sheet2!R$15+('RNG HERE'!P33-'RNG HERE'!AN$32)*Sheet2!R$16/'RNG HERE'!AN$33</f>
        <v>10.550024133558582</v>
      </c>
      <c r="BN33" s="7">
        <f ca="1">Sheet2!S$15+('RNG HERE'!Q33-'RNG HERE'!AO$32)*Sheet2!S$16/'RNG HERE'!AO$33</f>
        <v>2.8705511248980993</v>
      </c>
      <c r="BO33" s="7">
        <f ca="1">Sheet2!T$15+('RNG HERE'!R33-'RNG HERE'!AP$32)*Sheet2!T$16/'RNG HERE'!AP$33</f>
        <v>18.380151035805053</v>
      </c>
      <c r="BP33" s="7">
        <f ca="1">Sheet2!U$15+('RNG HERE'!S33-'RNG HERE'!AQ$32)*Sheet2!U$16/'RNG HERE'!AQ$33</f>
        <v>23.12788148071391</v>
      </c>
      <c r="BQ33" s="7">
        <f ca="1">Sheet2!V$15+('RNG HERE'!T33-'RNG HERE'!AR$32)*Sheet2!V$16/'RNG HERE'!AR$33</f>
        <v>23.297175299929165</v>
      </c>
      <c r="BR33" s="7">
        <f ca="1">Sheet2!W$15+('RNG HERE'!U33-'RNG HERE'!AS$32)*Sheet2!W$16/'RNG HERE'!AS$33</f>
        <v>27.568793964874644</v>
      </c>
      <c r="BS33" s="7">
        <f ca="1">Sheet2!X$15+('RNG HERE'!V33-'RNG HERE'!AT$32)*Sheet2!X$16/'RNG HERE'!AT$33</f>
        <v>19.947904715203627</v>
      </c>
      <c r="BT33" s="7">
        <f ca="1">Sheet2!Y$15+('RNG HERE'!W33-'RNG HERE'!AU$32)*Sheet2!Y$16/'RNG HERE'!AU$33</f>
        <v>19.877535696909593</v>
      </c>
      <c r="BU33" s="7">
        <f ca="1">Sheet2!Z$15+('RNG HERE'!X33-'RNG HERE'!AV$32)*Sheet2!Z$16/'RNG HERE'!AV$33</f>
        <v>7.8053667370359507</v>
      </c>
      <c r="BV33" s="5">
        <f ca="1">_xlfn.STDEV.S(AX32:AX61)</f>
        <v>1.2000000000000079</v>
      </c>
      <c r="BW33" s="5">
        <f t="shared" ref="BW33:CS33" ca="1" si="51">_xlfn.STDEV.S(AY32:AY61)</f>
        <v>1.9324809853193357</v>
      </c>
      <c r="BX33" s="5">
        <f t="shared" ca="1" si="51"/>
        <v>1.7290619342330662</v>
      </c>
      <c r="BY33" s="5">
        <f t="shared" ca="1" si="51"/>
        <v>2.4410286130349124</v>
      </c>
      <c r="BZ33" s="5">
        <f t="shared" ca="1" si="51"/>
        <v>4.0683810217248162</v>
      </c>
      <c r="CA33" s="5">
        <f t="shared" ca="1" si="51"/>
        <v>3.2547048173798938</v>
      </c>
      <c r="CB33" s="5">
        <f t="shared" ca="1" si="51"/>
        <v>0.71196667880185083</v>
      </c>
      <c r="CC33" s="5">
        <f t="shared" ca="1" si="51"/>
        <v>0.91538572988809419</v>
      </c>
      <c r="CD33" s="5">
        <f t="shared" ca="1" si="51"/>
        <v>1.6273524086899451</v>
      </c>
      <c r="CE33" s="5">
        <f t="shared" ca="1" si="51"/>
        <v>1.6273524086899445</v>
      </c>
      <c r="CF33" s="5">
        <f t="shared" ca="1" si="51"/>
        <v>0.71196667880185049</v>
      </c>
      <c r="CG33" s="5">
        <f t="shared" ca="1" si="51"/>
        <v>0.71196667880185083</v>
      </c>
      <c r="CH33" s="5">
        <f t="shared" ca="1" si="51"/>
        <v>1.0170952554312098</v>
      </c>
      <c r="CI33" s="5">
        <f t="shared" ca="1" si="51"/>
        <v>2.3393190874917948</v>
      </c>
      <c r="CJ33" s="5">
        <f t="shared" ca="1" si="51"/>
        <v>1.1188047809743189</v>
      </c>
      <c r="CK33" s="5">
        <f t="shared" ca="1" si="51"/>
        <v>1.0170952554312231</v>
      </c>
      <c r="CL33" s="5">
        <f t="shared" ca="1" si="51"/>
        <v>0.71196667880184927</v>
      </c>
      <c r="CM33" s="5">
        <f t="shared" ca="1" si="51"/>
        <v>1.6273524086899451</v>
      </c>
      <c r="CN33" s="5">
        <f t="shared" ca="1" si="51"/>
        <v>0.81367620434497256</v>
      </c>
      <c r="CO33" s="5">
        <f t="shared" ca="1" si="51"/>
        <v>1.3222238320605806</v>
      </c>
      <c r="CP33" s="5">
        <f t="shared" ca="1" si="51"/>
        <v>1.6273524086899451</v>
      </c>
      <c r="CQ33" s="5">
        <f t="shared" ca="1" si="51"/>
        <v>1.2205143065174586</v>
      </c>
      <c r="CR33" s="5">
        <f t="shared" ca="1" si="51"/>
        <v>1.1188047809743373</v>
      </c>
      <c r="CS33" s="5">
        <f t="shared" ca="1" si="51"/>
        <v>0.50854762771560769</v>
      </c>
    </row>
    <row r="34" spans="1:97" x14ac:dyDescent="0.3">
      <c r="A34" s="8" cm="1">
        <f t="array" aca="1" ref="A34" ca="1">[1]!UNIFORM_INV(RAND(),Sheet2!C$15-SQRT(3)*Sheet2!C$16,Sheet2!C$15+SQRT(3)*Sheet2!C$16)</f>
        <v>4.627940882987323</v>
      </c>
      <c r="B34" s="8" cm="1">
        <f t="array" aca="1" ref="B34" ca="1">[1]!UNIFORM_INV(RAND(),Sheet2!D$15-SQRT(3)*Sheet2!D$16,Sheet2!D$15+SQRT(3)*Sheet2!D$16)</f>
        <v>9.7046755906509716</v>
      </c>
      <c r="C34" s="8" cm="1">
        <f t="array" aca="1" ref="C34" ca="1">[1]!UNIFORM_INV(RAND(),Sheet2!E$15-SQRT(3)*Sheet2!E$16,Sheet2!E$15+SQRT(3)*Sheet2!E$16)</f>
        <v>19.92102663355336</v>
      </c>
      <c r="D34" s="8" cm="1">
        <f t="array" aca="1" ref="D34" ca="1">[1]!UNIFORM_INV(RAND(),Sheet2!F$15-SQRT(3)*Sheet2!F$16,Sheet2!F$15+SQRT(3)*Sheet2!F$16)</f>
        <v>16.097875285710465</v>
      </c>
      <c r="E34" s="8" cm="1">
        <f t="array" aca="1" ref="E34" ca="1">[1]!UNIFORM_INV(RAND(),Sheet2!G$15-SQRT(3)*Sheet2!G$16,Sheet2!G$15+SQRT(3)*Sheet2!G$16)</f>
        <v>25.49012598371079</v>
      </c>
      <c r="F34" s="8" cm="1">
        <f t="array" aca="1" ref="F34" ca="1">[1]!UNIFORM_INV(RAND(),Sheet2!H$15-SQRT(3)*Sheet2!H$16,Sheet2!H$15+SQRT(3)*Sheet2!H$16)</f>
        <v>32.872478464257227</v>
      </c>
      <c r="G34" s="8" cm="1">
        <f t="array" aca="1" ref="G34" ca="1">[1]!UNIFORM_INV(RAND(),Sheet2!I$15-SQRT(3)*Sheet2!I$16,Sheet2!I$15+SQRT(3)*Sheet2!I$16)</f>
        <v>12.391409511656487</v>
      </c>
      <c r="H34" s="8" cm="1">
        <f t="array" aca="1" ref="H34" ca="1">[1]!UNIFORM_INV(RAND(),Sheet2!J$15-SQRT(3)*Sheet2!J$16,Sheet2!J$15+SQRT(3)*Sheet2!J$16)</f>
        <v>23.277163470993493</v>
      </c>
      <c r="I34" s="8" cm="1">
        <f t="array" aca="1" ref="I34" ca="1">[1]!UNIFORM_INV(RAND(),Sheet2!K$15-SQRT(3)*Sheet2!K$16,Sheet2!K$15+SQRT(3)*Sheet2!K$16)</f>
        <v>24.227022135837608</v>
      </c>
      <c r="J34" s="8" cm="1">
        <f t="array" aca="1" ref="J34" ca="1">[1]!UNIFORM_INV(RAND(),Sheet2!L$15-SQRT(3)*Sheet2!L$16,Sheet2!L$15+SQRT(3)*Sheet2!L$16)</f>
        <v>25.124999880169753</v>
      </c>
      <c r="K34" s="8" cm="1">
        <f t="array" aca="1" ref="K34" ca="1">[1]!UNIFORM_INV(RAND(),Sheet2!M$15-SQRT(3)*Sheet2!M$16,Sheet2!M$15+SQRT(3)*Sheet2!M$16)</f>
        <v>18.24514477461091</v>
      </c>
      <c r="L34" s="8" cm="1">
        <f t="array" aca="1" ref="L34" ca="1">[1]!UNIFORM_INV(RAND(),Sheet2!N$15-SQRT(3)*Sheet2!N$16,Sheet2!N$15+SQRT(3)*Sheet2!N$16)</f>
        <v>8.1671262551673873</v>
      </c>
      <c r="M34" s="8" cm="1">
        <f t="array" aca="1" ref="M34" ca="1">[1]!UNIFORM_INV(RAND(),Sheet2!O$15-SQRT(3)*Sheet2!O$16,Sheet2!O$15+SQRT(3)*Sheet2!O$16)</f>
        <v>5.5227853824770463</v>
      </c>
      <c r="N34" s="8" cm="1">
        <f t="array" aca="1" ref="N34" ca="1">[1]!UNIFORM_INV(RAND(),Sheet2!P$15-SQRT(3)*Sheet2!P$16,Sheet2!P$15+SQRT(3)*Sheet2!P$16)</f>
        <v>19.279908378598826</v>
      </c>
      <c r="O34" s="8" cm="1">
        <f t="array" aca="1" ref="O34" ca="1">[1]!UNIFORM_INV(RAND(),Sheet2!Q$15-SQRT(3)*Sheet2!Q$16,Sheet2!Q$15+SQRT(3)*Sheet2!Q$16)</f>
        <v>10.360245650633097</v>
      </c>
      <c r="P34" s="8" cm="1">
        <f t="array" aca="1" ref="P34" ca="1">[1]!UNIFORM_INV(RAND(),Sheet2!R$15-SQRT(3)*Sheet2!R$16,Sheet2!R$15+SQRT(3)*Sheet2!R$16)</f>
        <v>9.76743470969088</v>
      </c>
      <c r="Q34" s="8" cm="1">
        <f t="array" aca="1" ref="Q34" ca="1">[1]!UNIFORM_INV(RAND(),Sheet2!S$15-SQRT(3)*Sheet2!S$16,Sheet2!S$15+SQRT(3)*Sheet2!S$16)</f>
        <v>3.2432378130709703</v>
      </c>
      <c r="R34" s="8" cm="1">
        <f t="array" aca="1" ref="R34" ca="1">[1]!UNIFORM_INV(RAND(),Sheet2!T$15-SQRT(3)*Sheet2!T$16,Sheet2!T$15+SQRT(3)*Sheet2!T$16)</f>
        <v>18.96506639695891</v>
      </c>
      <c r="S34" s="8" cm="1">
        <f t="array" aca="1" ref="S34" ca="1">[1]!UNIFORM_INV(RAND(),Sheet2!U$15-SQRT(3)*Sheet2!U$16,Sheet2!U$15+SQRT(3)*Sheet2!U$16)</f>
        <v>23.315620470269323</v>
      </c>
      <c r="T34" s="8" cm="1">
        <f t="array" aca="1" ref="T34" ca="1">[1]!UNIFORM_INV(RAND(),Sheet2!V$15-SQRT(3)*Sheet2!V$16,Sheet2!V$15+SQRT(3)*Sheet2!V$16)</f>
        <v>20.929754503520144</v>
      </c>
      <c r="U34" s="8" cm="1">
        <f t="array" aca="1" ref="U34" ca="1">[1]!UNIFORM_INV(RAND(),Sheet2!W$15-SQRT(3)*Sheet2!W$16,Sheet2!W$15+SQRT(3)*Sheet2!W$16)</f>
        <v>29.094092077186026</v>
      </c>
      <c r="V34" s="8" cm="1">
        <f t="array" aca="1" ref="V34" ca="1">[1]!UNIFORM_INV(RAND(),Sheet2!X$15-SQRT(3)*Sheet2!X$16,Sheet2!X$15+SQRT(3)*Sheet2!X$16)</f>
        <v>22.74815349236723</v>
      </c>
      <c r="W34" s="8" cm="1">
        <f t="array" aca="1" ref="W34" ca="1">[1]!UNIFORM_INV(RAND(),Sheet2!Y$15-SQRT(3)*Sheet2!Y$16,Sheet2!Y$15+SQRT(3)*Sheet2!Y$16)</f>
        <v>22.865552535742285</v>
      </c>
      <c r="X34" s="8" cm="1">
        <f t="array" aca="1" ref="X34" ca="1">[1]!UNIFORM_INV(RAND(),Sheet2!Z$15-SQRT(3)*Sheet2!Z$16,Sheet2!Z$15+SQRT(3)*Sheet2!Z$16)</f>
        <v>8.6443311952331605</v>
      </c>
      <c r="AX34" s="7">
        <f ca="1">Sheet2!C$15+('RNG HERE'!A34-'RNG HERE'!Y$32)*Sheet2!C$16/'RNG HERE'!Y$33</f>
        <v>4.5073243875527398</v>
      </c>
      <c r="AY34" s="7">
        <f ca="1">Sheet2!D$15+('RNG HERE'!B34-'RNG HERE'!Z$32)*Sheet2!D$16/'RNG HERE'!Z$33</f>
        <v>9.2722917786935</v>
      </c>
      <c r="AZ34" s="7">
        <f ca="1">Sheet2!E$15+('RNG HERE'!C34-'RNG HERE'!AA$32)*Sheet2!E$16/'RNG HERE'!AA$33</f>
        <v>20.154300085366657</v>
      </c>
      <c r="BA34" s="7">
        <f ca="1">Sheet2!F$15+('RNG HERE'!D34-'RNG HERE'!AB$32)*Sheet2!F$16/'RNG HERE'!AB$33</f>
        <v>16.259721718357401</v>
      </c>
      <c r="BB34" s="7">
        <f ca="1">Sheet2!G$15+('RNG HERE'!E34-'RNG HERE'!AC$32)*Sheet2!G$16/'RNG HERE'!AC$33</f>
        <v>25.88069255246041</v>
      </c>
      <c r="BC34" s="7">
        <f ca="1">Sheet2!H$15+('RNG HERE'!F34-'RNG HERE'!AD$32)*Sheet2!H$16/'RNG HERE'!AD$33</f>
        <v>31.338499923101057</v>
      </c>
      <c r="BD34" s="7">
        <f ca="1">Sheet2!I$15+('RNG HERE'!G34-'RNG HERE'!AE$32)*Sheet2!I$16/'RNG HERE'!AE$33</f>
        <v>12.361189653692692</v>
      </c>
      <c r="BE34" s="7">
        <f ca="1">Sheet2!J$15+('RNG HERE'!H34-'RNG HERE'!AF$32)*Sheet2!J$16/'RNG HERE'!AF$33</f>
        <v>23.331015426947715</v>
      </c>
      <c r="BF34" s="7">
        <f ca="1">Sheet2!K$15+('RNG HERE'!I34-'RNG HERE'!AG$32)*Sheet2!K$16/'RNG HERE'!AG$33</f>
        <v>24.632118368253241</v>
      </c>
      <c r="BG34" s="7">
        <f ca="1">Sheet2!L$15+('RNG HERE'!J34-'RNG HERE'!AH$32)*Sheet2!L$16/'RNG HERE'!AH$33</f>
        <v>24.968949691108996</v>
      </c>
      <c r="BH34" s="7">
        <f ca="1">Sheet2!M$15+('RNG HERE'!K34-'RNG HERE'!AI$32)*Sheet2!M$16/'RNG HERE'!AI$33</f>
        <v>18.312478435535077</v>
      </c>
      <c r="BI34" s="7">
        <f ca="1">Sheet2!N$15+('RNG HERE'!L34-'RNG HERE'!AJ$32)*Sheet2!N$16/'RNG HERE'!AJ$33</f>
        <v>8.0169315891241162</v>
      </c>
      <c r="BJ34" s="7">
        <f ca="1">Sheet2!O$15+('RNG HERE'!M34-'RNG HERE'!AK$32)*Sheet2!O$16/'RNG HERE'!AK$33</f>
        <v>5.7367680278123014</v>
      </c>
      <c r="BK34" s="7">
        <f ca="1">Sheet2!P$15+('RNG HERE'!N34-'RNG HERE'!AL$32)*Sheet2!P$16/'RNG HERE'!AL$33</f>
        <v>18.519023265259669</v>
      </c>
      <c r="BL34" s="7">
        <f ca="1">Sheet2!Q$15+('RNG HERE'!O34-'RNG HERE'!AM$32)*Sheet2!Q$16/'RNG HERE'!AM$33</f>
        <v>10.275494936117974</v>
      </c>
      <c r="BM34" s="7">
        <f ca="1">Sheet2!R$15+('RNG HERE'!P34-'RNG HERE'!AN$32)*Sheet2!R$16/'RNG HERE'!AN$33</f>
        <v>9.6535255378018636</v>
      </c>
      <c r="BN34" s="7">
        <f ca="1">Sheet2!S$15+('RNG HERE'!Q34-'RNG HERE'!AO$32)*Sheet2!S$16/'RNG HERE'!AO$33</f>
        <v>3.4148461804947914</v>
      </c>
      <c r="BO34" s="7">
        <f ca="1">Sheet2!T$15+('RNG HERE'!R34-'RNG HERE'!AP$32)*Sheet2!T$16/'RNG HERE'!AP$33</f>
        <v>18.66636989129406</v>
      </c>
      <c r="BP34" s="7">
        <f ca="1">Sheet2!U$15+('RNG HERE'!S34-'RNG HERE'!AQ$32)*Sheet2!U$16/'RNG HERE'!AQ$33</f>
        <v>23.276923804219109</v>
      </c>
      <c r="BQ34" s="7">
        <f ca="1">Sheet2!V$15+('RNG HERE'!T34-'RNG HERE'!AR$32)*Sheet2!V$16/'RNG HERE'!AR$33</f>
        <v>20.681171338773972</v>
      </c>
      <c r="BR34" s="7">
        <f ca="1">Sheet2!W$15+('RNG HERE'!U34-'RNG HERE'!AS$32)*Sheet2!W$16/'RNG HERE'!AS$33</f>
        <v>29.639941003243862</v>
      </c>
      <c r="BS34" s="7">
        <f ca="1">Sheet2!X$15+('RNG HERE'!V34-'RNG HERE'!AT$32)*Sheet2!X$16/'RNG HERE'!AT$33</f>
        <v>22.739655397872646</v>
      </c>
      <c r="BT34" s="7">
        <f ca="1">Sheet2!Y$15+('RNG HERE'!W34-'RNG HERE'!AU$32)*Sheet2!Y$16/'RNG HERE'!AU$33</f>
        <v>22.992942238587901</v>
      </c>
      <c r="BU34" s="7">
        <f ca="1">Sheet2!Z$15+('RNG HERE'!X34-'RNG HERE'!AV$32)*Sheet2!Z$16/'RNG HERE'!AV$33</f>
        <v>8.79590581791315</v>
      </c>
      <c r="BV34" s="5">
        <f ca="1">BV32-Sheet2!C15</f>
        <v>0</v>
      </c>
      <c r="BW34" s="5">
        <f ca="1">BW32-Sheet2!D15</f>
        <v>0</v>
      </c>
      <c r="BX34" s="5">
        <f ca="1">BX32-Sheet2!E15</f>
        <v>0</v>
      </c>
      <c r="BY34" s="5">
        <f ca="1">BY32-Sheet2!F15</f>
        <v>0</v>
      </c>
      <c r="BZ34" s="5">
        <f ca="1">BZ32-Sheet2!G15</f>
        <v>0</v>
      </c>
      <c r="CA34" s="5">
        <f ca="1">CA32-Sheet2!H15</f>
        <v>0</v>
      </c>
      <c r="CB34" s="5">
        <f ca="1">CB32-Sheet2!I15</f>
        <v>0</v>
      </c>
      <c r="CC34" s="5">
        <f ca="1">CC32-Sheet2!J15</f>
        <v>0</v>
      </c>
      <c r="CD34" s="5">
        <f ca="1">CD32-Sheet2!K15</f>
        <v>0</v>
      </c>
      <c r="CE34" s="5">
        <f ca="1">CE32-Sheet2!L15</f>
        <v>0</v>
      </c>
      <c r="CF34" s="5">
        <f ca="1">CF32-Sheet2!M15</f>
        <v>0</v>
      </c>
      <c r="CG34" s="5">
        <f ca="1">CG32-Sheet2!N15</f>
        <v>0</v>
      </c>
      <c r="CH34" s="5">
        <f ca="1">CH32-Sheet2!O15</f>
        <v>0</v>
      </c>
      <c r="CI34" s="5">
        <f ca="1">CI32-Sheet2!P15</f>
        <v>0</v>
      </c>
      <c r="CJ34" s="5">
        <f ca="1">CJ32-Sheet2!Q15</f>
        <v>0</v>
      </c>
      <c r="CK34" s="5">
        <f ca="1">CK32-Sheet2!R15</f>
        <v>0</v>
      </c>
      <c r="CL34" s="5">
        <f ca="1">CL32-Sheet2!S15</f>
        <v>0</v>
      </c>
      <c r="CM34" s="5">
        <f ca="1">CM32-Sheet2!T15</f>
        <v>0</v>
      </c>
      <c r="CN34" s="5">
        <f ca="1">CN32-Sheet2!U15</f>
        <v>0</v>
      </c>
      <c r="CO34" s="5">
        <f ca="1">CO32-Sheet2!V15</f>
        <v>0</v>
      </c>
      <c r="CP34" s="5">
        <f ca="1">CP32-Sheet2!W15</f>
        <v>0</v>
      </c>
      <c r="CQ34" s="5">
        <f ca="1">CQ32-Sheet2!X15</f>
        <v>0</v>
      </c>
      <c r="CR34" s="5">
        <f ca="1">CR32-Sheet2!Y15</f>
        <v>0</v>
      </c>
      <c r="CS34" s="5">
        <f ca="1">CS32-Sheet2!Z15</f>
        <v>0</v>
      </c>
    </row>
    <row r="35" spans="1:97" x14ac:dyDescent="0.3">
      <c r="A35" s="8" cm="1">
        <f t="array" aca="1" ref="A35" ca="1">[1]!UNIFORM_INV(RAND(),Sheet2!C$15-SQRT(3)*Sheet2!C$16,Sheet2!C$15+SQRT(3)*Sheet2!C$16)</f>
        <v>6.253909780914225</v>
      </c>
      <c r="B35" s="8" cm="1">
        <f t="array" aca="1" ref="B35" ca="1">[1]!UNIFORM_INV(RAND(),Sheet2!D$15-SQRT(3)*Sheet2!D$16,Sheet2!D$15+SQRT(3)*Sheet2!D$16)</f>
        <v>11.140066561382744</v>
      </c>
      <c r="C35" s="8" cm="1">
        <f t="array" aca="1" ref="C35" ca="1">[1]!UNIFORM_INV(RAND(),Sheet2!E$15-SQRT(3)*Sheet2!E$16,Sheet2!E$15+SQRT(3)*Sheet2!E$16)</f>
        <v>16.8413887250078</v>
      </c>
      <c r="D35" s="8" cm="1">
        <f t="array" aca="1" ref="D35" ca="1">[1]!UNIFORM_INV(RAND(),Sheet2!F$15-SQRT(3)*Sheet2!F$16,Sheet2!F$15+SQRT(3)*Sheet2!F$16)</f>
        <v>14.799531121627529</v>
      </c>
      <c r="E35" s="8" cm="1">
        <f t="array" aca="1" ref="E35" ca="1">[1]!UNIFORM_INV(RAND(),Sheet2!G$15-SQRT(3)*Sheet2!G$16,Sheet2!G$15+SQRT(3)*Sheet2!G$16)</f>
        <v>20.293120848545815</v>
      </c>
      <c r="F35" s="8" cm="1">
        <f t="array" aca="1" ref="F35" ca="1">[1]!UNIFORM_INV(RAND(),Sheet2!H$15-SQRT(3)*Sheet2!H$16,Sheet2!H$15+SQRT(3)*Sheet2!H$16)</f>
        <v>30.866319855610168</v>
      </c>
      <c r="G35" s="8" cm="1">
        <f t="array" aca="1" ref="G35" ca="1">[1]!UNIFORM_INV(RAND(),Sheet2!I$15-SQRT(3)*Sheet2!I$16,Sheet2!I$15+SQRT(3)*Sheet2!I$16)</f>
        <v>12.071524079210292</v>
      </c>
      <c r="H35" s="8" cm="1">
        <f t="array" aca="1" ref="H35" ca="1">[1]!UNIFORM_INV(RAND(),Sheet2!J$15-SQRT(3)*Sheet2!J$16,Sheet2!J$15+SQRT(3)*Sheet2!J$16)</f>
        <v>21.519939996934401</v>
      </c>
      <c r="I35" s="8" cm="1">
        <f t="array" aca="1" ref="I35" ca="1">[1]!UNIFORM_INV(RAND(),Sheet2!K$15-SQRT(3)*Sheet2!K$16,Sheet2!K$15+SQRT(3)*Sheet2!K$16)</f>
        <v>23.635946867974361</v>
      </c>
      <c r="J35" s="8" cm="1">
        <f t="array" aca="1" ref="J35" ca="1">[1]!UNIFORM_INV(RAND(),Sheet2!L$15-SQRT(3)*Sheet2!L$16,Sheet2!L$15+SQRT(3)*Sheet2!L$16)</f>
        <v>24.013732966098207</v>
      </c>
      <c r="K35" s="8" cm="1">
        <f t="array" aca="1" ref="K35" ca="1">[1]!UNIFORM_INV(RAND(),Sheet2!M$15-SQRT(3)*Sheet2!M$16,Sheet2!M$15+SQRT(3)*Sheet2!M$16)</f>
        <v>16.917109727742396</v>
      </c>
      <c r="L35" s="8" cm="1">
        <f t="array" aca="1" ref="L35" ca="1">[1]!UNIFORM_INV(RAND(),Sheet2!N$15-SQRT(3)*Sheet2!N$16,Sheet2!N$15+SQRT(3)*Sheet2!N$16)</f>
        <v>7.0900152792226221</v>
      </c>
      <c r="M35" s="8" cm="1">
        <f t="array" aca="1" ref="M35" ca="1">[1]!UNIFORM_INV(RAND(),Sheet2!O$15-SQRT(3)*Sheet2!O$16,Sheet2!O$15+SQRT(3)*Sheet2!O$16)</f>
        <v>4.7450014439445525</v>
      </c>
      <c r="N35" s="8" cm="1">
        <f t="array" aca="1" ref="N35" ca="1">[1]!UNIFORM_INV(RAND(),Sheet2!P$15-SQRT(3)*Sheet2!P$16,Sheet2!P$15+SQRT(3)*Sheet2!P$16)</f>
        <v>24.831072718289093</v>
      </c>
      <c r="O35" s="8" cm="1">
        <f t="array" aca="1" ref="O35" ca="1">[1]!UNIFORM_INV(RAND(),Sheet2!Q$15-SQRT(3)*Sheet2!Q$16,Sheet2!Q$15+SQRT(3)*Sheet2!Q$16)</f>
        <v>10.212600830316937</v>
      </c>
      <c r="P35" s="8" cm="1">
        <f t="array" aca="1" ref="P35" ca="1">[1]!UNIFORM_INV(RAND(),Sheet2!R$15-SQRT(3)*Sheet2!R$16,Sheet2!R$15+SQRT(3)*Sheet2!R$16)</f>
        <v>9.8376679269087894</v>
      </c>
      <c r="Q35" s="8" cm="1">
        <f t="array" aca="1" ref="Q35" ca="1">[1]!UNIFORM_INV(RAND(),Sheet2!S$15-SQRT(3)*Sheet2!S$16,Sheet2!S$15+SQRT(3)*Sheet2!S$16)</f>
        <v>2.9747432937456209</v>
      </c>
      <c r="R35" s="8" cm="1">
        <f t="array" aca="1" ref="R35" ca="1">[1]!UNIFORM_INV(RAND(),Sheet2!T$15-SQRT(3)*Sheet2!T$16,Sheet2!T$15+SQRT(3)*Sheet2!T$16)</f>
        <v>19.937211392620171</v>
      </c>
      <c r="S35" s="8" cm="1">
        <f t="array" aca="1" ref="S35" ca="1">[1]!UNIFORM_INV(RAND(),Sheet2!U$15-SQRT(3)*Sheet2!U$16,Sheet2!U$15+SQRT(3)*Sheet2!U$16)</f>
        <v>24.921176357751946</v>
      </c>
      <c r="T35" s="8" cm="1">
        <f t="array" aca="1" ref="T35" ca="1">[1]!UNIFORM_INV(RAND(),Sheet2!V$15-SQRT(3)*Sheet2!V$16,Sheet2!V$15+SQRT(3)*Sheet2!V$16)</f>
        <v>22.822871639068605</v>
      </c>
      <c r="U35" s="8" cm="1">
        <f t="array" aca="1" ref="U35" ca="1">[1]!UNIFORM_INV(RAND(),Sheet2!W$15-SQRT(3)*Sheet2!W$16,Sheet2!W$15+SQRT(3)*Sheet2!W$16)</f>
        <v>26.275398408016564</v>
      </c>
      <c r="V35" s="8" cm="1">
        <f t="array" aca="1" ref="V35" ca="1">[1]!UNIFORM_INV(RAND(),Sheet2!X$15-SQRT(3)*Sheet2!X$16,Sheet2!X$15+SQRT(3)*Sheet2!X$16)</f>
        <v>20.530613786686107</v>
      </c>
      <c r="W35" s="8" cm="1">
        <f t="array" aca="1" ref="W35" ca="1">[1]!UNIFORM_INV(RAND(),Sheet2!Y$15-SQRT(3)*Sheet2!Y$16,Sheet2!Y$15+SQRT(3)*Sheet2!Y$16)</f>
        <v>19.663859429680336</v>
      </c>
      <c r="X35" s="8" cm="1">
        <f t="array" aca="1" ref="X35" ca="1">[1]!UNIFORM_INV(RAND(),Sheet2!Z$15-SQRT(3)*Sheet2!Z$16,Sheet2!Z$15+SQRT(3)*Sheet2!Z$16)</f>
        <v>8.3154851801399303</v>
      </c>
      <c r="AX35" s="7">
        <f ca="1">Sheet2!C$15+('RNG HERE'!A35-'RNG HERE'!Y$32)*Sheet2!C$16/'RNG HERE'!Y$33</f>
        <v>6.157064252546415</v>
      </c>
      <c r="AY35" s="7">
        <f ca="1">Sheet2!D$15+('RNG HERE'!B35-'RNG HERE'!Z$32)*Sheet2!D$16/'RNG HERE'!Z$33</f>
        <v>10.977781748422444</v>
      </c>
      <c r="AZ35" s="7">
        <f ca="1">Sheet2!E$15+('RNG HERE'!C35-'RNG HERE'!AA$32)*Sheet2!E$16/'RNG HERE'!AA$33</f>
        <v>16.891607287103049</v>
      </c>
      <c r="BA35" s="7">
        <f ca="1">Sheet2!F$15+('RNG HERE'!D35-'RNG HERE'!AB$32)*Sheet2!F$16/'RNG HERE'!AB$33</f>
        <v>15.056620620397705</v>
      </c>
      <c r="BB35" s="7">
        <f ca="1">Sheet2!G$15+('RNG HERE'!E35-'RNG HERE'!AC$32)*Sheet2!G$16/'RNG HERE'!AC$33</f>
        <v>19.908490836893748</v>
      </c>
      <c r="BC35" s="7">
        <f ca="1">Sheet2!H$15+('RNG HERE'!F35-'RNG HERE'!AD$32)*Sheet2!H$16/'RNG HERE'!AD$33</f>
        <v>29.230833619390541</v>
      </c>
      <c r="BD35" s="7">
        <f ca="1">Sheet2!I$15+('RNG HERE'!G35-'RNG HERE'!AE$32)*Sheet2!I$16/'RNG HERE'!AE$33</f>
        <v>11.995563315555785</v>
      </c>
      <c r="BE35" s="7">
        <f ca="1">Sheet2!J$15+('RNG HERE'!H35-'RNG HERE'!AF$32)*Sheet2!J$16/'RNG HERE'!AF$33</f>
        <v>21.595978232288086</v>
      </c>
      <c r="BF35" s="7">
        <f ca="1">Sheet2!K$15+('RNG HERE'!I35-'RNG HERE'!AG$32)*Sheet2!K$16/'RNG HERE'!AG$33</f>
        <v>23.972625886835782</v>
      </c>
      <c r="BG35" s="7">
        <f ca="1">Sheet2!L$15+('RNG HERE'!J35-'RNG HERE'!AH$32)*Sheet2!L$16/'RNG HERE'!AH$33</f>
        <v>23.772322265863327</v>
      </c>
      <c r="BH35" s="7">
        <f ca="1">Sheet2!M$15+('RNG HERE'!K35-'RNG HERE'!AI$32)*Sheet2!M$16/'RNG HERE'!AI$33</f>
        <v>16.961761131334516</v>
      </c>
      <c r="BI35" s="7">
        <f ca="1">Sheet2!N$15+('RNG HERE'!L35-'RNG HERE'!AJ$32)*Sheet2!N$16/'RNG HERE'!AJ$33</f>
        <v>6.8947149057162633</v>
      </c>
      <c r="BJ35" s="7">
        <f ca="1">Sheet2!O$15+('RNG HERE'!M35-'RNG HERE'!AK$32)*Sheet2!O$16/'RNG HERE'!AK$33</f>
        <v>4.933619583340513</v>
      </c>
      <c r="BK35" s="7">
        <f ca="1">Sheet2!P$15+('RNG HERE'!N35-'RNG HERE'!AL$32)*Sheet2!P$16/'RNG HERE'!AL$33</f>
        <v>24.737008008953463</v>
      </c>
      <c r="BL35" s="7">
        <f ca="1">Sheet2!Q$15+('RNG HERE'!O35-'RNG HERE'!AM$32)*Sheet2!Q$16/'RNG HERE'!AM$33</f>
        <v>10.122964476543288</v>
      </c>
      <c r="BM35" s="7">
        <f ca="1">Sheet2!R$15+('RNG HERE'!P35-'RNG HERE'!AN$32)*Sheet2!R$16/'RNG HERE'!AN$33</f>
        <v>9.7273381503812342</v>
      </c>
      <c r="BN35" s="7">
        <f ca="1">Sheet2!S$15+('RNG HERE'!Q35-'RNG HERE'!AO$32)*Sheet2!S$16/'RNG HERE'!AO$33</f>
        <v>3.138060031448485</v>
      </c>
      <c r="BO35" s="7">
        <f ca="1">Sheet2!T$15+('RNG HERE'!R35-'RNG HERE'!AP$32)*Sheet2!T$16/'RNG HERE'!AP$33</f>
        <v>19.768503043389842</v>
      </c>
      <c r="BP35" s="7">
        <f ca="1">Sheet2!U$15+('RNG HERE'!S35-'RNG HERE'!AQ$32)*Sheet2!U$16/'RNG HERE'!AQ$33</f>
        <v>25.048297347393721</v>
      </c>
      <c r="BQ35" s="7">
        <f ca="1">Sheet2!V$15+('RNG HERE'!T35-'RNG HERE'!AR$32)*Sheet2!V$16/'RNG HERE'!AR$33</f>
        <v>22.622346190467553</v>
      </c>
      <c r="BR35" s="7">
        <f ca="1">Sheet2!W$15+('RNG HERE'!U35-'RNG HERE'!AS$32)*Sheet2!W$16/'RNG HERE'!AS$33</f>
        <v>26.36788009441495</v>
      </c>
      <c r="BS35" s="7">
        <f ca="1">Sheet2!X$15+('RNG HERE'!V35-'RNG HERE'!AT$32)*Sheet2!X$16/'RNG HERE'!AT$33</f>
        <v>20.683797480790602</v>
      </c>
      <c r="BT35" s="7">
        <f ca="1">Sheet2!Y$15+('RNG HERE'!W35-'RNG HERE'!AU$32)*Sheet2!Y$16/'RNG HERE'!AU$33</f>
        <v>19.350049888038093</v>
      </c>
      <c r="BU35" s="7">
        <f ca="1">Sheet2!Z$15+('RNG HERE'!X35-'RNG HERE'!AV$32)*Sheet2!Z$16/'RNG HERE'!AV$33</f>
        <v>8.461616759891756</v>
      </c>
      <c r="BV35" s="5">
        <f ca="1">BV33-Sheet2!C16</f>
        <v>7.9936057773011271E-15</v>
      </c>
      <c r="BW35" s="5">
        <f ca="1">BW33-Sheet2!D16</f>
        <v>3.2480985319335742E-2</v>
      </c>
      <c r="BX35" s="5">
        <f ca="1">BX33-Sheet2!E16</f>
        <v>2.9061934233066244E-2</v>
      </c>
      <c r="BY35" s="5">
        <f ca="1">BY33-Sheet2!F16</f>
        <v>4.1028613034912453E-2</v>
      </c>
      <c r="BZ35" s="5">
        <f ca="1">BZ33-Sheet2!G16</f>
        <v>6.8381021724816193E-2</v>
      </c>
      <c r="CA35" s="5">
        <f ca="1">CA33-Sheet2!H16</f>
        <v>5.4704817379893633E-2</v>
      </c>
      <c r="CB35" s="5">
        <f ca="1">CB33-Sheet2!I16</f>
        <v>1.1966678801850872E-2</v>
      </c>
      <c r="CC35" s="5">
        <f ca="1">CC33-Sheet2!J16</f>
        <v>1.5385729888094168E-2</v>
      </c>
      <c r="CD35" s="5">
        <f ca="1">CD33-Sheet2!K16</f>
        <v>2.735240868994504E-2</v>
      </c>
      <c r="CE35" s="5">
        <f ca="1">CE33-Sheet2!L16</f>
        <v>2.7352408689944374E-2</v>
      </c>
      <c r="CF35" s="5">
        <f ca="1">CF33-Sheet2!M16</f>
        <v>1.1966678801850539E-2</v>
      </c>
      <c r="CG35" s="5">
        <f ca="1">CG33-Sheet2!N16</f>
        <v>1.1966678801850872E-2</v>
      </c>
      <c r="CH35" s="5">
        <f ca="1">CH33-Sheet2!O16</f>
        <v>1.7095255431209821E-2</v>
      </c>
      <c r="CI35" s="5">
        <f ca="1">CI33-Sheet2!P16</f>
        <v>3.9319087491795024E-2</v>
      </c>
      <c r="CJ35" s="5">
        <f ca="1">CJ33-Sheet2!Q16</f>
        <v>1.8804780974318813E-2</v>
      </c>
      <c r="CK35" s="5">
        <f ca="1">CK33-Sheet2!R16</f>
        <v>1.7095255431223144E-2</v>
      </c>
      <c r="CL35" s="5">
        <f ca="1">CL33-Sheet2!S16</f>
        <v>1.1966678801849318E-2</v>
      </c>
      <c r="CM35" s="5">
        <f ca="1">CM33-Sheet2!T16</f>
        <v>2.735240868994504E-2</v>
      </c>
      <c r="CN35" s="5">
        <f ca="1">CN33-Sheet2!U16</f>
        <v>1.367620434497252E-2</v>
      </c>
      <c r="CO35" s="5">
        <f ca="1">CO33-Sheet2!V16</f>
        <v>2.222383206058054E-2</v>
      </c>
      <c r="CP35" s="5">
        <f ca="1">CP33-Sheet2!W16</f>
        <v>2.735240868994504E-2</v>
      </c>
      <c r="CQ35" s="5">
        <f ca="1">CQ33-Sheet2!X16</f>
        <v>2.0514306517458669E-2</v>
      </c>
      <c r="CR35" s="5">
        <f ca="1">CR33-Sheet2!Y16</f>
        <v>1.8804780974337243E-2</v>
      </c>
      <c r="CS35" s="5">
        <f ca="1">CS33-Sheet2!Z16</f>
        <v>8.5476277156076863E-3</v>
      </c>
    </row>
    <row r="36" spans="1:97" x14ac:dyDescent="0.3">
      <c r="A36" s="8" cm="1">
        <f t="array" aca="1" ref="A36" ca="1">[1]!UNIFORM_INV(RAND(),Sheet2!C$15-SQRT(3)*Sheet2!C$16,Sheet2!C$15+SQRT(3)*Sheet2!C$16)</f>
        <v>2.7352919530904511</v>
      </c>
      <c r="B36" s="8" cm="1">
        <f t="array" aca="1" ref="B36" ca="1">[1]!UNIFORM_INV(RAND(),Sheet2!D$15-SQRT(3)*Sheet2!D$16,Sheet2!D$15+SQRT(3)*Sheet2!D$16)</f>
        <v>10.280860287482342</v>
      </c>
      <c r="C36" s="8" cm="1">
        <f t="array" aca="1" ref="C36" ca="1">[1]!UNIFORM_INV(RAND(),Sheet2!E$15-SQRT(3)*Sheet2!E$16,Sheet2!E$15+SQRT(3)*Sheet2!E$16)</f>
        <v>18.445613909951184</v>
      </c>
      <c r="D36" s="8" cm="1">
        <f t="array" aca="1" ref="D36" ca="1">[1]!UNIFORM_INV(RAND(),Sheet2!F$15-SQRT(3)*Sheet2!F$16,Sheet2!F$15+SQRT(3)*Sheet2!F$16)</f>
        <v>14.309790113109477</v>
      </c>
      <c r="E36" s="8" cm="1">
        <f t="array" aca="1" ref="E36" ca="1">[1]!UNIFORM_INV(RAND(),Sheet2!G$15-SQRT(3)*Sheet2!G$16,Sheet2!G$15+SQRT(3)*Sheet2!G$16)</f>
        <v>20.416747073928146</v>
      </c>
      <c r="F36" s="8" cm="1">
        <f t="array" aca="1" ref="F36" ca="1">[1]!UNIFORM_INV(RAND(),Sheet2!H$15-SQRT(3)*Sheet2!H$16,Sheet2!H$15+SQRT(3)*Sheet2!H$16)</f>
        <v>27.42248529159755</v>
      </c>
      <c r="G36" s="8" cm="1">
        <f t="array" aca="1" ref="G36" ca="1">[1]!UNIFORM_INV(RAND(),Sheet2!I$15-SQRT(3)*Sheet2!I$16,Sheet2!I$15+SQRT(3)*Sheet2!I$16)</f>
        <v>12.443556939659729</v>
      </c>
      <c r="H36" s="8" cm="1">
        <f t="array" aca="1" ref="H36" ca="1">[1]!UNIFORM_INV(RAND(),Sheet2!J$15-SQRT(3)*Sheet2!J$16,Sheet2!J$15+SQRT(3)*Sheet2!J$16)</f>
        <v>20.970632524174491</v>
      </c>
      <c r="I36" s="8" cm="1">
        <f t="array" aca="1" ref="I36" ca="1">[1]!UNIFORM_INV(RAND(),Sheet2!K$15-SQRT(3)*Sheet2!K$16,Sheet2!K$15+SQRT(3)*Sheet2!K$16)</f>
        <v>24.568870677459678</v>
      </c>
      <c r="J36" s="8" cm="1">
        <f t="array" aca="1" ref="J36" ca="1">[1]!UNIFORM_INV(RAND(),Sheet2!L$15-SQRT(3)*Sheet2!L$16,Sheet2!L$15+SQRT(3)*Sheet2!L$16)</f>
        <v>20.546630421377653</v>
      </c>
      <c r="K36" s="8" cm="1">
        <f t="array" aca="1" ref="K36" ca="1">[1]!UNIFORM_INV(RAND(),Sheet2!M$15-SQRT(3)*Sheet2!M$16,Sheet2!M$15+SQRT(3)*Sheet2!M$16)</f>
        <v>17.369172225514511</v>
      </c>
      <c r="L36" s="8" cm="1">
        <f t="array" aca="1" ref="L36" ca="1">[1]!UNIFORM_INV(RAND(),Sheet2!N$15-SQRT(3)*Sheet2!N$16,Sheet2!N$15+SQRT(3)*Sheet2!N$16)</f>
        <v>8.6149556998459182</v>
      </c>
      <c r="M36" s="8" cm="1">
        <f t="array" aca="1" ref="M36" ca="1">[1]!UNIFORM_INV(RAND(),Sheet2!O$15-SQRT(3)*Sheet2!O$16,Sheet2!O$15+SQRT(3)*Sheet2!O$16)</f>
        <v>4.4884215305697373</v>
      </c>
      <c r="N36" s="8" cm="1">
        <f t="array" aca="1" ref="N36" ca="1">[1]!UNIFORM_INV(RAND(),Sheet2!P$15-SQRT(3)*Sheet2!P$16,Sheet2!P$15+SQRT(3)*Sheet2!P$16)</f>
        <v>26.751118034453203</v>
      </c>
      <c r="O36" s="8" cm="1">
        <f t="array" aca="1" ref="O36" ca="1">[1]!UNIFORM_INV(RAND(),Sheet2!Q$15-SQRT(3)*Sheet2!Q$16,Sheet2!Q$15+SQRT(3)*Sheet2!Q$16)</f>
        <v>8.9971573833403991</v>
      </c>
      <c r="P36" s="8" cm="1">
        <f t="array" aca="1" ref="P36" ca="1">[1]!UNIFORM_INV(RAND(),Sheet2!R$15-SQRT(3)*Sheet2!R$16,Sheet2!R$15+SQRT(3)*Sheet2!R$16)</f>
        <v>8.7267200527468578</v>
      </c>
      <c r="Q36" s="8" cm="1">
        <f t="array" aca="1" ref="Q36" ca="1">[1]!UNIFORM_INV(RAND(),Sheet2!S$15-SQRT(3)*Sheet2!S$16,Sheet2!S$15+SQRT(3)*Sheet2!S$16)</f>
        <v>3.5441970441510131</v>
      </c>
      <c r="R36" s="8" cm="1">
        <f t="array" aca="1" ref="R36" ca="1">[1]!UNIFORM_INV(RAND(),Sheet2!T$15-SQRT(3)*Sheet2!T$16,Sheet2!T$15+SQRT(3)*Sheet2!T$16)</f>
        <v>16.53269089475322</v>
      </c>
      <c r="S36" s="8" cm="1">
        <f t="array" aca="1" ref="S36" ca="1">[1]!UNIFORM_INV(RAND(),Sheet2!U$15-SQRT(3)*Sheet2!U$16,Sheet2!U$15+SQRT(3)*Sheet2!U$16)</f>
        <v>24.568888335114014</v>
      </c>
      <c r="T36" s="8" cm="1">
        <f t="array" aca="1" ref="T36" ca="1">[1]!UNIFORM_INV(RAND(),Sheet2!V$15-SQRT(3)*Sheet2!V$16,Sheet2!V$15+SQRT(3)*Sheet2!V$16)</f>
        <v>22.94593924675031</v>
      </c>
      <c r="U36" s="8" cm="1">
        <f t="array" aca="1" ref="U36" ca="1">[1]!UNIFORM_INV(RAND(),Sheet2!W$15-SQRT(3)*Sheet2!W$16,Sheet2!W$15+SQRT(3)*Sheet2!W$16)</f>
        <v>27.225595795677606</v>
      </c>
      <c r="V36" s="8" cm="1">
        <f t="array" aca="1" ref="V36" ca="1">[1]!UNIFORM_INV(RAND(),Sheet2!X$15-SQRT(3)*Sheet2!X$16,Sheet2!X$15+SQRT(3)*Sheet2!X$16)</f>
        <v>22.342079095856231</v>
      </c>
      <c r="W36" s="8" cm="1">
        <f t="array" aca="1" ref="W36" ca="1">[1]!UNIFORM_INV(RAND(),Sheet2!Y$15-SQRT(3)*Sheet2!Y$16,Sheet2!Y$15+SQRT(3)*Sheet2!Y$16)</f>
        <v>23.342860907294344</v>
      </c>
      <c r="X36" s="8" cm="1">
        <f t="array" aca="1" ref="X36" ca="1">[1]!UNIFORM_INV(RAND(),Sheet2!Z$15-SQRT(3)*Sheet2!Z$16,Sheet2!Z$15+SQRT(3)*Sheet2!Z$16)</f>
        <v>7.8502068615932821</v>
      </c>
      <c r="AX36" s="7">
        <f ca="1">Sheet2!C$15+('RNG HERE'!A36-'RNG HERE'!Y$32)*Sheet2!C$16/'RNG HERE'!Y$33</f>
        <v>2.5870057430389983</v>
      </c>
      <c r="AY36" s="7">
        <f ca="1">Sheet2!D$15+('RNG HERE'!B36-'RNG HERE'!Z$32)*Sheet2!D$16/'RNG HERE'!Z$33</f>
        <v>9.9568977440328528</v>
      </c>
      <c r="AZ36" s="7">
        <f ca="1">Sheet2!E$15+('RNG HERE'!C36-'RNG HERE'!AA$32)*Sheet2!E$16/'RNG HERE'!AA$33</f>
        <v>18.591188248612848</v>
      </c>
      <c r="BA36" s="7">
        <f ca="1">Sheet2!F$15+('RNG HERE'!D36-'RNG HERE'!AB$32)*Sheet2!F$16/'RNG HERE'!AB$33</f>
        <v>14.602805706476067</v>
      </c>
      <c r="BB36" s="7">
        <f ca="1">Sheet2!G$15+('RNG HERE'!E36-'RNG HERE'!AC$32)*Sheet2!G$16/'RNG HERE'!AC$33</f>
        <v>20.050557418725969</v>
      </c>
      <c r="BC36" s="7">
        <f ca="1">Sheet2!H$15+('RNG HERE'!F36-'RNG HERE'!AD$32)*Sheet2!H$16/'RNG HERE'!AD$33</f>
        <v>25.612747773716531</v>
      </c>
      <c r="BD36" s="7">
        <f ca="1">Sheet2!I$15+('RNG HERE'!G36-'RNG HERE'!AE$32)*Sheet2!I$16/'RNG HERE'!AE$33</f>
        <v>12.420793721931375</v>
      </c>
      <c r="BE36" s="7">
        <f ca="1">Sheet2!J$15+('RNG HERE'!H36-'RNG HERE'!AF$32)*Sheet2!J$16/'RNG HERE'!AF$33</f>
        <v>21.053606183079463</v>
      </c>
      <c r="BF36" s="7">
        <f ca="1">Sheet2!K$15+('RNG HERE'!I36-'RNG HERE'!AG$32)*Sheet2!K$16/'RNG HERE'!AG$33</f>
        <v>25.013536023906934</v>
      </c>
      <c r="BG36" s="7">
        <f ca="1">Sheet2!L$15+('RNG HERE'!J36-'RNG HERE'!AH$32)*Sheet2!L$16/'RNG HERE'!AH$33</f>
        <v>20.038898784414702</v>
      </c>
      <c r="BH36" s="7">
        <f ca="1">Sheet2!M$15+('RNG HERE'!K36-'RNG HERE'!AI$32)*Sheet2!M$16/'RNG HERE'!AI$33</f>
        <v>17.42154465870507</v>
      </c>
      <c r="BI36" s="7">
        <f ca="1">Sheet2!N$15+('RNG HERE'!L36-'RNG HERE'!AJ$32)*Sheet2!N$16/'RNG HERE'!AJ$33</f>
        <v>8.4835145925130746</v>
      </c>
      <c r="BJ36" s="7">
        <f ca="1">Sheet2!O$15+('RNG HERE'!M36-'RNG HERE'!AK$32)*Sheet2!O$16/'RNG HERE'!AK$33</f>
        <v>4.6686722784392307</v>
      </c>
      <c r="BK36" s="7">
        <f ca="1">Sheet2!P$15+('RNG HERE'!N36-'RNG HERE'!AL$32)*Sheet2!P$16/'RNG HERE'!AL$33</f>
        <v>26.887694198830395</v>
      </c>
      <c r="BL36" s="7">
        <f ca="1">Sheet2!Q$15+('RNG HERE'!O36-'RNG HERE'!AM$32)*Sheet2!Q$16/'RNG HERE'!AM$33</f>
        <v>8.8673014119170883</v>
      </c>
      <c r="BM36" s="7">
        <f ca="1">Sheet2!R$15+('RNG HERE'!P36-'RNG HERE'!AN$32)*Sheet2!R$16/'RNG HERE'!AN$33</f>
        <v>8.5597714592959449</v>
      </c>
      <c r="BN36" s="7">
        <f ca="1">Sheet2!S$15+('RNG HERE'!Q36-'RNG HERE'!AO$32)*Sheet2!S$16/'RNG HERE'!AO$33</f>
        <v>3.725099614344745</v>
      </c>
      <c r="BO36" s="7">
        <f ca="1">Sheet2!T$15+('RNG HERE'!R36-'RNG HERE'!AP$32)*Sheet2!T$16/'RNG HERE'!AP$33</f>
        <v>15.908754832541408</v>
      </c>
      <c r="BP36" s="7">
        <f ca="1">Sheet2!U$15+('RNG HERE'!S36-'RNG HERE'!AQ$32)*Sheet2!U$16/'RNG HERE'!AQ$33</f>
        <v>24.65962592975994</v>
      </c>
      <c r="BQ36" s="7">
        <f ca="1">Sheet2!V$15+('RNG HERE'!T36-'RNG HERE'!AR$32)*Sheet2!V$16/'RNG HERE'!AR$33</f>
        <v>22.748537930325536</v>
      </c>
      <c r="BR36" s="7">
        <f ca="1">Sheet2!W$15+('RNG HERE'!U36-'RNG HERE'!AS$32)*Sheet2!W$16/'RNG HERE'!AS$33</f>
        <v>27.470910112129914</v>
      </c>
      <c r="BS36" s="7">
        <f ca="1">Sheet2!X$15+('RNG HERE'!V36-'RNG HERE'!AT$32)*Sheet2!X$16/'RNG HERE'!AT$33</f>
        <v>22.363188062991249</v>
      </c>
      <c r="BT36" s="7">
        <f ca="1">Sheet2!Y$15+('RNG HERE'!W36-'RNG HERE'!AU$32)*Sheet2!Y$16/'RNG HERE'!AU$33</f>
        <v>23.536024588450932</v>
      </c>
      <c r="BU36" s="7">
        <f ca="1">Sheet2!Z$15+('RNG HERE'!X36-'RNG HERE'!AV$32)*Sheet2!Z$16/'RNG HERE'!AV$33</f>
        <v>7.9886371776984246</v>
      </c>
    </row>
    <row r="37" spans="1:97" x14ac:dyDescent="0.3">
      <c r="A37" s="8" cm="1">
        <f t="array" aca="1" ref="A37" ca="1">[1]!UNIFORM_INV(RAND(),Sheet2!C$15-SQRT(3)*Sheet2!C$16,Sheet2!C$15+SQRT(3)*Sheet2!C$16)</f>
        <v>5.7170642832146248</v>
      </c>
      <c r="B37" s="8" cm="1">
        <f t="array" aca="1" ref="B37" ca="1">[1]!UNIFORM_INV(RAND(),Sheet2!D$15-SQRT(3)*Sheet2!D$16,Sheet2!D$15+SQRT(3)*Sheet2!D$16)</f>
        <v>9.6376263808615263</v>
      </c>
      <c r="C37" s="8" cm="1">
        <f t="array" aca="1" ref="C37" ca="1">[1]!UNIFORM_INV(RAND(),Sheet2!E$15-SQRT(3)*Sheet2!E$16,Sheet2!E$15+SQRT(3)*Sheet2!E$16)</f>
        <v>15.759123126919498</v>
      </c>
      <c r="D37" s="8" cm="1">
        <f t="array" aca="1" ref="D37" ca="1">[1]!UNIFORM_INV(RAND(),Sheet2!F$15-SQRT(3)*Sheet2!F$16,Sheet2!F$15+SQRT(3)*Sheet2!F$16)</f>
        <v>18.488322233126336</v>
      </c>
      <c r="E37" s="8" cm="1">
        <f t="array" aca="1" ref="E37" ca="1">[1]!UNIFORM_INV(RAND(),Sheet2!G$15-SQRT(3)*Sheet2!G$16,Sheet2!G$15+SQRT(3)*Sheet2!G$16)</f>
        <v>20.479338907835047</v>
      </c>
      <c r="F37" s="8" cm="1">
        <f t="array" aca="1" ref="F37" ca="1">[1]!UNIFORM_INV(RAND(),Sheet2!H$15-SQRT(3)*Sheet2!H$16,Sheet2!H$15+SQRT(3)*Sheet2!H$16)</f>
        <v>26.502833509078595</v>
      </c>
      <c r="G37" s="8" cm="1">
        <f t="array" aca="1" ref="G37" ca="1">[1]!UNIFORM_INV(RAND(),Sheet2!I$15-SQRT(3)*Sheet2!I$16,Sheet2!I$15+SQRT(3)*Sheet2!I$16)</f>
        <v>13.387447170616408</v>
      </c>
      <c r="H37" s="8" cm="1">
        <f t="array" aca="1" ref="H37" ca="1">[1]!UNIFORM_INV(RAND(),Sheet2!J$15-SQRT(3)*Sheet2!J$16,Sheet2!J$15+SQRT(3)*Sheet2!J$16)</f>
        <v>22.107052972561167</v>
      </c>
      <c r="I37" s="8" cm="1">
        <f t="array" aca="1" ref="I37" ca="1">[1]!UNIFORM_INV(RAND(),Sheet2!K$15-SQRT(3)*Sheet2!K$16,Sheet2!K$15+SQRT(3)*Sheet2!K$16)</f>
        <v>26.889021669749837</v>
      </c>
      <c r="J37" s="8" cm="1">
        <f t="array" aca="1" ref="J37" ca="1">[1]!UNIFORM_INV(RAND(),Sheet2!L$15-SQRT(3)*Sheet2!L$16,Sheet2!L$15+SQRT(3)*Sheet2!L$16)</f>
        <v>22.250836864201897</v>
      </c>
      <c r="K37" s="8" cm="1">
        <f t="array" aca="1" ref="K37" ca="1">[1]!UNIFORM_INV(RAND(),Sheet2!M$15-SQRT(3)*Sheet2!M$16,Sheet2!M$15+SQRT(3)*Sheet2!M$16)</f>
        <v>16.91915558519154</v>
      </c>
      <c r="L37" s="8" cm="1">
        <f t="array" aca="1" ref="L37" ca="1">[1]!UNIFORM_INV(RAND(),Sheet2!N$15-SQRT(3)*Sheet2!N$16,Sheet2!N$15+SQRT(3)*Sheet2!N$16)</f>
        <v>7.3098074530923913</v>
      </c>
      <c r="M37" s="8" cm="1">
        <f t="array" aca="1" ref="M37" ca="1">[1]!UNIFORM_INV(RAND(),Sheet2!O$15-SQRT(3)*Sheet2!O$16,Sheet2!O$15+SQRT(3)*Sheet2!O$16)</f>
        <v>3.4440994738696444</v>
      </c>
      <c r="N37" s="8" cm="1">
        <f t="array" aca="1" ref="N37" ca="1">[1]!UNIFORM_INV(RAND(),Sheet2!P$15-SQRT(3)*Sheet2!P$16,Sheet2!P$15+SQRT(3)*Sheet2!P$16)</f>
        <v>23.074811575430488</v>
      </c>
      <c r="O37" s="8" cm="1">
        <f t="array" aca="1" ref="O37" ca="1">[1]!UNIFORM_INV(RAND(),Sheet2!Q$15-SQRT(3)*Sheet2!Q$16,Sheet2!Q$15+SQRT(3)*Sheet2!Q$16)</f>
        <v>10.855791374138086</v>
      </c>
      <c r="P37" s="8" cm="1">
        <f t="array" aca="1" ref="P37" ca="1">[1]!UNIFORM_INV(RAND(),Sheet2!R$15-SQRT(3)*Sheet2!R$16,Sheet2!R$15+SQRT(3)*Sheet2!R$16)</f>
        <v>9.4558795936300921</v>
      </c>
      <c r="Q37" s="8" cm="1">
        <f t="array" aca="1" ref="Q37" ca="1">[1]!UNIFORM_INV(RAND(),Sheet2!S$15-SQRT(3)*Sheet2!S$16,Sheet2!S$15+SQRT(3)*Sheet2!S$16)</f>
        <v>3.7785250644315713</v>
      </c>
      <c r="R37" s="8" cm="1">
        <f t="array" aca="1" ref="R37" ca="1">[1]!UNIFORM_INV(RAND(),Sheet2!T$15-SQRT(3)*Sheet2!T$16,Sheet2!T$15+SQRT(3)*Sheet2!T$16)</f>
        <v>15.537386613291613</v>
      </c>
      <c r="S37" s="8" cm="1">
        <f t="array" aca="1" ref="S37" ca="1">[1]!UNIFORM_INV(RAND(),Sheet2!U$15-SQRT(3)*Sheet2!U$16,Sheet2!U$15+SQRT(3)*Sheet2!U$16)</f>
        <v>22.839046408256696</v>
      </c>
      <c r="T37" s="8" cm="1">
        <f t="array" aca="1" ref="T37" ca="1">[1]!UNIFORM_INV(RAND(),Sheet2!V$15-SQRT(3)*Sheet2!V$16,Sheet2!V$15+SQRT(3)*Sheet2!V$16)</f>
        <v>22.545763058702732</v>
      </c>
      <c r="U37" s="8" cm="1">
        <f t="array" aca="1" ref="U37" ca="1">[1]!UNIFORM_INV(RAND(),Sheet2!W$15-SQRT(3)*Sheet2!W$16,Sheet2!W$15+SQRT(3)*Sheet2!W$16)</f>
        <v>27.46581062411331</v>
      </c>
      <c r="V37" s="8" cm="1">
        <f t="array" aca="1" ref="V37" ca="1">[1]!UNIFORM_INV(RAND(),Sheet2!X$15-SQRT(3)*Sheet2!X$16,Sheet2!X$15+SQRT(3)*Sheet2!X$16)</f>
        <v>22.564384900572009</v>
      </c>
      <c r="W37" s="8" cm="1">
        <f t="array" aca="1" ref="W37" ca="1">[1]!UNIFORM_INV(RAND(),Sheet2!Y$15-SQRT(3)*Sheet2!Y$16,Sheet2!Y$15+SQRT(3)*Sheet2!Y$16)</f>
        <v>22.55737267735217</v>
      </c>
      <c r="X37" s="8" cm="1">
        <f t="array" aca="1" ref="X37" ca="1">[1]!UNIFORM_INV(RAND(),Sheet2!Z$15-SQRT(3)*Sheet2!Z$16,Sheet2!Z$15+SQRT(3)*Sheet2!Z$16)</f>
        <v>8.9174152372889282</v>
      </c>
      <c r="AX37" s="7">
        <f ca="1">Sheet2!C$15+('RNG HERE'!A37-'RNG HERE'!Y$32)*Sheet2!C$16/'RNG HERE'!Y$33</f>
        <v>5.6123703042017663</v>
      </c>
      <c r="AY37" s="7">
        <f ca="1">Sheet2!D$15+('RNG HERE'!B37-'RNG HERE'!Z$32)*Sheet2!D$16/'RNG HERE'!Z$33</f>
        <v>9.192625849963397</v>
      </c>
      <c r="AZ37" s="7">
        <f ca="1">Sheet2!E$15+('RNG HERE'!C37-'RNG HERE'!AA$32)*Sheet2!E$16/'RNG HERE'!AA$33</f>
        <v>15.745011395783211</v>
      </c>
      <c r="BA37" s="7">
        <f ca="1">Sheet2!F$15+('RNG HERE'!D37-'RNG HERE'!AB$32)*Sheet2!F$16/'RNG HERE'!AB$33</f>
        <v>18.474811851320585</v>
      </c>
      <c r="BB37" s="7">
        <f ca="1">Sheet2!G$15+('RNG HERE'!E37-'RNG HERE'!AC$32)*Sheet2!G$16/'RNG HERE'!AC$33</f>
        <v>20.122485586606718</v>
      </c>
      <c r="BC37" s="7">
        <f ca="1">Sheet2!H$15+('RNG HERE'!F37-'RNG HERE'!AD$32)*Sheet2!H$16/'RNG HERE'!AD$33</f>
        <v>24.646563412815123</v>
      </c>
      <c r="BD37" s="7">
        <f ca="1">Sheet2!I$15+('RNG HERE'!G37-'RNG HERE'!AE$32)*Sheet2!I$16/'RNG HERE'!AE$33</f>
        <v>13.499652256090908</v>
      </c>
      <c r="BE37" s="7">
        <f ca="1">Sheet2!J$15+('RNG HERE'!H37-'RNG HERE'!AF$32)*Sheet2!J$16/'RNG HERE'!AF$33</f>
        <v>22.175678461210406</v>
      </c>
      <c r="BF37" s="7">
        <f ca="1">Sheet2!K$15+('RNG HERE'!I37-'RNG HERE'!AG$32)*Sheet2!K$16/'RNG HERE'!AG$33</f>
        <v>27.602245479980187</v>
      </c>
      <c r="BG37" s="7">
        <f ca="1">Sheet2!L$15+('RNG HERE'!J37-'RNG HERE'!AH$32)*Sheet2!L$16/'RNG HERE'!AH$33</f>
        <v>21.87401161099217</v>
      </c>
      <c r="BH37" s="7">
        <f ca="1">Sheet2!M$15+('RNG HERE'!K37-'RNG HERE'!AI$32)*Sheet2!M$16/'RNG HERE'!AI$33</f>
        <v>16.963841931133437</v>
      </c>
      <c r="BI37" s="7">
        <f ca="1">Sheet2!N$15+('RNG HERE'!L37-'RNG HERE'!AJ$32)*Sheet2!N$16/'RNG HERE'!AJ$33</f>
        <v>7.1237112207735729</v>
      </c>
      <c r="BJ37" s="7">
        <f ca="1">Sheet2!O$15+('RNG HERE'!M37-'RNG HERE'!AK$32)*Sheet2!O$16/'RNG HERE'!AK$33</f>
        <v>3.5902935747740647</v>
      </c>
      <c r="BK37" s="7">
        <f ca="1">Sheet2!P$15+('RNG HERE'!N37-'RNG HERE'!AL$32)*Sheet2!P$16/'RNG HERE'!AL$33</f>
        <v>22.769780176378369</v>
      </c>
      <c r="BL37" s="7">
        <f ca="1">Sheet2!Q$15+('RNG HERE'!O37-'RNG HERE'!AM$32)*Sheet2!Q$16/'RNG HERE'!AM$33</f>
        <v>10.787438509787751</v>
      </c>
      <c r="BM37" s="7">
        <f ca="1">Sheet2!R$15+('RNG HERE'!P37-'RNG HERE'!AN$32)*Sheet2!R$16/'RNG HERE'!AN$33</f>
        <v>9.3260921951491333</v>
      </c>
      <c r="BN37" s="7">
        <f ca="1">Sheet2!S$15+('RNG HERE'!Q37-'RNG HERE'!AO$32)*Sheet2!S$16/'RNG HERE'!AO$33</f>
        <v>3.9666641368164592</v>
      </c>
      <c r="BO37" s="7">
        <f ca="1">Sheet2!T$15+('RNG HERE'!R37-'RNG HERE'!AP$32)*Sheet2!T$16/'RNG HERE'!AP$33</f>
        <v>14.780365703432587</v>
      </c>
      <c r="BP37" s="7">
        <f ca="1">Sheet2!U$15+('RNG HERE'!S37-'RNG HERE'!AQ$32)*Sheet2!U$16/'RNG HERE'!AQ$33</f>
        <v>22.751130406808294</v>
      </c>
      <c r="BQ37" s="7">
        <f ca="1">Sheet2!V$15+('RNG HERE'!T37-'RNG HERE'!AR$32)*Sheet2!V$16/'RNG HERE'!AR$33</f>
        <v>22.33820307153746</v>
      </c>
      <c r="BR37" s="7">
        <f ca="1">Sheet2!W$15+('RNG HERE'!U37-'RNG HERE'!AS$32)*Sheet2!W$16/'RNG HERE'!AS$33</f>
        <v>27.749761822212019</v>
      </c>
      <c r="BS37" s="7">
        <f ca="1">Sheet2!X$15+('RNG HERE'!V37-'RNG HERE'!AT$32)*Sheet2!X$16/'RNG HERE'!AT$33</f>
        <v>22.569285454378363</v>
      </c>
      <c r="BT37" s="7">
        <f ca="1">Sheet2!Y$15+('RNG HERE'!W37-'RNG HERE'!AU$32)*Sheet2!Y$16/'RNG HERE'!AU$33</f>
        <v>22.642294624487331</v>
      </c>
      <c r="BU37" s="7">
        <f ca="1">Sheet2!Z$15+('RNG HERE'!X37-'RNG HERE'!AV$32)*Sheet2!Z$16/'RNG HERE'!AV$33</f>
        <v>9.0735099334856528</v>
      </c>
      <c r="BV37" s="5">
        <f ca="1">COUNT(BU32:BU61)</f>
        <v>30</v>
      </c>
    </row>
    <row r="38" spans="1:97" x14ac:dyDescent="0.3">
      <c r="A38" s="8" cm="1">
        <f t="array" aca="1" ref="A38" ca="1">[1]!UNIFORM_INV(RAND(),Sheet2!C$15-SQRT(3)*Sheet2!C$16,Sheet2!C$15+SQRT(3)*Sheet2!C$16)</f>
        <v>4.0358048178904342</v>
      </c>
      <c r="B38" s="8" cm="1">
        <f t="array" aca="1" ref="B38" ca="1">[1]!UNIFORM_INV(RAND(),Sheet2!D$15-SQRT(3)*Sheet2!D$16,Sheet2!D$15+SQRT(3)*Sheet2!D$16)</f>
        <v>11.351828759908479</v>
      </c>
      <c r="C38" s="8" cm="1">
        <f t="array" aca="1" ref="C38" ca="1">[1]!UNIFORM_INV(RAND(),Sheet2!E$15-SQRT(3)*Sheet2!E$16,Sheet2!E$15+SQRT(3)*Sheet2!E$16)</f>
        <v>14.56739921491709</v>
      </c>
      <c r="D38" s="8" cm="1">
        <f t="array" aca="1" ref="D38" ca="1">[1]!UNIFORM_INV(RAND(),Sheet2!F$15-SQRT(3)*Sheet2!F$16,Sheet2!F$15+SQRT(3)*Sheet2!F$16)</f>
        <v>13.606294854920415</v>
      </c>
      <c r="E38" s="8" cm="1">
        <f t="array" aca="1" ref="E38" ca="1">[1]!UNIFORM_INV(RAND(),Sheet2!G$15-SQRT(3)*Sheet2!G$16,Sheet2!G$15+SQRT(3)*Sheet2!G$16)</f>
        <v>23.394085708999398</v>
      </c>
      <c r="F38" s="8" cm="1">
        <f t="array" aca="1" ref="F38" ca="1">[1]!UNIFORM_INV(RAND(),Sheet2!H$15-SQRT(3)*Sheet2!H$16,Sheet2!H$15+SQRT(3)*Sheet2!H$16)</f>
        <v>35.148116433985365</v>
      </c>
      <c r="G38" s="8" cm="1">
        <f t="array" aca="1" ref="G38" ca="1">[1]!UNIFORM_INV(RAND(),Sheet2!I$15-SQRT(3)*Sheet2!I$16,Sheet2!I$15+SQRT(3)*Sheet2!I$16)</f>
        <v>12.970618699973496</v>
      </c>
      <c r="H38" s="8" cm="1">
        <f t="array" aca="1" ref="H38" ca="1">[1]!UNIFORM_INV(RAND(),Sheet2!J$15-SQRT(3)*Sheet2!J$16,Sheet2!J$15+SQRT(3)*Sheet2!J$16)</f>
        <v>23.697739294567715</v>
      </c>
      <c r="I38" s="8" cm="1">
        <f t="array" aca="1" ref="I38" ca="1">[1]!UNIFORM_INV(RAND(),Sheet2!K$15-SQRT(3)*Sheet2!K$16,Sheet2!K$15+SQRT(3)*Sheet2!K$16)</f>
        <v>22.692020409248904</v>
      </c>
      <c r="J38" s="8" cm="1">
        <f t="array" aca="1" ref="J38" ca="1">[1]!UNIFORM_INV(RAND(),Sheet2!L$15-SQRT(3)*Sheet2!L$16,Sheet2!L$15+SQRT(3)*Sheet2!L$16)</f>
        <v>23.815415855421797</v>
      </c>
      <c r="K38" s="8" cm="1">
        <f t="array" aca="1" ref="K38" ca="1">[1]!UNIFORM_INV(RAND(),Sheet2!M$15-SQRT(3)*Sheet2!M$16,Sheet2!M$15+SQRT(3)*Sheet2!M$16)</f>
        <v>17.786312957122327</v>
      </c>
      <c r="L38" s="8" cm="1">
        <f t="array" aca="1" ref="L38" ca="1">[1]!UNIFORM_INV(RAND(),Sheet2!N$15-SQRT(3)*Sheet2!N$16,Sheet2!N$15+SQRT(3)*Sheet2!N$16)</f>
        <v>7.6902675741511439</v>
      </c>
      <c r="M38" s="8" cm="1">
        <f t="array" aca="1" ref="M38" ca="1">[1]!UNIFORM_INV(RAND(),Sheet2!O$15-SQRT(3)*Sheet2!O$16,Sheet2!O$15+SQRT(3)*Sheet2!O$16)</f>
        <v>4.1224426746261731</v>
      </c>
      <c r="N38" s="8" cm="1">
        <f t="array" aca="1" ref="N38" ca="1">[1]!UNIFORM_INV(RAND(),Sheet2!P$15-SQRT(3)*Sheet2!P$16,Sheet2!P$15+SQRT(3)*Sheet2!P$16)</f>
        <v>21.585252929995939</v>
      </c>
      <c r="O38" s="8" cm="1">
        <f t="array" aca="1" ref="O38" ca="1">[1]!UNIFORM_INV(RAND(),Sheet2!Q$15-SQRT(3)*Sheet2!Q$16,Sheet2!Q$15+SQRT(3)*Sheet2!Q$16)</f>
        <v>10.892077759253031</v>
      </c>
      <c r="P38" s="8" cm="1">
        <f t="array" aca="1" ref="P38" ca="1">[1]!UNIFORM_INV(RAND(),Sheet2!R$15-SQRT(3)*Sheet2!R$16,Sheet2!R$15+SQRT(3)*Sheet2!R$16)</f>
        <v>8.286812624616898</v>
      </c>
      <c r="Q38" s="8" cm="1">
        <f t="array" aca="1" ref="Q38" ca="1">[1]!UNIFORM_INV(RAND(),Sheet2!S$15-SQRT(3)*Sheet2!S$16,Sheet2!S$15+SQRT(3)*Sheet2!S$16)</f>
        <v>2.9354344104050698</v>
      </c>
      <c r="R38" s="8" cm="1">
        <f t="array" aca="1" ref="R38" ca="1">[1]!UNIFORM_INV(RAND(),Sheet2!T$15-SQRT(3)*Sheet2!T$16,Sheet2!T$15+SQRT(3)*Sheet2!T$16)</f>
        <v>18.58912735485433</v>
      </c>
      <c r="S38" s="8" cm="1">
        <f t="array" aca="1" ref="S38" ca="1">[1]!UNIFORM_INV(RAND(),Sheet2!U$15-SQRT(3)*Sheet2!U$16,Sheet2!U$15+SQRT(3)*Sheet2!U$16)</f>
        <v>24.610515424575848</v>
      </c>
      <c r="T38" s="8" cm="1">
        <f t="array" aca="1" ref="T38" ca="1">[1]!UNIFORM_INV(RAND(),Sheet2!V$15-SQRT(3)*Sheet2!V$16,Sheet2!V$15+SQRT(3)*Sheet2!V$16)</f>
        <v>23.98275854038188</v>
      </c>
      <c r="U38" s="8" cm="1">
        <f t="array" aca="1" ref="U38" ca="1">[1]!UNIFORM_INV(RAND(),Sheet2!W$15-SQRT(3)*Sheet2!W$16,Sheet2!W$15+SQRT(3)*Sheet2!W$16)</f>
        <v>25.065957113239651</v>
      </c>
      <c r="V38" s="8" cm="1">
        <f t="array" aca="1" ref="V38" ca="1">[1]!UNIFORM_INV(RAND(),Sheet2!X$15-SQRT(3)*Sheet2!X$16,Sheet2!X$15+SQRT(3)*Sheet2!X$16)</f>
        <v>23.84298714823116</v>
      </c>
      <c r="W38" s="8" cm="1">
        <f t="array" aca="1" ref="W38" ca="1">[1]!UNIFORM_INV(RAND(),Sheet2!Y$15-SQRT(3)*Sheet2!Y$16,Sheet2!Y$15+SQRT(3)*Sheet2!Y$16)</f>
        <v>20.516256223604849</v>
      </c>
      <c r="X38" s="8" cm="1">
        <f t="array" aca="1" ref="X38" ca="1">[1]!UNIFORM_INV(RAND(),Sheet2!Z$15-SQRT(3)*Sheet2!Z$16,Sheet2!Z$15+SQRT(3)*Sheet2!Z$16)</f>
        <v>8.6756497901100857</v>
      </c>
      <c r="AX38" s="7">
        <f ca="1">Sheet2!C$15+('RNG HERE'!A38-'RNG HERE'!Y$32)*Sheet2!C$16/'RNG HERE'!Y$33</f>
        <v>3.9065315474582394</v>
      </c>
      <c r="AY38" s="7">
        <f ca="1">Sheet2!D$15+('RNG HERE'!B38-'RNG HERE'!Z$32)*Sheet2!D$16/'RNG HERE'!Z$33</f>
        <v>11.229391458193206</v>
      </c>
      <c r="AZ38" s="7">
        <f ca="1">Sheet2!E$15+('RNG HERE'!C38-'RNG HERE'!AA$32)*Sheet2!E$16/'RNG HERE'!AA$33</f>
        <v>14.48245094527716</v>
      </c>
      <c r="BA38" s="7">
        <f ca="1">Sheet2!F$15+('RNG HERE'!D38-'RNG HERE'!AB$32)*Sheet2!F$16/'RNG HERE'!AB$33</f>
        <v>13.950916984709814</v>
      </c>
      <c r="BB38" s="7">
        <f ca="1">Sheet2!G$15+('RNG HERE'!E38-'RNG HERE'!AC$32)*Sheet2!G$16/'RNG HERE'!AC$33</f>
        <v>23.47200235513375</v>
      </c>
      <c r="BC38" s="7">
        <f ca="1">Sheet2!H$15+('RNG HERE'!F38-'RNG HERE'!AD$32)*Sheet2!H$16/'RNG HERE'!AD$33</f>
        <v>33.729280715590235</v>
      </c>
      <c r="BD38" s="7">
        <f ca="1">Sheet2!I$15+('RNG HERE'!G38-'RNG HERE'!AE$32)*Sheet2!I$16/'RNG HERE'!AE$33</f>
        <v>13.023220846923785</v>
      </c>
      <c r="BE38" s="7">
        <f ca="1">Sheet2!J$15+('RNG HERE'!H38-'RNG HERE'!AF$32)*Sheet2!J$16/'RNG HERE'!AF$33</f>
        <v>23.74628116169816</v>
      </c>
      <c r="BF38" s="7">
        <f ca="1">Sheet2!K$15+('RNG HERE'!I38-'RNG HERE'!AG$32)*Sheet2!K$16/'RNG HERE'!AG$33</f>
        <v>22.919439539197104</v>
      </c>
      <c r="BG38" s="7">
        <f ca="1">Sheet2!L$15+('RNG HERE'!J38-'RNG HERE'!AH$32)*Sheet2!L$16/'RNG HERE'!AH$33</f>
        <v>23.558771686316788</v>
      </c>
      <c r="BH38" s="7">
        <f ca="1">Sheet2!M$15+('RNG HERE'!K38-'RNG HERE'!AI$32)*Sheet2!M$16/'RNG HERE'!AI$33</f>
        <v>17.845809971430167</v>
      </c>
      <c r="BI38" s="7">
        <f ca="1">Sheet2!N$15+('RNG HERE'!L38-'RNG HERE'!AJ$32)*Sheet2!N$16/'RNG HERE'!AJ$33</f>
        <v>7.5201037047040291</v>
      </c>
      <c r="BJ38" s="7">
        <f ca="1">Sheet2!O$15+('RNG HERE'!M38-'RNG HERE'!AK$32)*Sheet2!O$16/'RNG HERE'!AK$33</f>
        <v>4.2907583947773631</v>
      </c>
      <c r="BK38" s="7">
        <f ca="1">Sheet2!P$15+('RNG HERE'!N38-'RNG HERE'!AL$32)*Sheet2!P$16/'RNG HERE'!AL$33</f>
        <v>21.101291843952957</v>
      </c>
      <c r="BL38" s="7">
        <f ca="1">Sheet2!Q$15+('RNG HERE'!O38-'RNG HERE'!AM$32)*Sheet2!Q$16/'RNG HERE'!AM$33</f>
        <v>10.824925629119367</v>
      </c>
      <c r="BM38" s="7">
        <f ca="1">Sheet2!R$15+('RNG HERE'!P38-'RNG HERE'!AN$32)*Sheet2!R$16/'RNG HERE'!AN$33</f>
        <v>8.0974444031026049</v>
      </c>
      <c r="BN38" s="7">
        <f ca="1">Sheet2!S$15+('RNG HERE'!Q38-'RNG HERE'!AO$32)*Sheet2!S$16/'RNG HERE'!AO$33</f>
        <v>3.0975372138115347</v>
      </c>
      <c r="BO38" s="7">
        <f ca="1">Sheet2!T$15+('RNG HERE'!R38-'RNG HERE'!AP$32)*Sheet2!T$16/'RNG HERE'!AP$33</f>
        <v>18.240163015447564</v>
      </c>
      <c r="BP38" s="7">
        <f ca="1">Sheet2!U$15+('RNG HERE'!S38-'RNG HERE'!AQ$32)*Sheet2!U$16/'RNG HERE'!AQ$33</f>
        <v>24.705552157259667</v>
      </c>
      <c r="BQ38" s="7">
        <f ca="1">Sheet2!V$15+('RNG HERE'!T38-'RNG HERE'!AR$32)*Sheet2!V$16/'RNG HERE'!AR$33</f>
        <v>23.811677395261611</v>
      </c>
      <c r="BR38" s="7">
        <f ca="1">Sheet2!W$15+('RNG HERE'!U38-'RNG HERE'!AS$32)*Sheet2!W$16/'RNG HERE'!AS$33</f>
        <v>24.963908593202117</v>
      </c>
      <c r="BS38" s="7">
        <f ca="1">Sheet2!X$15+('RNG HERE'!V38-'RNG HERE'!AT$32)*Sheet2!X$16/'RNG HERE'!AT$33</f>
        <v>23.754664253646162</v>
      </c>
      <c r="BT38" s="7">
        <f ca="1">Sheet2!Y$15+('RNG HERE'!W38-'RNG HERE'!AU$32)*Sheet2!Y$16/'RNG HERE'!AU$33</f>
        <v>20.319908540118632</v>
      </c>
      <c r="BU38" s="7">
        <f ca="1">Sheet2!Z$15+('RNG HERE'!X38-'RNG HERE'!AV$32)*Sheet2!Z$16/'RNG HERE'!AV$33</f>
        <v>8.8277427966188</v>
      </c>
    </row>
    <row r="39" spans="1:97" x14ac:dyDescent="0.3">
      <c r="A39" s="8" cm="1">
        <f t="array" aca="1" ref="A39" ca="1">[1]!UNIFORM_INV(RAND(),Sheet2!C$15-SQRT(3)*Sheet2!C$16,Sheet2!C$15+SQRT(3)*Sheet2!C$16)</f>
        <v>2.9831513587009306</v>
      </c>
      <c r="B39" s="8" cm="1">
        <f t="array" aca="1" ref="B39" ca="1">[1]!UNIFORM_INV(RAND(),Sheet2!D$15-SQRT(3)*Sheet2!D$16,Sheet2!D$15+SQRT(3)*Sheet2!D$16)</f>
        <v>11.645157912740377</v>
      </c>
      <c r="C39" s="8" cm="1">
        <f t="array" aca="1" ref="C39" ca="1">[1]!UNIFORM_INV(RAND(),Sheet2!E$15-SQRT(3)*Sheet2!E$16,Sheet2!E$15+SQRT(3)*Sheet2!E$16)</f>
        <v>16.344686744626699</v>
      </c>
      <c r="D39" s="8" cm="1">
        <f t="array" aca="1" ref="D39" ca="1">[1]!UNIFORM_INV(RAND(),Sheet2!F$15-SQRT(3)*Sheet2!F$16,Sheet2!F$15+SQRT(3)*Sheet2!F$16)</f>
        <v>13.59767165158075</v>
      </c>
      <c r="E39" s="8" cm="1">
        <f t="array" aca="1" ref="E39" ca="1">[1]!UNIFORM_INV(RAND(),Sheet2!G$15-SQRT(3)*Sheet2!G$16,Sheet2!G$15+SQRT(3)*Sheet2!G$16)</f>
        <v>26.880823801138288</v>
      </c>
      <c r="F39" s="8" cm="1">
        <f t="array" aca="1" ref="F39" ca="1">[1]!UNIFORM_INV(RAND(),Sheet2!H$15-SQRT(3)*Sheet2!H$16,Sheet2!H$15+SQRT(3)*Sheet2!H$16)</f>
        <v>31.875071266968632</v>
      </c>
      <c r="G39" s="8" cm="1">
        <f t="array" aca="1" ref="G39" ca="1">[1]!UNIFORM_INV(RAND(),Sheet2!I$15-SQRT(3)*Sheet2!I$16,Sheet2!I$15+SQRT(3)*Sheet2!I$16)</f>
        <v>13.898168078269412</v>
      </c>
      <c r="H39" s="8" cm="1">
        <f t="array" aca="1" ref="H39" ca="1">[1]!UNIFORM_INV(RAND(),Sheet2!J$15-SQRT(3)*Sheet2!J$16,Sheet2!J$15+SQRT(3)*Sheet2!J$16)</f>
        <v>23.403473932470657</v>
      </c>
      <c r="I39" s="8" cm="1">
        <f t="array" aca="1" ref="I39" ca="1">[1]!UNIFORM_INV(RAND(),Sheet2!K$15-SQRT(3)*Sheet2!K$16,Sheet2!K$15+SQRT(3)*Sheet2!K$16)</f>
        <v>25.748869917222432</v>
      </c>
      <c r="J39" s="8" cm="1">
        <f t="array" aca="1" ref="J39" ca="1">[1]!UNIFORM_INV(RAND(),Sheet2!L$15-SQRT(3)*Sheet2!L$16,Sheet2!L$15+SQRT(3)*Sheet2!L$16)</f>
        <v>22.906151748603719</v>
      </c>
      <c r="K39" s="8" cm="1">
        <f t="array" aca="1" ref="K39" ca="1">[1]!UNIFORM_INV(RAND(),Sheet2!M$15-SQRT(3)*Sheet2!M$16,Sheet2!M$15+SQRT(3)*Sheet2!M$16)</f>
        <v>17.928751893829801</v>
      </c>
      <c r="L39" s="8" cm="1">
        <f t="array" aca="1" ref="L39" ca="1">[1]!UNIFORM_INV(RAND(),Sheet2!N$15-SQRT(3)*Sheet2!N$16,Sheet2!N$15+SQRT(3)*Sheet2!N$16)</f>
        <v>7.3833967288278481</v>
      </c>
      <c r="M39" s="8" cm="1">
        <f t="array" aca="1" ref="M39" ca="1">[1]!UNIFORM_INV(RAND(),Sheet2!O$15-SQRT(3)*Sheet2!O$16,Sheet2!O$15+SQRT(3)*Sheet2!O$16)</f>
        <v>3.5013690696675872</v>
      </c>
      <c r="N39" s="8" cm="1">
        <f t="array" aca="1" ref="N39" ca="1">[1]!UNIFORM_INV(RAND(),Sheet2!P$15-SQRT(3)*Sheet2!P$16,Sheet2!P$15+SQRT(3)*Sheet2!P$16)</f>
        <v>19.623172614900259</v>
      </c>
      <c r="O39" s="8" cm="1">
        <f t="array" aca="1" ref="O39" ca="1">[1]!UNIFORM_INV(RAND(),Sheet2!Q$15-SQRT(3)*Sheet2!Q$16,Sheet2!Q$15+SQRT(3)*Sheet2!Q$16)</f>
        <v>9.8983296168779962</v>
      </c>
      <c r="P39" s="8" cm="1">
        <f t="array" aca="1" ref="P39" ca="1">[1]!UNIFORM_INV(RAND(),Sheet2!R$15-SQRT(3)*Sheet2!R$16,Sheet2!R$15+SQRT(3)*Sheet2!R$16)</f>
        <v>9.4411207557461374</v>
      </c>
      <c r="Q39" s="8" cm="1">
        <f t="array" aca="1" ref="Q39" ca="1">[1]!UNIFORM_INV(RAND(),Sheet2!S$15-SQRT(3)*Sheet2!S$16,Sheet2!S$15+SQRT(3)*Sheet2!S$16)</f>
        <v>3.9691744865655298</v>
      </c>
      <c r="R39" s="8" cm="1">
        <f t="array" aca="1" ref="R39" ca="1">[1]!UNIFORM_INV(RAND(),Sheet2!T$15-SQRT(3)*Sheet2!T$16,Sheet2!T$15+SQRT(3)*Sheet2!T$16)</f>
        <v>17.794960777409809</v>
      </c>
      <c r="S39" s="8" cm="1">
        <f t="array" aca="1" ref="S39" ca="1">[1]!UNIFORM_INV(RAND(),Sheet2!U$15-SQRT(3)*Sheet2!U$16,Sheet2!U$15+SQRT(3)*Sheet2!U$16)</f>
        <v>24.382952606057373</v>
      </c>
      <c r="T39" s="8" cm="1">
        <f t="array" aca="1" ref="T39" ca="1">[1]!UNIFORM_INV(RAND(),Sheet2!V$15-SQRT(3)*Sheet2!V$16,Sheet2!V$15+SQRT(3)*Sheet2!V$16)</f>
        <v>24.319412515168676</v>
      </c>
      <c r="U39" s="8" cm="1">
        <f t="array" aca="1" ref="U39" ca="1">[1]!UNIFORM_INV(RAND(),Sheet2!W$15-SQRT(3)*Sheet2!W$16,Sheet2!W$15+SQRT(3)*Sheet2!W$16)</f>
        <v>24.290603189815812</v>
      </c>
      <c r="V39" s="8" cm="1">
        <f t="array" aca="1" ref="V39" ca="1">[1]!UNIFORM_INV(RAND(),Sheet2!X$15-SQRT(3)*Sheet2!X$16,Sheet2!X$15+SQRT(3)*Sheet2!X$16)</f>
        <v>23.057157119899365</v>
      </c>
      <c r="W39" s="8" cm="1">
        <f t="array" aca="1" ref="W39" ca="1">[1]!UNIFORM_INV(RAND(),Sheet2!Y$15-SQRT(3)*Sheet2!Y$16,Sheet2!Y$15+SQRT(3)*Sheet2!Y$16)</f>
        <v>22.2522626537489</v>
      </c>
      <c r="X39" s="8" cm="1">
        <f t="array" aca="1" ref="X39" ca="1">[1]!UNIFORM_INV(RAND(),Sheet2!Z$15-SQRT(3)*Sheet2!Z$16,Sheet2!Z$15+SQRT(3)*Sheet2!Z$16)</f>
        <v>8.1375439956599802</v>
      </c>
      <c r="AX39" s="7">
        <f ca="1">Sheet2!C$15+('RNG HERE'!A39-'RNG HERE'!Y$32)*Sheet2!C$16/'RNG HERE'!Y$33</f>
        <v>2.8384887467241207</v>
      </c>
      <c r="AY39" s="7">
        <f ca="1">Sheet2!D$15+('RNG HERE'!B39-'RNG HERE'!Z$32)*Sheet2!D$16/'RNG HERE'!Z$33</f>
        <v>11.577916660165773</v>
      </c>
      <c r="AZ39" s="7">
        <f ca="1">Sheet2!E$15+('RNG HERE'!C39-'RNG HERE'!AA$32)*Sheet2!E$16/'RNG HERE'!AA$33</f>
        <v>16.365381145459647</v>
      </c>
      <c r="BA39" s="7">
        <f ca="1">Sheet2!F$15+('RNG HERE'!D39-'RNG HERE'!AB$32)*Sheet2!F$16/'RNG HERE'!AB$33</f>
        <v>13.942926356575239</v>
      </c>
      <c r="BB39" s="7">
        <f ca="1">Sheet2!G$15+('RNG HERE'!E39-'RNG HERE'!AC$32)*Sheet2!G$16/'RNG HERE'!AC$33</f>
        <v>27.478829878682554</v>
      </c>
      <c r="BC39" s="7">
        <f ca="1">Sheet2!H$15+('RNG HERE'!F39-'RNG HERE'!AD$32)*Sheet2!H$16/'RNG HERE'!AD$33</f>
        <v>30.290625875783718</v>
      </c>
      <c r="BD39" s="7">
        <f ca="1">Sheet2!I$15+('RNG HERE'!G39-'RNG HERE'!AE$32)*Sheet2!I$16/'RNG HERE'!AE$33</f>
        <v>14.083401924986923</v>
      </c>
      <c r="BE39" s="7">
        <f ca="1">Sheet2!J$15+('RNG HERE'!H39-'RNG HERE'!AF$32)*Sheet2!J$16/'RNG HERE'!AF$33</f>
        <v>23.455731123028915</v>
      </c>
      <c r="BF39" s="7">
        <f ca="1">Sheet2!K$15+('RNG HERE'!I39-'RNG HERE'!AG$32)*Sheet2!K$16/'RNG HERE'!AG$33</f>
        <v>26.330120677355673</v>
      </c>
      <c r="BG39" s="7">
        <f ca="1">Sheet2!L$15+('RNG HERE'!J39-'RNG HERE'!AH$32)*Sheet2!L$16/'RNG HERE'!AH$33</f>
        <v>22.57966364914547</v>
      </c>
      <c r="BH39" s="7">
        <f ca="1">Sheet2!M$15+('RNG HERE'!K39-'RNG HERE'!AI$32)*Sheet2!M$16/'RNG HERE'!AI$33</f>
        <v>17.990681702832418</v>
      </c>
      <c r="BI39" s="7">
        <f ca="1">Sheet2!N$15+('RNG HERE'!L39-'RNG HERE'!AJ$32)*Sheet2!N$16/'RNG HERE'!AJ$33</f>
        <v>7.2003821625748987</v>
      </c>
      <c r="BJ39" s="7">
        <f ca="1">Sheet2!O$15+('RNG HERE'!M39-'RNG HERE'!AK$32)*Sheet2!O$16/'RNG HERE'!AK$33</f>
        <v>3.64943080363923</v>
      </c>
      <c r="BK39" s="7">
        <f ca="1">Sheet2!P$15+('RNG HERE'!N39-'RNG HERE'!AL$32)*Sheet2!P$16/'RNG HERE'!AL$33</f>
        <v>18.903521300945116</v>
      </c>
      <c r="BL39" s="7">
        <f ca="1">Sheet2!Q$15+('RNG HERE'!O39-'RNG HERE'!AM$32)*Sheet2!Q$16/'RNG HERE'!AM$33</f>
        <v>9.7982938750667934</v>
      </c>
      <c r="BM39" s="7">
        <f ca="1">Sheet2!R$15+('RNG HERE'!P39-'RNG HERE'!AN$32)*Sheet2!R$16/'RNG HERE'!AN$33</f>
        <v>9.3105811816144683</v>
      </c>
      <c r="BN39" s="7">
        <f ca="1">Sheet2!S$15+('RNG HERE'!Q39-'RNG HERE'!AO$32)*Sheet2!S$16/'RNG HERE'!AO$33</f>
        <v>4.1632011816058867</v>
      </c>
      <c r="BO39" s="7">
        <f ca="1">Sheet2!T$15+('RNG HERE'!R39-'RNG HERE'!AP$32)*Sheet2!T$16/'RNG HERE'!AP$33</f>
        <v>17.339806260853894</v>
      </c>
      <c r="BP39" s="7">
        <f ca="1">Sheet2!U$15+('RNG HERE'!S39-'RNG HERE'!AQ$32)*Sheet2!U$16/'RNG HERE'!AQ$33</f>
        <v>24.454487239945642</v>
      </c>
      <c r="BQ39" s="7">
        <f ca="1">Sheet2!V$15+('RNG HERE'!T39-'RNG HERE'!AR$32)*Sheet2!V$16/'RNG HERE'!AR$33</f>
        <v>24.15687749794278</v>
      </c>
      <c r="BR39" s="7">
        <f ca="1">Sheet2!W$15+('RNG HERE'!U39-'RNG HERE'!AS$32)*Sheet2!W$16/'RNG HERE'!AS$33</f>
        <v>24.063844392862883</v>
      </c>
      <c r="BS39" s="7">
        <f ca="1">Sheet2!X$15+('RNG HERE'!V39-'RNG HERE'!AT$32)*Sheet2!X$16/'RNG HERE'!AT$33</f>
        <v>23.026129435943538</v>
      </c>
      <c r="BT39" s="7">
        <f ca="1">Sheet2!Y$15+('RNG HERE'!W39-'RNG HERE'!AU$32)*Sheet2!Y$16/'RNG HERE'!AU$33</f>
        <v>22.295139874097298</v>
      </c>
      <c r="BU39" s="7">
        <f ca="1">Sheet2!Z$15+('RNG HERE'!X39-'RNG HERE'!AV$32)*Sheet2!Z$16/'RNG HERE'!AV$33</f>
        <v>8.2807303017537421</v>
      </c>
    </row>
    <row r="40" spans="1:97" x14ac:dyDescent="0.3">
      <c r="A40" s="8" cm="1">
        <f t="array" aca="1" ref="A40" ca="1">[1]!UNIFORM_INV(RAND(),Sheet2!C$15-SQRT(3)*Sheet2!C$16,Sheet2!C$15+SQRT(3)*Sheet2!C$16)</f>
        <v>4.9251223457994611</v>
      </c>
      <c r="B40" s="8" cm="1">
        <f t="array" aca="1" ref="B40" ca="1">[1]!UNIFORM_INV(RAND(),Sheet2!D$15-SQRT(3)*Sheet2!D$16,Sheet2!D$15+SQRT(3)*Sheet2!D$16)</f>
        <v>8.7376276022556265</v>
      </c>
      <c r="C40" s="8" cm="1">
        <f t="array" aca="1" ref="C40" ca="1">[1]!UNIFORM_INV(RAND(),Sheet2!E$15-SQRT(3)*Sheet2!E$16,Sheet2!E$15+SQRT(3)*Sheet2!E$16)</f>
        <v>17.714648765936285</v>
      </c>
      <c r="D40" s="8" cm="1">
        <f t="array" aca="1" ref="D40" ca="1">[1]!UNIFORM_INV(RAND(),Sheet2!F$15-SQRT(3)*Sheet2!F$16,Sheet2!F$15+SQRT(3)*Sheet2!F$16)</f>
        <v>14.438644116900402</v>
      </c>
      <c r="E40" s="8" cm="1">
        <f t="array" aca="1" ref="E40" ca="1">[1]!UNIFORM_INV(RAND(),Sheet2!G$15-SQRT(3)*Sheet2!G$16,Sheet2!G$15+SQRT(3)*Sheet2!G$16)</f>
        <v>20.177446362133121</v>
      </c>
      <c r="F40" s="8" cm="1">
        <f t="array" aca="1" ref="F40" ca="1">[1]!UNIFORM_INV(RAND(),Sheet2!H$15-SQRT(3)*Sheet2!H$16,Sheet2!H$15+SQRT(3)*Sheet2!H$16)</f>
        <v>32.124976140320314</v>
      </c>
      <c r="G40" s="8" cm="1">
        <f t="array" aca="1" ref="G40" ca="1">[1]!UNIFORM_INV(RAND(),Sheet2!I$15-SQRT(3)*Sheet2!I$16,Sheet2!I$15+SQRT(3)*Sheet2!I$16)</f>
        <v>13.048201108964921</v>
      </c>
      <c r="H40" s="8" cm="1">
        <f t="array" aca="1" ref="H40" ca="1">[1]!UNIFORM_INV(RAND(),Sheet2!J$15-SQRT(3)*Sheet2!J$16,Sheet2!J$15+SQRT(3)*Sheet2!J$16)</f>
        <v>21.698016053014957</v>
      </c>
      <c r="I40" s="8" cm="1">
        <f t="array" aca="1" ref="I40" ca="1">[1]!UNIFORM_INV(RAND(),Sheet2!K$15-SQRT(3)*Sheet2!K$16,Sheet2!K$15+SQRT(3)*Sheet2!K$16)</f>
        <v>22.154112155005958</v>
      </c>
      <c r="J40" s="8" cm="1">
        <f t="array" aca="1" ref="J40" ca="1">[1]!UNIFORM_INV(RAND(),Sheet2!L$15-SQRT(3)*Sheet2!L$16,Sheet2!L$15+SQRT(3)*Sheet2!L$16)</f>
        <v>25.688168415986166</v>
      </c>
      <c r="K40" s="8" cm="1">
        <f t="array" aca="1" ref="K40" ca="1">[1]!UNIFORM_INV(RAND(),Sheet2!M$15-SQRT(3)*Sheet2!M$16,Sheet2!M$15+SQRT(3)*Sheet2!M$16)</f>
        <v>16.063456578783189</v>
      </c>
      <c r="L40" s="8" cm="1">
        <f t="array" aca="1" ref="L40" ca="1">[1]!UNIFORM_INV(RAND(),Sheet2!N$15-SQRT(3)*Sheet2!N$16,Sheet2!N$15+SQRT(3)*Sheet2!N$16)</f>
        <v>9.1400680708813358</v>
      </c>
      <c r="M40" s="8" cm="1">
        <f t="array" aca="1" ref="M40" ca="1">[1]!UNIFORM_INV(RAND(),Sheet2!O$15-SQRT(3)*Sheet2!O$16,Sheet2!O$15+SQRT(3)*Sheet2!O$16)</f>
        <v>3.4867676788043394</v>
      </c>
      <c r="N40" s="8" cm="1">
        <f t="array" aca="1" ref="N40" ca="1">[1]!UNIFORM_INV(RAND(),Sheet2!P$15-SQRT(3)*Sheet2!P$16,Sheet2!P$15+SQRT(3)*Sheet2!P$16)</f>
        <v>22.493956367346659</v>
      </c>
      <c r="O40" s="8" cm="1">
        <f t="array" aca="1" ref="O40" ca="1">[1]!UNIFORM_INV(RAND(),Sheet2!Q$15-SQRT(3)*Sheet2!Q$16,Sheet2!Q$15+SQRT(3)*Sheet2!Q$16)</f>
        <v>8.7203177260532847</v>
      </c>
      <c r="P40" s="8" cm="1">
        <f t="array" aca="1" ref="P40" ca="1">[1]!UNIFORM_INV(RAND(),Sheet2!R$15-SQRT(3)*Sheet2!R$16,Sheet2!R$15+SQRT(3)*Sheet2!R$16)</f>
        <v>7.8798867259506302</v>
      </c>
      <c r="Q40" s="8" cm="1">
        <f t="array" aca="1" ref="Q40" ca="1">[1]!UNIFORM_INV(RAND(),Sheet2!S$15-SQRT(3)*Sheet2!S$16,Sheet2!S$15+SQRT(3)*Sheet2!S$16)</f>
        <v>2.7366043426433175</v>
      </c>
      <c r="R40" s="8" cm="1">
        <f t="array" aca="1" ref="R40" ca="1">[1]!UNIFORM_INV(RAND(),Sheet2!T$15-SQRT(3)*Sheet2!T$16,Sheet2!T$15+SQRT(3)*Sheet2!T$16)</f>
        <v>19.147980129108245</v>
      </c>
      <c r="S40" s="8" cm="1">
        <f t="array" aca="1" ref="S40" ca="1">[1]!UNIFORM_INV(RAND(),Sheet2!U$15-SQRT(3)*Sheet2!U$16,Sheet2!U$15+SQRT(3)*Sheet2!U$16)</f>
        <v>23.956050137973566</v>
      </c>
      <c r="T40" s="8" cm="1">
        <f t="array" aca="1" ref="T40" ca="1">[1]!UNIFORM_INV(RAND(),Sheet2!V$15-SQRT(3)*Sheet2!V$16,Sheet2!V$15+SQRT(3)*Sheet2!V$16)</f>
        <v>22.745227358576606</v>
      </c>
      <c r="U40" s="8" cm="1">
        <f t="array" aca="1" ref="U40" ca="1">[1]!UNIFORM_INV(RAND(),Sheet2!W$15-SQRT(3)*Sheet2!W$16,Sheet2!W$15+SQRT(3)*Sheet2!W$16)</f>
        <v>26.584877586136479</v>
      </c>
      <c r="V40" s="8" cm="1">
        <f t="array" aca="1" ref="V40" ca="1">[1]!UNIFORM_INV(RAND(),Sheet2!X$15-SQRT(3)*Sheet2!X$16,Sheet2!X$15+SQRT(3)*Sheet2!X$16)</f>
        <v>21.094805837124579</v>
      </c>
      <c r="W40" s="8" cm="1">
        <f t="array" aca="1" ref="W40" ca="1">[1]!UNIFORM_INV(RAND(),Sheet2!Y$15-SQRT(3)*Sheet2!Y$16,Sheet2!Y$15+SQRT(3)*Sheet2!Y$16)</f>
        <v>20.88980461766721</v>
      </c>
      <c r="X40" s="8" cm="1">
        <f t="array" aca="1" ref="X40" ca="1">[1]!UNIFORM_INV(RAND(),Sheet2!Z$15-SQRT(3)*Sheet2!Z$16,Sheet2!Z$15+SQRT(3)*Sheet2!Z$16)</f>
        <v>8.2669991596267742</v>
      </c>
      <c r="AX40" s="7">
        <f ca="1">Sheet2!C$15+('RNG HERE'!A40-'RNG HERE'!Y$32)*Sheet2!C$16/'RNG HERE'!Y$33</f>
        <v>4.8088505157360109</v>
      </c>
      <c r="AY40" s="7">
        <f ca="1">Sheet2!D$15+('RNG HERE'!B40-'RNG HERE'!Z$32)*Sheet2!D$16/'RNG HERE'!Z$33</f>
        <v>8.1232733731966373</v>
      </c>
      <c r="AZ40" s="7">
        <f ca="1">Sheet2!E$15+('RNG HERE'!C40-'RNG HERE'!AA$32)*Sheet2!E$16/'RNG HERE'!AA$33</f>
        <v>17.816774248661318</v>
      </c>
      <c r="BA40" s="7">
        <f ca="1">Sheet2!F$15+('RNG HERE'!D40-'RNG HERE'!AB$32)*Sheet2!F$16/'RNG HERE'!AB$33</f>
        <v>14.72220732411022</v>
      </c>
      <c r="BB40" s="7">
        <f ca="1">Sheet2!G$15+('RNG HERE'!E40-'RNG HERE'!AC$32)*Sheet2!G$16/'RNG HERE'!AC$33</f>
        <v>19.775562092697069</v>
      </c>
      <c r="BC40" s="7">
        <f ca="1">Sheet2!H$15+('RNG HERE'!F40-'RNG HERE'!AD$32)*Sheet2!H$16/'RNG HERE'!AD$33</f>
        <v>30.553175446104877</v>
      </c>
      <c r="BD40" s="7">
        <f ca="1">Sheet2!I$15+('RNG HERE'!G40-'RNG HERE'!AE$32)*Sheet2!I$16/'RNG HERE'!AE$33</f>
        <v>13.11189688286095</v>
      </c>
      <c r="BE40" s="7">
        <f ca="1">Sheet2!J$15+('RNG HERE'!H40-'RNG HERE'!AF$32)*Sheet2!J$16/'RNG HERE'!AF$33</f>
        <v>21.77180594307114</v>
      </c>
      <c r="BF40" s="7">
        <f ca="1">Sheet2!K$15+('RNG HERE'!I40-'RNG HERE'!AG$32)*Sheet2!K$16/'RNG HERE'!AG$33</f>
        <v>22.319268175830754</v>
      </c>
      <c r="BG40" s="7">
        <f ca="1">Sheet2!L$15+('RNG HERE'!J40-'RNG HERE'!AH$32)*Sheet2!L$16/'RNG HERE'!AH$33</f>
        <v>25.575377279710793</v>
      </c>
      <c r="BH40" s="7">
        <f ca="1">Sheet2!M$15+('RNG HERE'!K40-'RNG HERE'!AI$32)*Sheet2!M$16/'RNG HERE'!AI$33</f>
        <v>16.09352796022705</v>
      </c>
      <c r="BI40" s="7">
        <f ca="1">Sheet2!N$15+('RNG HERE'!L40-'RNG HERE'!AJ$32)*Sheet2!N$16/'RNG HERE'!AJ$33</f>
        <v>9.0306168657239816</v>
      </c>
      <c r="BJ40" s="7">
        <f ca="1">Sheet2!O$15+('RNG HERE'!M40-'RNG HERE'!AK$32)*Sheet2!O$16/'RNG HERE'!AK$33</f>
        <v>3.634353243178071</v>
      </c>
      <c r="BK40" s="7">
        <f ca="1">Sheet2!P$15+('RNG HERE'!N40-'RNG HERE'!AL$32)*Sheet2!P$16/'RNG HERE'!AL$33</f>
        <v>22.119151118914388</v>
      </c>
      <c r="BL40" s="7">
        <f ca="1">Sheet2!Q$15+('RNG HERE'!O40-'RNG HERE'!AM$32)*Sheet2!Q$16/'RNG HERE'!AM$33</f>
        <v>8.5813009950783492</v>
      </c>
      <c r="BM40" s="7">
        <f ca="1">Sheet2!R$15+('RNG HERE'!P40-'RNG HERE'!AN$32)*Sheet2!R$16/'RNG HERE'!AN$33</f>
        <v>7.6697797609778835</v>
      </c>
      <c r="BN40" s="7">
        <f ca="1">Sheet2!S$15+('RNG HERE'!Q40-'RNG HERE'!AO$32)*Sheet2!S$16/'RNG HERE'!AO$33</f>
        <v>2.8925668892452276</v>
      </c>
      <c r="BO40" s="7">
        <f ca="1">Sheet2!T$15+('RNG HERE'!R40-'RNG HERE'!AP$32)*Sheet2!T$16/'RNG HERE'!AP$33</f>
        <v>18.873741517003271</v>
      </c>
      <c r="BP40" s="7">
        <f ca="1">Sheet2!U$15+('RNG HERE'!S40-'RNG HERE'!AQ$32)*Sheet2!U$16/'RNG HERE'!AQ$33</f>
        <v>23.983495390097762</v>
      </c>
      <c r="BQ40" s="7">
        <f ca="1">Sheet2!V$15+('RNG HERE'!T40-'RNG HERE'!AR$32)*Sheet2!V$16/'RNG HERE'!AR$33</f>
        <v>22.542730871458122</v>
      </c>
      <c r="BR40" s="7">
        <f ca="1">Sheet2!W$15+('RNG HERE'!U40-'RNG HERE'!AS$32)*Sheet2!W$16/'RNG HERE'!AS$33</f>
        <v>26.727136842283208</v>
      </c>
      <c r="BS40" s="7">
        <f ca="1">Sheet2!X$15+('RNG HERE'!V40-'RNG HERE'!AT$32)*Sheet2!X$16/'RNG HERE'!AT$33</f>
        <v>21.206854042383224</v>
      </c>
      <c r="BT40" s="7">
        <f ca="1">Sheet2!Y$15+('RNG HERE'!W40-'RNG HERE'!AU$32)*Sheet2!Y$16/'RNG HERE'!AU$33</f>
        <v>20.744932595270409</v>
      </c>
      <c r="BU40" s="7">
        <f ca="1">Sheet2!Z$15+('RNG HERE'!X40-'RNG HERE'!AV$32)*Sheet2!Z$16/'RNG HERE'!AV$33</f>
        <v>8.4123282011723983</v>
      </c>
    </row>
    <row r="41" spans="1:97" x14ac:dyDescent="0.3">
      <c r="A41" s="8" cm="1">
        <f t="array" aca="1" ref="A41" ca="1">[1]!UNIFORM_INV(RAND(),Sheet2!C$15-SQRT(3)*Sheet2!C$16,Sheet2!C$15+SQRT(3)*Sheet2!C$16)</f>
        <v>6.4294144845697625</v>
      </c>
      <c r="B41" s="8" cm="1">
        <f t="array" aca="1" ref="B41" ca="1">[1]!UNIFORM_INV(RAND(),Sheet2!D$15-SQRT(3)*Sheet2!D$16,Sheet2!D$15+SQRT(3)*Sheet2!D$16)</f>
        <v>9.0391768052486228</v>
      </c>
      <c r="C41" s="8" cm="1">
        <f t="array" aca="1" ref="C41" ca="1">[1]!UNIFORM_INV(RAND(),Sheet2!E$15-SQRT(3)*Sheet2!E$16,Sheet2!E$15+SQRT(3)*Sheet2!E$16)</f>
        <v>16.047110448101911</v>
      </c>
      <c r="D41" s="8" cm="1">
        <f t="array" aca="1" ref="D41" ca="1">[1]!UNIFORM_INV(RAND(),Sheet2!F$15-SQRT(3)*Sheet2!F$16,Sheet2!F$15+SQRT(3)*Sheet2!F$16)</f>
        <v>17.88509291826545</v>
      </c>
      <c r="E41" s="8" cm="1">
        <f t="array" aca="1" ref="E41" ca="1">[1]!UNIFORM_INV(RAND(),Sheet2!G$15-SQRT(3)*Sheet2!G$16,Sheet2!G$15+SQRT(3)*Sheet2!G$16)</f>
        <v>20.44916445474102</v>
      </c>
      <c r="F41" s="8" cm="1">
        <f t="array" aca="1" ref="F41" ca="1">[1]!UNIFORM_INV(RAND(),Sheet2!H$15-SQRT(3)*Sheet2!H$16,Sheet2!H$15+SQRT(3)*Sheet2!H$16)</f>
        <v>34.027821937318031</v>
      </c>
      <c r="G41" s="8" cm="1">
        <f t="array" aca="1" ref="G41" ca="1">[1]!UNIFORM_INV(RAND(),Sheet2!I$15-SQRT(3)*Sheet2!I$16,Sheet2!I$15+SQRT(3)*Sheet2!I$16)</f>
        <v>11.689616233894784</v>
      </c>
      <c r="H41" s="8" cm="1">
        <f t="array" aca="1" ref="H41" ca="1">[1]!UNIFORM_INV(RAND(),Sheet2!J$15-SQRT(3)*Sheet2!J$16,Sheet2!J$15+SQRT(3)*Sheet2!J$16)</f>
        <v>22.918742742019575</v>
      </c>
      <c r="I41" s="8" cm="1">
        <f t="array" aca="1" ref="I41" ca="1">[1]!UNIFORM_INV(RAND(),Sheet2!K$15-SQRT(3)*Sheet2!K$16,Sheet2!K$15+SQRT(3)*Sheet2!K$16)</f>
        <v>25.053817766330386</v>
      </c>
      <c r="J41" s="8" cm="1">
        <f t="array" aca="1" ref="J41" ca="1">[1]!UNIFORM_INV(RAND(),Sheet2!L$15-SQRT(3)*Sheet2!L$16,Sheet2!L$15+SQRT(3)*Sheet2!L$16)</f>
        <v>21.753386997314074</v>
      </c>
      <c r="K41" s="8" cm="1">
        <f t="array" aca="1" ref="K41" ca="1">[1]!UNIFORM_INV(RAND(),Sheet2!M$15-SQRT(3)*Sheet2!M$16,Sheet2!M$15+SQRT(3)*Sheet2!M$16)</f>
        <v>18.079606206525469</v>
      </c>
      <c r="L41" s="8" cm="1">
        <f t="array" aca="1" ref="L41" ca="1">[1]!UNIFORM_INV(RAND(),Sheet2!N$15-SQRT(3)*Sheet2!N$16,Sheet2!N$15+SQRT(3)*Sheet2!N$16)</f>
        <v>9.499602575996537</v>
      </c>
      <c r="M41" s="8" cm="1">
        <f t="array" aca="1" ref="M41" ca="1">[1]!UNIFORM_INV(RAND(),Sheet2!O$15-SQRT(3)*Sheet2!O$16,Sheet2!O$15+SQRT(3)*Sheet2!O$16)</f>
        <v>4.0247259282913115</v>
      </c>
      <c r="N41" s="8" cm="1">
        <f t="array" aca="1" ref="N41" ca="1">[1]!UNIFORM_INV(RAND(),Sheet2!P$15-SQRT(3)*Sheet2!P$16,Sheet2!P$15+SQRT(3)*Sheet2!P$16)</f>
        <v>24.236652221207184</v>
      </c>
      <c r="O41" s="8" cm="1">
        <f t="array" aca="1" ref="O41" ca="1">[1]!UNIFORM_INV(RAND(),Sheet2!Q$15-SQRT(3)*Sheet2!Q$16,Sheet2!Q$15+SQRT(3)*Sheet2!Q$16)</f>
        <v>11.256118593703798</v>
      </c>
      <c r="P41" s="8" cm="1">
        <f t="array" aca="1" ref="P41" ca="1">[1]!UNIFORM_INV(RAND(),Sheet2!R$15-SQRT(3)*Sheet2!R$16,Sheet2!R$15+SQRT(3)*Sheet2!R$16)</f>
        <v>9.1996048744938186</v>
      </c>
      <c r="Q41" s="8" cm="1">
        <f t="array" aca="1" ref="Q41" ca="1">[1]!UNIFORM_INV(RAND(),Sheet2!S$15-SQRT(3)*Sheet2!S$16,Sheet2!S$15+SQRT(3)*Sheet2!S$16)</f>
        <v>3.3427334060105069</v>
      </c>
      <c r="R41" s="8" cm="1">
        <f t="array" aca="1" ref="R41" ca="1">[1]!UNIFORM_INV(RAND(),Sheet2!T$15-SQRT(3)*Sheet2!T$16,Sheet2!T$15+SQRT(3)*Sheet2!T$16)</f>
        <v>16.206560393782645</v>
      </c>
      <c r="S41" s="8" cm="1">
        <f t="array" aca="1" ref="S41" ca="1">[1]!UNIFORM_INV(RAND(),Sheet2!U$15-SQRT(3)*Sheet2!U$16,Sheet2!U$15+SQRT(3)*Sheet2!U$16)</f>
        <v>24.551739994135591</v>
      </c>
      <c r="T41" s="8" cm="1">
        <f t="array" aca="1" ref="T41" ca="1">[1]!UNIFORM_INV(RAND(),Sheet2!V$15-SQRT(3)*Sheet2!V$16,Sheet2!V$15+SQRT(3)*Sheet2!V$16)</f>
        <v>22.621677644670619</v>
      </c>
      <c r="U41" s="8" cm="1">
        <f t="array" aca="1" ref="U41" ca="1">[1]!UNIFORM_INV(RAND(),Sheet2!W$15-SQRT(3)*Sheet2!W$16,Sheet2!W$15+SQRT(3)*Sheet2!W$16)</f>
        <v>23.720562029430216</v>
      </c>
      <c r="V41" s="8" cm="1">
        <f t="array" aca="1" ref="V41" ca="1">[1]!UNIFORM_INV(RAND(),Sheet2!X$15-SQRT(3)*Sheet2!X$16,Sheet2!X$15+SQRT(3)*Sheet2!X$16)</f>
        <v>23.431076310700512</v>
      </c>
      <c r="W41" s="8" cm="1">
        <f t="array" aca="1" ref="W41" ca="1">[1]!UNIFORM_INV(RAND(),Sheet2!Y$15-SQRT(3)*Sheet2!Y$16,Sheet2!Y$15+SQRT(3)*Sheet2!Y$16)</f>
        <v>21.551600076119112</v>
      </c>
      <c r="X41" s="8" cm="1">
        <f t="array" aca="1" ref="X41" ca="1">[1]!UNIFORM_INV(RAND(),Sheet2!Z$15-SQRT(3)*Sheet2!Z$16,Sheet2!Z$15+SQRT(3)*Sheet2!Z$16)</f>
        <v>8.751344531406863</v>
      </c>
      <c r="AX41" s="7">
        <f ca="1">Sheet2!C$15+('RNG HERE'!A41-'RNG HERE'!Y$32)*Sheet2!C$16/'RNG HERE'!Y$33</f>
        <v>6.3351347596044523</v>
      </c>
      <c r="AY41" s="7">
        <f ca="1">Sheet2!D$15+('RNG HERE'!B41-'RNG HERE'!Z$32)*Sheet2!D$16/'RNG HERE'!Z$33</f>
        <v>8.4815654006448273</v>
      </c>
      <c r="AZ41" s="7">
        <f ca="1">Sheet2!E$15+('RNG HERE'!C41-'RNG HERE'!AA$32)*Sheet2!E$16/'RNG HERE'!AA$33</f>
        <v>16.050116796715507</v>
      </c>
      <c r="BA41" s="7">
        <f ca="1">Sheet2!F$15+('RNG HERE'!D41-'RNG HERE'!AB$32)*Sheet2!F$16/'RNG HERE'!AB$33</f>
        <v>17.915833830617402</v>
      </c>
      <c r="BB41" s="7">
        <f ca="1">Sheet2!G$15+('RNG HERE'!E41-'RNG HERE'!AC$32)*Sheet2!G$16/'RNG HERE'!AC$33</f>
        <v>20.087810246512269</v>
      </c>
      <c r="BC41" s="7">
        <f ca="1">Sheet2!H$15+('RNG HERE'!F41-'RNG HERE'!AD$32)*Sheet2!H$16/'RNG HERE'!AD$33</f>
        <v>32.552301512310564</v>
      </c>
      <c r="BD41" s="7">
        <f ca="1">Sheet2!I$15+('RNG HERE'!G41-'RNG HERE'!AE$32)*Sheet2!I$16/'RNG HERE'!AE$33</f>
        <v>11.55904588517248</v>
      </c>
      <c r="BE41" s="7">
        <f ca="1">Sheet2!J$15+('RNG HERE'!H41-'RNG HERE'!AF$32)*Sheet2!J$16/'RNG HERE'!AF$33</f>
        <v>22.977120031577044</v>
      </c>
      <c r="BF41" s="7">
        <f ca="1">Sheet2!K$15+('RNG HERE'!I41-'RNG HERE'!AG$32)*Sheet2!K$16/'RNG HERE'!AG$33</f>
        <v>25.554615944492465</v>
      </c>
      <c r="BG41" s="7">
        <f ca="1">Sheet2!L$15+('RNG HERE'!J41-'RNG HERE'!AH$32)*Sheet2!L$16/'RNG HERE'!AH$33</f>
        <v>21.338350784717942</v>
      </c>
      <c r="BH41" s="7">
        <f ca="1">Sheet2!M$15+('RNG HERE'!K41-'RNG HERE'!AI$32)*Sheet2!M$16/'RNG HERE'!AI$33</f>
        <v>18.144112541161412</v>
      </c>
      <c r="BI41" s="7">
        <f ca="1">Sheet2!N$15+('RNG HERE'!L41-'RNG HERE'!AJ$32)*Sheet2!N$16/'RNG HERE'!AJ$33</f>
        <v>9.4052074408011368</v>
      </c>
      <c r="BJ41" s="7">
        <f ca="1">Sheet2!O$15+('RNG HERE'!M41-'RNG HERE'!AK$32)*Sheet2!O$16/'RNG HERE'!AK$33</f>
        <v>4.1898549832646941</v>
      </c>
      <c r="BK41" s="7">
        <f ca="1">Sheet2!P$15+('RNG HERE'!N41-'RNG HERE'!AL$32)*Sheet2!P$16/'RNG HERE'!AL$33</f>
        <v>24.071184164437192</v>
      </c>
      <c r="BL41" s="7">
        <f ca="1">Sheet2!Q$15+('RNG HERE'!O41-'RNG HERE'!AM$32)*Sheet2!Q$16/'RNG HERE'!AM$33</f>
        <v>11.201012752689463</v>
      </c>
      <c r="BM41" s="7">
        <f ca="1">Sheet2!R$15+('RNG HERE'!P41-'RNG HERE'!AN$32)*Sheet2!R$16/'RNG HERE'!AN$33</f>
        <v>9.0567565829301788</v>
      </c>
      <c r="BN41" s="7">
        <f ca="1">Sheet2!S$15+('RNG HERE'!Q41-'RNG HERE'!AO$32)*Sheet2!S$16/'RNG HERE'!AO$33</f>
        <v>3.5174143896560466</v>
      </c>
      <c r="BO41" s="7">
        <f ca="1">Sheet2!T$15+('RNG HERE'!R41-'RNG HERE'!AP$32)*Sheet2!T$16/'RNG HERE'!AP$33</f>
        <v>15.539016533590662</v>
      </c>
      <c r="BP41" s="7">
        <f ca="1">Sheet2!U$15+('RNG HERE'!S41-'RNG HERE'!AQ$32)*Sheet2!U$16/'RNG HERE'!AQ$33</f>
        <v>24.640706552517866</v>
      </c>
      <c r="BQ41" s="7">
        <f ca="1">Sheet2!V$15+('RNG HERE'!T41-'RNG HERE'!AR$32)*Sheet2!V$16/'RNG HERE'!AR$33</f>
        <v>22.416044786870572</v>
      </c>
      <c r="BR41" s="7">
        <f ca="1">Sheet2!W$15+('RNG HERE'!U41-'RNG HERE'!AS$32)*Sheet2!W$16/'RNG HERE'!AS$33</f>
        <v>23.402116083141749</v>
      </c>
      <c r="BS41" s="7">
        <f ca="1">Sheet2!X$15+('RNG HERE'!V41-'RNG HERE'!AT$32)*Sheet2!X$16/'RNG HERE'!AT$33</f>
        <v>23.372786015209314</v>
      </c>
      <c r="BT41" s="7">
        <f ca="1">Sheet2!Y$15+('RNG HERE'!W41-'RNG HERE'!AU$32)*Sheet2!Y$16/'RNG HERE'!AU$33</f>
        <v>21.497924694562634</v>
      </c>
      <c r="BU41" s="7">
        <f ca="1">Sheet2!Z$15+('RNG HERE'!X41-'RNG HERE'!AV$32)*Sheet2!Z$16/'RNG HERE'!AV$33</f>
        <v>8.9046904335183967</v>
      </c>
    </row>
    <row r="42" spans="1:97" x14ac:dyDescent="0.3">
      <c r="A42" s="8" cm="1">
        <f t="array" aca="1" ref="A42" ca="1">[1]!UNIFORM_INV(RAND(),Sheet2!C$15-SQRT(3)*Sheet2!C$16,Sheet2!C$15+SQRT(3)*Sheet2!C$16)</f>
        <v>3.3425836133944902</v>
      </c>
      <c r="B42" s="8" cm="1">
        <f t="array" aca="1" ref="B42" ca="1">[1]!UNIFORM_INV(RAND(),Sheet2!D$15-SQRT(3)*Sheet2!D$16,Sheet2!D$15+SQRT(3)*Sheet2!D$16)</f>
        <v>8.2345219299926882</v>
      </c>
      <c r="C42" s="8" cm="1">
        <f t="array" aca="1" ref="C42" ca="1">[1]!UNIFORM_INV(RAND(),Sheet2!E$15-SQRT(3)*Sheet2!E$16,Sheet2!E$15+SQRT(3)*Sheet2!E$16)</f>
        <v>18.963436842761759</v>
      </c>
      <c r="D42" s="8" cm="1">
        <f t="array" aca="1" ref="D42" ca="1">[1]!UNIFORM_INV(RAND(),Sheet2!F$15-SQRT(3)*Sheet2!F$16,Sheet2!F$15+SQRT(3)*Sheet2!F$16)</f>
        <v>18.202019800590893</v>
      </c>
      <c r="E42" s="8" cm="1">
        <f t="array" aca="1" ref="E42" ca="1">[1]!UNIFORM_INV(RAND(),Sheet2!G$15-SQRT(3)*Sheet2!G$16,Sheet2!G$15+SQRT(3)*Sheet2!G$16)</f>
        <v>24.663725787251867</v>
      </c>
      <c r="F42" s="8" cm="1">
        <f t="array" aca="1" ref="F42" ca="1">[1]!UNIFORM_INV(RAND(),Sheet2!H$15-SQRT(3)*Sheet2!H$16,Sheet2!H$15+SQRT(3)*Sheet2!H$16)</f>
        <v>35.391499643977397</v>
      </c>
      <c r="G42" s="8" cm="1">
        <f t="array" aca="1" ref="G42" ca="1">[1]!UNIFORM_INV(RAND(),Sheet2!I$15-SQRT(3)*Sheet2!I$16,Sheet2!I$15+SQRT(3)*Sheet2!I$16)</f>
        <v>13.348169394319049</v>
      </c>
      <c r="H42" s="8" cm="1">
        <f t="array" aca="1" ref="H42" ca="1">[1]!UNIFORM_INV(RAND(),Sheet2!J$15-SQRT(3)*Sheet2!J$16,Sheet2!J$15+SQRT(3)*Sheet2!J$16)</f>
        <v>22.847981583652707</v>
      </c>
      <c r="I42" s="8" cm="1">
        <f t="array" aca="1" ref="I42" ca="1">[1]!UNIFORM_INV(RAND(),Sheet2!K$15-SQRT(3)*Sheet2!K$16,Sheet2!K$15+SQRT(3)*Sheet2!K$16)</f>
        <v>22.319156608802011</v>
      </c>
      <c r="J42" s="8" cm="1">
        <f t="array" aca="1" ref="J42" ca="1">[1]!UNIFORM_INV(RAND(),Sheet2!L$15-SQRT(3)*Sheet2!L$16,Sheet2!L$15+SQRT(3)*Sheet2!L$16)</f>
        <v>25.817062828629901</v>
      </c>
      <c r="K42" s="8" cm="1">
        <f t="array" aca="1" ref="K42" ca="1">[1]!UNIFORM_INV(RAND(),Sheet2!M$15-SQRT(3)*Sheet2!M$16,Sheet2!M$15+SQRT(3)*Sheet2!M$16)</f>
        <v>17.187980929913586</v>
      </c>
      <c r="L42" s="8" cm="1">
        <f t="array" aca="1" ref="L42" ca="1">[1]!UNIFORM_INV(RAND(),Sheet2!N$15-SQRT(3)*Sheet2!N$16,Sheet2!N$15+SQRT(3)*Sheet2!N$16)</f>
        <v>9.1593279501009874</v>
      </c>
      <c r="M42" s="8" cm="1">
        <f t="array" aca="1" ref="M42" ca="1">[1]!UNIFORM_INV(RAND(),Sheet2!O$15-SQRT(3)*Sheet2!O$16,Sheet2!O$15+SQRT(3)*Sheet2!O$16)</f>
        <v>5.0937980639545453</v>
      </c>
      <c r="N42" s="8" cm="1">
        <f t="array" aca="1" ref="N42" ca="1">[1]!UNIFORM_INV(RAND(),Sheet2!P$15-SQRT(3)*Sheet2!P$16,Sheet2!P$15+SQRT(3)*Sheet2!P$16)</f>
        <v>25.458761206472907</v>
      </c>
      <c r="O42" s="8" cm="1">
        <f t="array" aca="1" ref="O42" ca="1">[1]!UNIFORM_INV(RAND(),Sheet2!Q$15-SQRT(3)*Sheet2!Q$16,Sheet2!Q$15+SQRT(3)*Sheet2!Q$16)</f>
        <v>7.9063038104987866</v>
      </c>
      <c r="P42" s="8" cm="1">
        <f t="array" aca="1" ref="P42" ca="1">[1]!UNIFORM_INV(RAND(),Sheet2!R$15-SQRT(3)*Sheet2!R$16,Sheet2!R$15+SQRT(3)*Sheet2!R$16)</f>
        <v>10.657584804450906</v>
      </c>
      <c r="Q42" s="8" cm="1">
        <f t="array" aca="1" ref="Q42" ca="1">[1]!UNIFORM_INV(RAND(),Sheet2!S$15-SQRT(3)*Sheet2!S$16,Sheet2!S$15+SQRT(3)*Sheet2!S$16)</f>
        <v>3.5746629973365818</v>
      </c>
      <c r="R42" s="8" cm="1">
        <f t="array" aca="1" ref="R42" ca="1">[1]!UNIFORM_INV(RAND(),Sheet2!T$15-SQRT(3)*Sheet2!T$16,Sheet2!T$15+SQRT(3)*Sheet2!T$16)</f>
        <v>19.012001254537207</v>
      </c>
      <c r="S42" s="8" cm="1">
        <f t="array" aca="1" ref="S42" ca="1">[1]!UNIFORM_INV(RAND(),Sheet2!U$15-SQRT(3)*Sheet2!U$16,Sheet2!U$15+SQRT(3)*Sheet2!U$16)</f>
        <v>25.090716170034142</v>
      </c>
      <c r="T42" s="8" cm="1">
        <f t="array" aca="1" ref="T42" ca="1">[1]!UNIFORM_INV(RAND(),Sheet2!V$15-SQRT(3)*Sheet2!V$16,Sheet2!V$15+SQRT(3)*Sheet2!V$16)</f>
        <v>22.195487521779086</v>
      </c>
      <c r="U42" s="8" cm="1">
        <f t="array" aca="1" ref="U42" ca="1">[1]!UNIFORM_INV(RAND(),Sheet2!W$15-SQRT(3)*Sheet2!W$16,Sheet2!W$15+SQRT(3)*Sheet2!W$16)</f>
        <v>25.477618470729968</v>
      </c>
      <c r="V42" s="8" cm="1">
        <f t="array" aca="1" ref="V42" ca="1">[1]!UNIFORM_INV(RAND(),Sheet2!X$15-SQRT(3)*Sheet2!X$16,Sheet2!X$15+SQRT(3)*Sheet2!X$16)</f>
        <v>20.765254161629901</v>
      </c>
      <c r="W42" s="8" cm="1">
        <f t="array" aca="1" ref="W42" ca="1">[1]!UNIFORM_INV(RAND(),Sheet2!Y$15-SQRT(3)*Sheet2!Y$16,Sheet2!Y$15+SQRT(3)*Sheet2!Y$16)</f>
        <v>22.118293309135272</v>
      </c>
      <c r="X42" s="8" cm="1">
        <f t="array" aca="1" ref="X42" ca="1">[1]!UNIFORM_INV(RAND(),Sheet2!Z$15-SQRT(3)*Sheet2!Z$16,Sheet2!Z$15+SQRT(3)*Sheet2!Z$16)</f>
        <v>7.8119423683086708</v>
      </c>
      <c r="AX42" s="7">
        <f ca="1">Sheet2!C$15+('RNG HERE'!A42-'RNG HERE'!Y$32)*Sheet2!C$16/'RNG HERE'!Y$33</f>
        <v>3.2031757466344857</v>
      </c>
      <c r="AY42" s="7">
        <f ca="1">Sheet2!D$15+('RNG HERE'!B42-'RNG HERE'!Z$32)*Sheet2!D$16/'RNG HERE'!Z$33</f>
        <v>7.5254977878306901</v>
      </c>
      <c r="AZ42" s="7">
        <f ca="1">Sheet2!E$15+('RNG HERE'!C42-'RNG HERE'!AA$32)*Sheet2!E$16/'RNG HERE'!AA$33</f>
        <v>19.139790780413318</v>
      </c>
      <c r="BA42" s="7">
        <f ca="1">Sheet2!F$15+('RNG HERE'!D42-'RNG HERE'!AB$32)*Sheet2!F$16/'RNG HERE'!AB$33</f>
        <v>18.209511801872431</v>
      </c>
      <c r="BB42" s="7">
        <f ca="1">Sheet2!G$15+('RNG HERE'!E42-'RNG HERE'!AC$32)*Sheet2!G$16/'RNG HERE'!AC$33</f>
        <v>24.931024706715643</v>
      </c>
      <c r="BC42" s="7">
        <f ca="1">Sheet2!H$15+('RNG HERE'!F42-'RNG HERE'!AD$32)*Sheet2!H$16/'RNG HERE'!AD$33</f>
        <v>33.984978639163216</v>
      </c>
      <c r="BD42" s="7">
        <f ca="1">Sheet2!I$15+('RNG HERE'!G42-'RNG HERE'!AE$32)*Sheet2!I$16/'RNG HERE'!AE$33</f>
        <v>13.45475809067692</v>
      </c>
      <c r="BE42" s="7">
        <f ca="1">Sheet2!J$15+('RNG HERE'!H42-'RNG HERE'!AF$32)*Sheet2!J$16/'RNG HERE'!AF$33</f>
        <v>22.907252286514364</v>
      </c>
      <c r="BF42" s="7">
        <f ca="1">Sheet2!K$15+('RNG HERE'!I42-'RNG HERE'!AG$32)*Sheet2!K$16/'RNG HERE'!AG$33</f>
        <v>22.503416595323298</v>
      </c>
      <c r="BG42" s="7">
        <f ca="1">Sheet2!L$15+('RNG HERE'!J42-'RNG HERE'!AH$32)*Sheet2!L$16/'RNG HERE'!AH$33</f>
        <v>25.714172547685898</v>
      </c>
      <c r="BH42" s="7">
        <f ca="1">Sheet2!M$15+('RNG HERE'!K42-'RNG HERE'!AI$32)*Sheet2!M$16/'RNG HERE'!AI$33</f>
        <v>17.237258695081007</v>
      </c>
      <c r="BI42" s="7">
        <f ca="1">Sheet2!N$15+('RNG HERE'!L42-'RNG HERE'!AJ$32)*Sheet2!N$16/'RNG HERE'!AJ$33</f>
        <v>9.0506832825217085</v>
      </c>
      <c r="BJ42" s="7">
        <f ca="1">Sheet2!O$15+('RNG HERE'!M42-'RNG HERE'!AK$32)*Sheet2!O$16/'RNG HERE'!AK$33</f>
        <v>5.2937908968888454</v>
      </c>
      <c r="BK42" s="7">
        <f ca="1">Sheet2!P$15+('RNG HERE'!N42-'RNG HERE'!AL$32)*Sheet2!P$16/'RNG HERE'!AL$33</f>
        <v>25.440096082821753</v>
      </c>
      <c r="BL42" s="7">
        <f ca="1">Sheet2!Q$15+('RNG HERE'!O42-'RNG HERE'!AM$32)*Sheet2!Q$16/'RNG HERE'!AM$33</f>
        <v>7.7403509612482155</v>
      </c>
      <c r="BM42" s="7">
        <f ca="1">Sheet2!R$15+('RNG HERE'!P42-'RNG HERE'!AN$32)*Sheet2!R$16/'RNG HERE'!AN$33</f>
        <v>10.58904161815104</v>
      </c>
      <c r="BN42" s="7">
        <f ca="1">Sheet2!S$15+('RNG HERE'!Q42-'RNG HERE'!AO$32)*Sheet2!S$16/'RNG HERE'!AO$33</f>
        <v>3.756506415051319</v>
      </c>
      <c r="BO42" s="7">
        <f ca="1">Sheet2!T$15+('RNG HERE'!R42-'RNG HERE'!AP$32)*Sheet2!T$16/'RNG HERE'!AP$33</f>
        <v>18.719580536575169</v>
      </c>
      <c r="BP42" s="7">
        <f ca="1">Sheet2!U$15+('RNG HERE'!S42-'RNG HERE'!AQ$32)*Sheet2!U$16/'RNG HERE'!AQ$33</f>
        <v>25.235346792593877</v>
      </c>
      <c r="BQ42" s="7">
        <f ca="1">Sheet2!V$15+('RNG HERE'!T42-'RNG HERE'!AR$32)*Sheet2!V$16/'RNG HERE'!AR$33</f>
        <v>21.97903561661785</v>
      </c>
      <c r="BR42" s="7">
        <f ca="1">Sheet2!W$15+('RNG HERE'!U42-'RNG HERE'!AS$32)*Sheet2!W$16/'RNG HERE'!AS$33</f>
        <v>25.441782812118714</v>
      </c>
      <c r="BS42" s="7">
        <f ca="1">Sheet2!X$15+('RNG HERE'!V42-'RNG HERE'!AT$32)*Sheet2!X$16/'RNG HERE'!AT$33</f>
        <v>20.901330123502465</v>
      </c>
      <c r="BT42" s="7">
        <f ca="1">Sheet2!Y$15+('RNG HERE'!W42-'RNG HERE'!AU$32)*Sheet2!Y$16/'RNG HERE'!AU$33</f>
        <v>22.14270930547811</v>
      </c>
      <c r="BU42" s="7">
        <f ca="1">Sheet2!Z$15+('RNG HERE'!X42-'RNG HERE'!AV$32)*Sheet2!Z$16/'RNG HERE'!AV$33</f>
        <v>7.949739332419222</v>
      </c>
    </row>
    <row r="43" spans="1:97" x14ac:dyDescent="0.3">
      <c r="A43" s="8" cm="1">
        <f t="array" aca="1" ref="A43" ca="1">[1]!UNIFORM_INV(RAND(),Sheet2!C$15-SQRT(3)*Sheet2!C$16,Sheet2!C$15+SQRT(3)*Sheet2!C$16)</f>
        <v>5.4347394142806555</v>
      </c>
      <c r="B43" s="8" cm="1">
        <f t="array" aca="1" ref="B43" ca="1">[1]!UNIFORM_INV(RAND(),Sheet2!D$15-SQRT(3)*Sheet2!D$16,Sheet2!D$15+SQRT(3)*Sheet2!D$16)</f>
        <v>9.010403946319979</v>
      </c>
      <c r="C43" s="8" cm="1">
        <f t="array" aca="1" ref="C43" ca="1">[1]!UNIFORM_INV(RAND(),Sheet2!E$15-SQRT(3)*Sheet2!E$16,Sheet2!E$15+SQRT(3)*Sheet2!E$16)</f>
        <v>19.204114830842993</v>
      </c>
      <c r="D43" s="8" cm="1">
        <f t="array" aca="1" ref="D43" ca="1">[1]!UNIFORM_INV(RAND(),Sheet2!F$15-SQRT(3)*Sheet2!F$16,Sheet2!F$15+SQRT(3)*Sheet2!F$16)</f>
        <v>19.304151746542377</v>
      </c>
      <c r="E43" s="8" cm="1">
        <f t="array" aca="1" ref="E43" ca="1">[1]!UNIFORM_INV(RAND(),Sheet2!G$15-SQRT(3)*Sheet2!G$16,Sheet2!G$15+SQRT(3)*Sheet2!G$16)</f>
        <v>17.333272567720886</v>
      </c>
      <c r="F43" s="8" cm="1">
        <f t="array" aca="1" ref="F43" ca="1">[1]!UNIFORM_INV(RAND(),Sheet2!H$15-SQRT(3)*Sheet2!H$16,Sheet2!H$15+SQRT(3)*Sheet2!H$16)</f>
        <v>29.588445038318667</v>
      </c>
      <c r="G43" s="8" cm="1">
        <f t="array" aca="1" ref="G43" ca="1">[1]!UNIFORM_INV(RAND(),Sheet2!I$15-SQRT(3)*Sheet2!I$16,Sheet2!I$15+SQRT(3)*Sheet2!I$16)</f>
        <v>13.70100074603727</v>
      </c>
      <c r="H43" s="8" cm="1">
        <f t="array" aca="1" ref="H43" ca="1">[1]!UNIFORM_INV(RAND(),Sheet2!J$15-SQRT(3)*Sheet2!J$16,Sheet2!J$15+SQRT(3)*Sheet2!J$16)</f>
        <v>22.235996651100606</v>
      </c>
      <c r="I43" s="8" cm="1">
        <f t="array" aca="1" ref="I43" ca="1">[1]!UNIFORM_INV(RAND(),Sheet2!K$15-SQRT(3)*Sheet2!K$16,Sheet2!K$15+SQRT(3)*Sheet2!K$16)</f>
        <v>26.635406387442675</v>
      </c>
      <c r="J43" s="8" cm="1">
        <f t="array" aca="1" ref="J43" ca="1">[1]!UNIFORM_INV(RAND(),Sheet2!L$15-SQRT(3)*Sheet2!L$16,Sheet2!L$15+SQRT(3)*Sheet2!L$16)</f>
        <v>24.968211665721078</v>
      </c>
      <c r="K43" s="8" cm="1">
        <f t="array" aca="1" ref="K43" ca="1">[1]!UNIFORM_INV(RAND(),Sheet2!M$15-SQRT(3)*Sheet2!M$16,Sheet2!M$15+SQRT(3)*Sheet2!M$16)</f>
        <v>16.731594408202632</v>
      </c>
      <c r="L43" s="8" cm="1">
        <f t="array" aca="1" ref="L43" ca="1">[1]!UNIFORM_INV(RAND(),Sheet2!N$15-SQRT(3)*Sheet2!N$16,Sheet2!N$15+SQRT(3)*Sheet2!N$16)</f>
        <v>7.39434578051267</v>
      </c>
      <c r="M43" s="8" cm="1">
        <f t="array" aca="1" ref="M43" ca="1">[1]!UNIFORM_INV(RAND(),Sheet2!O$15-SQRT(3)*Sheet2!O$16,Sheet2!O$15+SQRT(3)*Sheet2!O$16)</f>
        <v>3.4217667705369044</v>
      </c>
      <c r="N43" s="8" cm="1">
        <f t="array" aca="1" ref="N43" ca="1">[1]!UNIFORM_INV(RAND(),Sheet2!P$15-SQRT(3)*Sheet2!P$16,Sheet2!P$15+SQRT(3)*Sheet2!P$16)</f>
        <v>21.263927763268974</v>
      </c>
      <c r="O43" s="8" cm="1">
        <f t="array" aca="1" ref="O43" ca="1">[1]!UNIFORM_INV(RAND(),Sheet2!Q$15-SQRT(3)*Sheet2!Q$16,Sheet2!Q$15+SQRT(3)*Sheet2!Q$16)</f>
        <v>10.11642850468696</v>
      </c>
      <c r="P43" s="8" cm="1">
        <f t="array" aca="1" ref="P43" ca="1">[1]!UNIFORM_INV(RAND(),Sheet2!R$15-SQRT(3)*Sheet2!R$16,Sheet2!R$15+SQRT(3)*Sheet2!R$16)</f>
        <v>10.823689893201539</v>
      </c>
      <c r="Q43" s="8" cm="1">
        <f t="array" aca="1" ref="Q43" ca="1">[1]!UNIFORM_INV(RAND(),Sheet2!S$15-SQRT(3)*Sheet2!S$16,Sheet2!S$15+SQRT(3)*Sheet2!S$16)</f>
        <v>3.3711901156560966</v>
      </c>
      <c r="R43" s="8" cm="1">
        <f t="array" aca="1" ref="R43" ca="1">[1]!UNIFORM_INV(RAND(),Sheet2!T$15-SQRT(3)*Sheet2!T$16,Sheet2!T$15+SQRT(3)*Sheet2!T$16)</f>
        <v>18.210304248466727</v>
      </c>
      <c r="S43" s="8" cm="1">
        <f t="array" aca="1" ref="S43" ca="1">[1]!UNIFORM_INV(RAND(),Sheet2!U$15-SQRT(3)*Sheet2!U$16,Sheet2!U$15+SQRT(3)*Sheet2!U$16)</f>
        <v>23.704151941247311</v>
      </c>
      <c r="T43" s="8" cm="1">
        <f t="array" aca="1" ref="T43" ca="1">[1]!UNIFORM_INV(RAND(),Sheet2!V$15-SQRT(3)*Sheet2!V$16,Sheet2!V$15+SQRT(3)*Sheet2!V$16)</f>
        <v>20.438969593952681</v>
      </c>
      <c r="U43" s="8" cm="1">
        <f t="array" aca="1" ref="U43" ca="1">[1]!UNIFORM_INV(RAND(),Sheet2!W$15-SQRT(3)*Sheet2!W$16,Sheet2!W$15+SQRT(3)*Sheet2!W$16)</f>
        <v>23.894173632585989</v>
      </c>
      <c r="V43" s="8" cm="1">
        <f t="array" aca="1" ref="V43" ca="1">[1]!UNIFORM_INV(RAND(),Sheet2!X$15-SQRT(3)*Sheet2!X$16,Sheet2!X$15+SQRT(3)*Sheet2!X$16)</f>
        <v>22.595228281848932</v>
      </c>
      <c r="W43" s="8" cm="1">
        <f t="array" aca="1" ref="W43" ca="1">[1]!UNIFORM_INV(RAND(),Sheet2!Y$15-SQRT(3)*Sheet2!Y$16,Sheet2!Y$15+SQRT(3)*Sheet2!Y$16)</f>
        <v>19.79166844221206</v>
      </c>
      <c r="X43" s="8" cm="1">
        <f t="array" aca="1" ref="X43" ca="1">[1]!UNIFORM_INV(RAND(),Sheet2!Z$15-SQRT(3)*Sheet2!Z$16,Sheet2!Z$15+SQRT(3)*Sheet2!Z$16)</f>
        <v>8.0683209975104564</v>
      </c>
      <c r="AX43" s="7">
        <f ca="1">Sheet2!C$15+('RNG HERE'!A43-'RNG HERE'!Y$32)*Sheet2!C$16/'RNG HERE'!Y$33</f>
        <v>5.3259179669194685</v>
      </c>
      <c r="AY43" s="7">
        <f ca="1">Sheet2!D$15+('RNG HERE'!B43-'RNG HERE'!Z$32)*Sheet2!D$16/'RNG HERE'!Z$33</f>
        <v>8.4473783231838269</v>
      </c>
      <c r="AZ43" s="7">
        <f ca="1">Sheet2!E$15+('RNG HERE'!C43-'RNG HERE'!AA$32)*Sheet2!E$16/'RNG HERE'!AA$33</f>
        <v>19.394774762859512</v>
      </c>
      <c r="BA43" s="7">
        <f ca="1">Sheet2!F$15+('RNG HERE'!D43-'RNG HERE'!AB$32)*Sheet2!F$16/'RNG HERE'!AB$33</f>
        <v>19.230794286865361</v>
      </c>
      <c r="BB43" s="7">
        <f ca="1">Sheet2!G$15+('RNG HERE'!E43-'RNG HERE'!AC$32)*Sheet2!G$16/'RNG HERE'!AC$33</f>
        <v>16.507145153982751</v>
      </c>
      <c r="BC43" s="7">
        <f ca="1">Sheet2!H$15+('RNG HERE'!F43-'RNG HERE'!AD$32)*Sheet2!H$16/'RNG HERE'!AD$33</f>
        <v>27.888300839999836</v>
      </c>
      <c r="BD43" s="7">
        <f ca="1">Sheet2!I$15+('RNG HERE'!G43-'RNG HERE'!AE$32)*Sheet2!I$16/'RNG HERE'!AE$33</f>
        <v>13.858041335312723</v>
      </c>
      <c r="BE43" s="7">
        <f ca="1">Sheet2!J$15+('RNG HERE'!H43-'RNG HERE'!AF$32)*Sheet2!J$16/'RNG HERE'!AF$33</f>
        <v>22.302994127990896</v>
      </c>
      <c r="BF43" s="7">
        <f ca="1">Sheet2!K$15+('RNG HERE'!I43-'RNG HERE'!AG$32)*Sheet2!K$16/'RNG HERE'!AG$33</f>
        <v>27.319274120919978</v>
      </c>
      <c r="BG43" s="7">
        <f ca="1">Sheet2!L$15+('RNG HERE'!J43-'RNG HERE'!AH$32)*Sheet2!L$16/'RNG HERE'!AH$33</f>
        <v>24.800117995511062</v>
      </c>
      <c r="BH43" s="7">
        <f ca="1">Sheet2!M$15+('RNG HERE'!K43-'RNG HERE'!AI$32)*Sheet2!M$16/'RNG HERE'!AI$33</f>
        <v>16.773077291335326</v>
      </c>
      <c r="BI43" s="7">
        <f ca="1">Sheet2!N$15+('RNG HERE'!L43-'RNG HERE'!AJ$32)*Sheet2!N$16/'RNG HERE'!AJ$33</f>
        <v>7.2117897229309005</v>
      </c>
      <c r="BJ43" s="7">
        <f ca="1">Sheet2!O$15+('RNG HERE'!M43-'RNG HERE'!AK$32)*Sheet2!O$16/'RNG HERE'!AK$33</f>
        <v>3.5672325740848727</v>
      </c>
      <c r="BK43" s="7">
        <f ca="1">Sheet2!P$15+('RNG HERE'!N43-'RNG HERE'!AL$32)*Sheet2!P$16/'RNG HERE'!AL$33</f>
        <v>20.741368256357529</v>
      </c>
      <c r="BL43" s="7">
        <f ca="1">Sheet2!Q$15+('RNG HERE'!O43-'RNG HERE'!AM$32)*Sheet2!Q$16/'RNG HERE'!AM$33</f>
        <v>10.023609761658641</v>
      </c>
      <c r="BM43" s="7">
        <f ca="1">Sheet2!R$15+('RNG HERE'!P43-'RNG HERE'!AN$32)*Sheet2!R$16/'RNG HERE'!AN$33</f>
        <v>10.763612156837482</v>
      </c>
      <c r="BN43" s="7">
        <f ca="1">Sheet2!S$15+('RNG HERE'!Q43-'RNG HERE'!AO$32)*Sheet2!S$16/'RNG HERE'!AO$33</f>
        <v>3.5467498974985268</v>
      </c>
      <c r="BO43" s="7">
        <f ca="1">Sheet2!T$15+('RNG HERE'!R43-'RNG HERE'!AP$32)*Sheet2!T$16/'RNG HERE'!AP$33</f>
        <v>17.81068643922378</v>
      </c>
      <c r="BP43" s="7">
        <f ca="1">Sheet2!U$15+('RNG HERE'!S43-'RNG HERE'!AQ$32)*Sheet2!U$16/'RNG HERE'!AQ$33</f>
        <v>23.705581799712629</v>
      </c>
      <c r="BQ43" s="7">
        <f ca="1">Sheet2!V$15+('RNG HERE'!T43-'RNG HERE'!AR$32)*Sheet2!V$16/'RNG HERE'!AR$33</f>
        <v>20.177927611191812</v>
      </c>
      <c r="BR43" s="7">
        <f ca="1">Sheet2!W$15+('RNG HERE'!U43-'RNG HERE'!AS$32)*Sheet2!W$16/'RNG HERE'!AS$33</f>
        <v>23.603651903163122</v>
      </c>
      <c r="BS43" s="7">
        <f ca="1">Sheet2!X$15+('RNG HERE'!V43-'RNG HERE'!AT$32)*Sheet2!X$16/'RNG HERE'!AT$33</f>
        <v>22.597880031253489</v>
      </c>
      <c r="BT43" s="7">
        <f ca="1">Sheet2!Y$15+('RNG HERE'!W43-'RNG HERE'!AU$32)*Sheet2!Y$16/'RNG HERE'!AU$33</f>
        <v>19.495471219396059</v>
      </c>
      <c r="BU43" s="7">
        <f ca="1">Sheet2!Z$15+('RNG HERE'!X43-'RNG HERE'!AV$32)*Sheet2!Z$16/'RNG HERE'!AV$33</f>
        <v>8.2103615279729176</v>
      </c>
    </row>
    <row r="44" spans="1:97" x14ac:dyDescent="0.3">
      <c r="A44" s="8" cm="1">
        <f t="array" aca="1" ref="A44" ca="1">[1]!UNIFORM_INV(RAND(),Sheet2!C$15-SQRT(3)*Sheet2!C$16,Sheet2!C$15+SQRT(3)*Sheet2!C$16)</f>
        <v>5.4451882958862567</v>
      </c>
      <c r="B44" s="8" cm="1">
        <f t="array" aca="1" ref="B44" ca="1">[1]!UNIFORM_INV(RAND(),Sheet2!D$15-SQRT(3)*Sheet2!D$16,Sheet2!D$15+SQRT(3)*Sheet2!D$16)</f>
        <v>6.0917505987830376</v>
      </c>
      <c r="C44" s="8" cm="1">
        <f t="array" aca="1" ref="C44" ca="1">[1]!UNIFORM_INV(RAND(),Sheet2!E$15-SQRT(3)*Sheet2!E$16,Sheet2!E$15+SQRT(3)*Sheet2!E$16)</f>
        <v>15.6241572474047</v>
      </c>
      <c r="D44" s="8" cm="1">
        <f t="array" aca="1" ref="D44" ca="1">[1]!UNIFORM_INV(RAND(),Sheet2!F$15-SQRT(3)*Sheet2!F$16,Sheet2!F$15+SQRT(3)*Sheet2!F$16)</f>
        <v>14.329450964083616</v>
      </c>
      <c r="E44" s="8" cm="1">
        <f t="array" aca="1" ref="E44" ca="1">[1]!UNIFORM_INV(RAND(),Sheet2!G$15-SQRT(3)*Sheet2!G$16,Sheet2!G$15+SQRT(3)*Sheet2!G$16)</f>
        <v>19.794471668008814</v>
      </c>
      <c r="F44" s="8" cm="1">
        <f t="array" aca="1" ref="F44" ca="1">[1]!UNIFORM_INV(RAND(),Sheet2!H$15-SQRT(3)*Sheet2!H$16,Sheet2!H$15+SQRT(3)*Sheet2!H$16)</f>
        <v>27.268380947703559</v>
      </c>
      <c r="G44" s="8" cm="1">
        <f t="array" aca="1" ref="G44" ca="1">[1]!UNIFORM_INV(RAND(),Sheet2!I$15-SQRT(3)*Sheet2!I$16,Sheet2!I$15+SQRT(3)*Sheet2!I$16)</f>
        <v>12.218084255532263</v>
      </c>
      <c r="H44" s="8" cm="1">
        <f t="array" aca="1" ref="H44" ca="1">[1]!UNIFORM_INV(RAND(),Sheet2!J$15-SQRT(3)*Sheet2!J$16,Sheet2!J$15+SQRT(3)*Sheet2!J$16)</f>
        <v>21.45149741075257</v>
      </c>
      <c r="I44" s="8" cm="1">
        <f t="array" aca="1" ref="I44" ca="1">[1]!UNIFORM_INV(RAND(),Sheet2!K$15-SQRT(3)*Sheet2!K$16,Sheet2!K$15+SQRT(3)*Sheet2!K$16)</f>
        <v>26.583294817507742</v>
      </c>
      <c r="J44" s="8" cm="1">
        <f t="array" aca="1" ref="J44" ca="1">[1]!UNIFORM_INV(RAND(),Sheet2!L$15-SQRT(3)*Sheet2!L$16,Sheet2!L$15+SQRT(3)*Sheet2!L$16)</f>
        <v>22.414492498090389</v>
      </c>
      <c r="K44" s="8" cm="1">
        <f t="array" aca="1" ref="K44" ca="1">[1]!UNIFORM_INV(RAND(),Sheet2!M$15-SQRT(3)*Sheet2!M$16,Sheet2!M$15+SQRT(3)*Sheet2!M$16)</f>
        <v>17.659709062044925</v>
      </c>
      <c r="L44" s="8" cm="1">
        <f t="array" aca="1" ref="L44" ca="1">[1]!UNIFORM_INV(RAND(),Sheet2!N$15-SQRT(3)*Sheet2!N$16,Sheet2!N$15+SQRT(3)*Sheet2!N$16)</f>
        <v>9.4857896336756138</v>
      </c>
      <c r="M44" s="8" cm="1">
        <f t="array" aca="1" ref="M44" ca="1">[1]!UNIFORM_INV(RAND(),Sheet2!O$15-SQRT(3)*Sheet2!O$16,Sheet2!O$15+SQRT(3)*Sheet2!O$16)</f>
        <v>3.7087897926066642</v>
      </c>
      <c r="N44" s="8" cm="1">
        <f t="array" aca="1" ref="N44" ca="1">[1]!UNIFORM_INV(RAND(),Sheet2!P$15-SQRT(3)*Sheet2!P$16,Sheet2!P$15+SQRT(3)*Sheet2!P$16)</f>
        <v>24.758155445351836</v>
      </c>
      <c r="O44" s="8" cm="1">
        <f t="array" aca="1" ref="O44" ca="1">[1]!UNIFORM_INV(RAND(),Sheet2!Q$15-SQRT(3)*Sheet2!Q$16,Sheet2!Q$15+SQRT(3)*Sheet2!Q$16)</f>
        <v>8.7173526119525206</v>
      </c>
      <c r="P44" s="8" cm="1">
        <f t="array" aca="1" ref="P44" ca="1">[1]!UNIFORM_INV(RAND(),Sheet2!R$15-SQRT(3)*Sheet2!R$16,Sheet2!R$15+SQRT(3)*Sheet2!R$16)</f>
        <v>8.1015124588015528</v>
      </c>
      <c r="Q44" s="8" cm="1">
        <f t="array" aca="1" ref="Q44" ca="1">[1]!UNIFORM_INV(RAND(),Sheet2!S$15-SQRT(3)*Sheet2!S$16,Sheet2!S$15+SQRT(3)*Sheet2!S$16)</f>
        <v>3.4059456225616547</v>
      </c>
      <c r="R44" s="8" cm="1">
        <f t="array" aca="1" ref="R44" ca="1">[1]!UNIFORM_INV(RAND(),Sheet2!T$15-SQRT(3)*Sheet2!T$16,Sheet2!T$15+SQRT(3)*Sheet2!T$16)</f>
        <v>16.677914248355467</v>
      </c>
      <c r="S44" s="8" cm="1">
        <f t="array" aca="1" ref="S44" ca="1">[1]!UNIFORM_INV(RAND(),Sheet2!U$15-SQRT(3)*Sheet2!U$16,Sheet2!U$15+SQRT(3)*Sheet2!U$16)</f>
        <v>23.475232088859681</v>
      </c>
      <c r="T44" s="8" cm="1">
        <f t="array" aca="1" ref="T44" ca="1">[1]!UNIFORM_INV(RAND(),Sheet2!V$15-SQRT(3)*Sheet2!V$16,Sheet2!V$15+SQRT(3)*Sheet2!V$16)</f>
        <v>21.274899899887725</v>
      </c>
      <c r="U44" s="8" cm="1">
        <f t="array" aca="1" ref="U44" ca="1">[1]!UNIFORM_INV(RAND(),Sheet2!W$15-SQRT(3)*Sheet2!W$16,Sheet2!W$15+SQRT(3)*Sheet2!W$16)</f>
        <v>25.508243730121407</v>
      </c>
      <c r="V44" s="8" cm="1">
        <f t="array" aca="1" ref="V44" ca="1">[1]!UNIFORM_INV(RAND(),Sheet2!X$15-SQRT(3)*Sheet2!X$16,Sheet2!X$15+SQRT(3)*Sheet2!X$16)</f>
        <v>21.566228848898405</v>
      </c>
      <c r="W44" s="8" cm="1">
        <f t="array" aca="1" ref="W44" ca="1">[1]!UNIFORM_INV(RAND(),Sheet2!Y$15-SQRT(3)*Sheet2!Y$16,Sheet2!Y$15+SQRT(3)*Sheet2!Y$16)</f>
        <v>21.805459343449218</v>
      </c>
      <c r="X44" s="8" cm="1">
        <f t="array" aca="1" ref="X44" ca="1">[1]!UNIFORM_INV(RAND(),Sheet2!Z$15-SQRT(3)*Sheet2!Z$16,Sheet2!Z$15+SQRT(3)*Sheet2!Z$16)</f>
        <v>7.4223974455004127</v>
      </c>
      <c r="AX44" s="7">
        <f ca="1">Sheet2!C$15+('RNG HERE'!A44-'RNG HERE'!Y$32)*Sheet2!C$16/'RNG HERE'!Y$33</f>
        <v>5.3365196066872018</v>
      </c>
      <c r="AY44" s="7">
        <f ca="1">Sheet2!D$15+('RNG HERE'!B44-'RNG HERE'!Z$32)*Sheet2!D$16/'RNG HERE'!Z$33</f>
        <v>4.979518965811403</v>
      </c>
      <c r="AZ44" s="7">
        <f ca="1">Sheet2!E$15+('RNG HERE'!C44-'RNG HERE'!AA$32)*Sheet2!E$16/'RNG HERE'!AA$33</f>
        <v>15.602023091254832</v>
      </c>
      <c r="BA44" s="7">
        <f ca="1">Sheet2!F$15+('RNG HERE'!D44-'RNG HERE'!AB$32)*Sheet2!F$16/'RNG HERE'!AB$33</f>
        <v>14.621024289844151</v>
      </c>
      <c r="BB44" s="7">
        <f ca="1">Sheet2!G$15+('RNG HERE'!E44-'RNG HERE'!AC$32)*Sheet2!G$16/'RNG HERE'!AC$33</f>
        <v>19.335462060893811</v>
      </c>
      <c r="BC44" s="7">
        <f ca="1">Sheet2!H$15+('RNG HERE'!F44-'RNG HERE'!AD$32)*Sheet2!H$16/'RNG HERE'!AD$33</f>
        <v>25.45084605194797</v>
      </c>
      <c r="BD44" s="7">
        <f ca="1">Sheet2!I$15+('RNG HERE'!G44-'RNG HERE'!AE$32)*Sheet2!I$16/'RNG HERE'!AE$33</f>
        <v>12.1630803549393</v>
      </c>
      <c r="BE44" s="7">
        <f ca="1">Sheet2!J$15+('RNG HERE'!H44-'RNG HERE'!AF$32)*Sheet2!J$16/'RNG HERE'!AF$33</f>
        <v>21.528399785677724</v>
      </c>
      <c r="BF44" s="7">
        <f ca="1">Sheet2!K$15+('RNG HERE'!I44-'RNG HERE'!AG$32)*Sheet2!K$16/'RNG HERE'!AG$33</f>
        <v>27.261130614609542</v>
      </c>
      <c r="BG44" s="7">
        <f ca="1">Sheet2!L$15+('RNG HERE'!J44-'RNG HERE'!AH$32)*Sheet2!L$16/'RNG HERE'!AH$33</f>
        <v>22.050238237851257</v>
      </c>
      <c r="BH44" s="7">
        <f ca="1">Sheet2!M$15+('RNG HERE'!K44-'RNG HERE'!AI$32)*Sheet2!M$16/'RNG HERE'!AI$33</f>
        <v>17.717043737238178</v>
      </c>
      <c r="BI44" s="7">
        <f ca="1">Sheet2!N$15+('RNG HERE'!L44-'RNG HERE'!AJ$32)*Sheet2!N$16/'RNG HERE'!AJ$33</f>
        <v>9.390816059907543</v>
      </c>
      <c r="BJ44" s="7">
        <f ca="1">Sheet2!O$15+('RNG HERE'!M44-'RNG HERE'!AK$32)*Sheet2!O$16/'RNG HERE'!AK$33</f>
        <v>3.8636157754889329</v>
      </c>
      <c r="BK44" s="7">
        <f ca="1">Sheet2!P$15+('RNG HERE'!N44-'RNG HERE'!AL$32)*Sheet2!P$16/'RNG HERE'!AL$33</f>
        <v>24.655331722154699</v>
      </c>
      <c r="BL44" s="7">
        <f ca="1">Sheet2!Q$15+('RNG HERE'!O44-'RNG HERE'!AM$32)*Sheet2!Q$16/'RNG HERE'!AM$33</f>
        <v>8.5782377639029335</v>
      </c>
      <c r="BM44" s="7">
        <f ca="1">Sheet2!R$15+('RNG HERE'!P44-'RNG HERE'!AN$32)*Sheet2!R$16/'RNG HERE'!AN$33</f>
        <v>7.9027005213324655</v>
      </c>
      <c r="BN44" s="7">
        <f ca="1">Sheet2!S$15+('RNG HERE'!Q44-'RNG HERE'!AO$32)*Sheet2!S$16/'RNG HERE'!AO$33</f>
        <v>3.5825787216350999</v>
      </c>
      <c r="BO44" s="7">
        <f ca="1">Sheet2!T$15+('RNG HERE'!R44-'RNG HERE'!AP$32)*Sheet2!T$16/'RNG HERE'!AP$33</f>
        <v>16.073396396482902</v>
      </c>
      <c r="BP44" s="7">
        <f ca="1">Sheet2!U$15+('RNG HERE'!S44-'RNG HERE'!AQ$32)*Sheet2!U$16/'RNG HERE'!AQ$33</f>
        <v>23.453019697584452</v>
      </c>
      <c r="BQ44" s="7">
        <f ca="1">Sheet2!V$15+('RNG HERE'!T44-'RNG HERE'!AR$32)*Sheet2!V$16/'RNG HERE'!AR$33</f>
        <v>21.03507842197855</v>
      </c>
      <c r="BR44" s="7">
        <f ca="1">Sheet2!W$15+('RNG HERE'!U44-'RNG HERE'!AS$32)*Sheet2!W$16/'RNG HERE'!AS$33</f>
        <v>25.477333931125909</v>
      </c>
      <c r="BS44" s="7">
        <f ca="1">Sheet2!X$15+('RNG HERE'!V44-'RNG HERE'!AT$32)*Sheet2!X$16/'RNG HERE'!AT$33</f>
        <v>21.643905396443284</v>
      </c>
      <c r="BT44" s="7">
        <f ca="1">Sheet2!Y$15+('RNG HERE'!W44-'RNG HERE'!AU$32)*Sheet2!Y$16/'RNG HERE'!AU$33</f>
        <v>21.786766239469635</v>
      </c>
      <c r="BU44" s="7">
        <f ca="1">Sheet2!Z$15+('RNG HERE'!X44-'RNG HERE'!AV$32)*Sheet2!Z$16/'RNG HERE'!AV$33</f>
        <v>7.5537466813735001</v>
      </c>
    </row>
    <row r="45" spans="1:97" x14ac:dyDescent="0.3">
      <c r="A45" s="8" cm="1">
        <f t="array" aca="1" ref="A45" ca="1">[1]!UNIFORM_INV(RAND(),Sheet2!C$15-SQRT(3)*Sheet2!C$16,Sheet2!C$15+SQRT(3)*Sheet2!C$16)</f>
        <v>4.5624748675640747</v>
      </c>
      <c r="B45" s="8" cm="1">
        <f t="array" aca="1" ref="B45" ca="1">[1]!UNIFORM_INV(RAND(),Sheet2!D$15-SQRT(3)*Sheet2!D$16,Sheet2!D$15+SQRT(3)*Sheet2!D$16)</f>
        <v>11.544154985467188</v>
      </c>
      <c r="C45" s="8" cm="1">
        <f t="array" aca="1" ref="C45" ca="1">[1]!UNIFORM_INV(RAND(),Sheet2!E$15-SQRT(3)*Sheet2!E$16,Sheet2!E$15+SQRT(3)*Sheet2!E$16)</f>
        <v>17.472978977920146</v>
      </c>
      <c r="D45" s="8" cm="1">
        <f t="array" aca="1" ref="D45" ca="1">[1]!UNIFORM_INV(RAND(),Sheet2!F$15-SQRT(3)*Sheet2!F$16,Sheet2!F$15+SQRT(3)*Sheet2!F$16)</f>
        <v>13.519105033886126</v>
      </c>
      <c r="E45" s="8" cm="1">
        <f t="array" aca="1" ref="E45" ca="1">[1]!UNIFORM_INV(RAND(),Sheet2!G$15-SQRT(3)*Sheet2!G$16,Sheet2!G$15+SQRT(3)*Sheet2!G$16)</f>
        <v>27.832173113015365</v>
      </c>
      <c r="F45" s="8" cm="1">
        <f t="array" aca="1" ref="F45" ca="1">[1]!UNIFORM_INV(RAND(),Sheet2!H$15-SQRT(3)*Sheet2!H$16,Sheet2!H$15+SQRT(3)*Sheet2!H$16)</f>
        <v>36.0548010243063</v>
      </c>
      <c r="G45" s="8" cm="1">
        <f t="array" aca="1" ref="G45" ca="1">[1]!UNIFORM_INV(RAND(),Sheet2!I$15-SQRT(3)*Sheet2!I$16,Sheet2!I$15+SQRT(3)*Sheet2!I$16)</f>
        <v>13.55025600546977</v>
      </c>
      <c r="H45" s="8" cm="1">
        <f t="array" aca="1" ref="H45" ca="1">[1]!UNIFORM_INV(RAND(),Sheet2!J$15-SQRT(3)*Sheet2!J$16,Sheet2!J$15+SQRT(3)*Sheet2!J$16)</f>
        <v>20.703619346608857</v>
      </c>
      <c r="I45" s="8" cm="1">
        <f t="array" aca="1" ref="I45" ca="1">[1]!UNIFORM_INV(RAND(),Sheet2!K$15-SQRT(3)*Sheet2!K$16,Sheet2!K$15+SQRT(3)*Sheet2!K$16)</f>
        <v>22.970162803622635</v>
      </c>
      <c r="J45" s="8" cm="1">
        <f t="array" aca="1" ref="J45" ca="1">[1]!UNIFORM_INV(RAND(),Sheet2!L$15-SQRT(3)*Sheet2!L$16,Sheet2!L$15+SQRT(3)*Sheet2!L$16)</f>
        <v>23.782740807420886</v>
      </c>
      <c r="K45" s="8" cm="1">
        <f t="array" aca="1" ref="K45" ca="1">[1]!UNIFORM_INV(RAND(),Sheet2!M$15-SQRT(3)*Sheet2!M$16,Sheet2!M$15+SQRT(3)*Sheet2!M$16)</f>
        <v>17.852617196839521</v>
      </c>
      <c r="L45" s="8" cm="1">
        <f t="array" aca="1" ref="L45" ca="1">[1]!UNIFORM_INV(RAND(),Sheet2!N$15-SQRT(3)*Sheet2!N$16,Sheet2!N$15+SQRT(3)*Sheet2!N$16)</f>
        <v>7.9883756877072116</v>
      </c>
      <c r="M45" s="8" cm="1">
        <f t="array" aca="1" ref="M45" ca="1">[1]!UNIFORM_INV(RAND(),Sheet2!O$15-SQRT(3)*Sheet2!O$16,Sheet2!O$15+SQRT(3)*Sheet2!O$16)</f>
        <v>4.7891712897181797</v>
      </c>
      <c r="N45" s="8" cm="1">
        <f t="array" aca="1" ref="N45" ca="1">[1]!UNIFORM_INV(RAND(),Sheet2!P$15-SQRT(3)*Sheet2!P$16,Sheet2!P$15+SQRT(3)*Sheet2!P$16)</f>
        <v>23.104262646749355</v>
      </c>
      <c r="O45" s="8" cm="1">
        <f t="array" aca="1" ref="O45" ca="1">[1]!UNIFORM_INV(RAND(),Sheet2!Q$15-SQRT(3)*Sheet2!Q$16,Sheet2!Q$15+SQRT(3)*Sheet2!Q$16)</f>
        <v>9.1120760816791115</v>
      </c>
      <c r="P45" s="8" cm="1">
        <f t="array" aca="1" ref="P45" ca="1">[1]!UNIFORM_INV(RAND(),Sheet2!R$15-SQRT(3)*Sheet2!R$16,Sheet2!R$15+SQRT(3)*Sheet2!R$16)</f>
        <v>10.355569774303065</v>
      </c>
      <c r="Q45" s="8" cm="1">
        <f t="array" aca="1" ref="Q45" ca="1">[1]!UNIFORM_INV(RAND(),Sheet2!S$15-SQRT(3)*Sheet2!S$16,Sheet2!S$15+SQRT(3)*Sheet2!S$16)</f>
        <v>4.2343488219544501</v>
      </c>
      <c r="R45" s="8" cm="1">
        <f t="array" aca="1" ref="R45" ca="1">[1]!UNIFORM_INV(RAND(),Sheet2!T$15-SQRT(3)*Sheet2!T$16,Sheet2!T$15+SQRT(3)*Sheet2!T$16)</f>
        <v>19.223905691493805</v>
      </c>
      <c r="S45" s="8" cm="1">
        <f t="array" aca="1" ref="S45" ca="1">[1]!UNIFORM_INV(RAND(),Sheet2!U$15-SQRT(3)*Sheet2!U$16,Sheet2!U$15+SQRT(3)*Sheet2!U$16)</f>
        <v>25.252817808266798</v>
      </c>
      <c r="T45" s="8" cm="1">
        <f t="array" aca="1" ref="T45" ca="1">[1]!UNIFORM_INV(RAND(),Sheet2!V$15-SQRT(3)*Sheet2!V$16,Sheet2!V$15+SQRT(3)*Sheet2!V$16)</f>
        <v>22.298038394977997</v>
      </c>
      <c r="U45" s="8" cm="1">
        <f t="array" aca="1" ref="U45" ca="1">[1]!UNIFORM_INV(RAND(),Sheet2!W$15-SQRT(3)*Sheet2!W$16,Sheet2!W$15+SQRT(3)*Sheet2!W$16)</f>
        <v>25.353805398328255</v>
      </c>
      <c r="V45" s="8" cm="1">
        <f t="array" aca="1" ref="V45" ca="1">[1]!UNIFORM_INV(RAND(),Sheet2!X$15-SQRT(3)*Sheet2!X$16,Sheet2!X$15+SQRT(3)*Sheet2!X$16)</f>
        <v>20.810221324819572</v>
      </c>
      <c r="W45" s="8" cm="1">
        <f t="array" aca="1" ref="W45" ca="1">[1]!UNIFORM_INV(RAND(),Sheet2!Y$15-SQRT(3)*Sheet2!Y$16,Sheet2!Y$15+SQRT(3)*Sheet2!Y$16)</f>
        <v>21.608835843495179</v>
      </c>
      <c r="X45" s="8" cm="1">
        <f t="array" aca="1" ref="X45" ca="1">[1]!UNIFORM_INV(RAND(),Sheet2!Z$15-SQRT(3)*Sheet2!Z$16,Sheet2!Z$15+SQRT(3)*Sheet2!Z$16)</f>
        <v>7.6629162405014339</v>
      </c>
      <c r="AX45" s="7">
        <f ca="1">Sheet2!C$15+('RNG HERE'!A45-'RNG HERE'!Y$32)*Sheet2!C$16/'RNG HERE'!Y$33</f>
        <v>4.4409012870963132</v>
      </c>
      <c r="AY45" s="7">
        <f ca="1">Sheet2!D$15+('RNG HERE'!B45-'RNG HERE'!Z$32)*Sheet2!D$16/'RNG HERE'!Z$33</f>
        <v>11.457907907923262</v>
      </c>
      <c r="AZ45" s="7">
        <f ca="1">Sheet2!E$15+('RNG HERE'!C45-'RNG HERE'!AA$32)*Sheet2!E$16/'RNG HERE'!AA$33</f>
        <v>17.56073951330162</v>
      </c>
      <c r="BA45" s="7">
        <f ca="1">Sheet2!F$15+('RNG HERE'!D45-'RNG HERE'!AB$32)*Sheet2!F$16/'RNG HERE'!AB$33</f>
        <v>13.8701231764738</v>
      </c>
      <c r="BB45" s="7">
        <f ca="1">Sheet2!G$15+('RNG HERE'!E45-'RNG HERE'!AC$32)*Sheet2!G$16/'RNG HERE'!AC$33</f>
        <v>28.57208452144809</v>
      </c>
      <c r="BC45" s="7">
        <f ca="1">Sheet2!H$15+('RNG HERE'!F45-'RNG HERE'!AD$32)*Sheet2!H$16/'RNG HERE'!AD$33</f>
        <v>34.681841769774167</v>
      </c>
      <c r="BD45" s="7">
        <f ca="1">Sheet2!I$15+('RNG HERE'!G45-'RNG HERE'!AE$32)*Sheet2!I$16/'RNG HERE'!AE$33</f>
        <v>13.685741374462321</v>
      </c>
      <c r="BE45" s="7">
        <f ca="1">Sheet2!J$15+('RNG HERE'!H45-'RNG HERE'!AF$32)*Sheet2!J$16/'RNG HERE'!AF$33</f>
        <v>20.78996424943827</v>
      </c>
      <c r="BF45" s="7">
        <f ca="1">Sheet2!K$15+('RNG HERE'!I45-'RNG HERE'!AG$32)*Sheet2!K$16/'RNG HERE'!AG$33</f>
        <v>23.229777033973427</v>
      </c>
      <c r="BG45" s="7">
        <f ca="1">Sheet2!L$15+('RNG HERE'!J45-'RNG HERE'!AH$32)*Sheet2!L$16/'RNG HERE'!AH$33</f>
        <v>23.523586747339483</v>
      </c>
      <c r="BH45" s="7">
        <f ca="1">Sheet2!M$15+('RNG HERE'!K45-'RNG HERE'!AI$32)*Sheet2!M$16/'RNG HERE'!AI$33</f>
        <v>17.913246658540988</v>
      </c>
      <c r="BI45" s="7">
        <f ca="1">Sheet2!N$15+('RNG HERE'!L45-'RNG HERE'!AJ$32)*Sheet2!N$16/'RNG HERE'!AJ$33</f>
        <v>7.8306955619622158</v>
      </c>
      <c r="BJ45" s="7">
        <f ca="1">Sheet2!O$15+('RNG HERE'!M45-'RNG HERE'!AK$32)*Sheet2!O$16/'RNG HERE'!AK$33</f>
        <v>4.9792298629672445</v>
      </c>
      <c r="BK45" s="7">
        <f ca="1">Sheet2!P$15+('RNG HERE'!N45-'RNG HERE'!AL$32)*Sheet2!P$16/'RNG HERE'!AL$33</f>
        <v>22.80276898754305</v>
      </c>
      <c r="BL45" s="7">
        <f ca="1">Sheet2!Q$15+('RNG HERE'!O45-'RNG HERE'!AM$32)*Sheet2!Q$16/'RNG HERE'!AM$33</f>
        <v>8.9860228261447848</v>
      </c>
      <c r="BM45" s="7">
        <f ca="1">Sheet2!R$15+('RNG HERE'!P45-'RNG HERE'!AN$32)*Sheet2!R$16/'RNG HERE'!AN$33</f>
        <v>10.271634566381174</v>
      </c>
      <c r="BN45" s="7">
        <f ca="1">Sheet2!S$15+('RNG HERE'!Q45-'RNG HERE'!AO$32)*Sheet2!S$16/'RNG HERE'!AO$33</f>
        <v>4.4365646130183336</v>
      </c>
      <c r="BO45" s="7">
        <f ca="1">Sheet2!T$15+('RNG HERE'!R45-'RNG HERE'!AP$32)*Sheet2!T$16/'RNG HERE'!AP$33</f>
        <v>18.959819293230183</v>
      </c>
      <c r="BP45" s="7">
        <f ca="1">Sheet2!U$15+('RNG HERE'!S45-'RNG HERE'!AQ$32)*Sheet2!U$16/'RNG HERE'!AQ$33</f>
        <v>25.41418986838416</v>
      </c>
      <c r="BQ45" s="7">
        <f ca="1">Sheet2!V$15+('RNG HERE'!T45-'RNG HERE'!AR$32)*Sheet2!V$16/'RNG HERE'!AR$33</f>
        <v>22.084189794526271</v>
      </c>
      <c r="BR45" s="7">
        <f ca="1">Sheet2!W$15+('RNG HERE'!U45-'RNG HERE'!AS$32)*Sheet2!W$16/'RNG HERE'!AS$33</f>
        <v>25.298055269591178</v>
      </c>
      <c r="BS45" s="7">
        <f ca="1">Sheet2!X$15+('RNG HERE'!V45-'RNG HERE'!AT$32)*Sheet2!X$16/'RNG HERE'!AT$33</f>
        <v>20.94301871118158</v>
      </c>
      <c r="BT45" s="7">
        <f ca="1">Sheet2!Y$15+('RNG HERE'!W45-'RNG HERE'!AU$32)*Sheet2!Y$16/'RNG HERE'!AU$33</f>
        <v>21.563047656772021</v>
      </c>
      <c r="BU45" s="7">
        <f ca="1">Sheet2!Z$15+('RNG HERE'!X45-'RNG HERE'!AV$32)*Sheet2!Z$16/'RNG HERE'!AV$33</f>
        <v>7.7982465315375276</v>
      </c>
    </row>
    <row r="46" spans="1:97" x14ac:dyDescent="0.3">
      <c r="A46" s="8" cm="1">
        <f t="array" aca="1" ref="A46" ca="1">[1]!UNIFORM_INV(RAND(),Sheet2!C$15-SQRT(3)*Sheet2!C$16,Sheet2!C$15+SQRT(3)*Sheet2!C$16)</f>
        <v>5.5514218524161292</v>
      </c>
      <c r="B46" s="8" cm="1">
        <f t="array" aca="1" ref="B46" ca="1">[1]!UNIFORM_INV(RAND(),Sheet2!D$15-SQRT(3)*Sheet2!D$16,Sheet2!D$15+SQRT(3)*Sheet2!D$16)</f>
        <v>10.428634511355508</v>
      </c>
      <c r="C46" s="8" cm="1">
        <f t="array" aca="1" ref="C46" ca="1">[1]!UNIFORM_INV(RAND(),Sheet2!E$15-SQRT(3)*Sheet2!E$16,Sheet2!E$15+SQRT(3)*Sheet2!E$16)</f>
        <v>19.431697773164746</v>
      </c>
      <c r="D46" s="8" cm="1">
        <f t="array" aca="1" ref="D46" ca="1">[1]!UNIFORM_INV(RAND(),Sheet2!F$15-SQRT(3)*Sheet2!F$16,Sheet2!F$15+SQRT(3)*Sheet2!F$16)</f>
        <v>13.359894250508059</v>
      </c>
      <c r="E46" s="8" cm="1">
        <f t="array" aca="1" ref="E46" ca="1">[1]!UNIFORM_INV(RAND(),Sheet2!G$15-SQRT(3)*Sheet2!G$16,Sheet2!G$15+SQRT(3)*Sheet2!G$16)</f>
        <v>23.776387470740779</v>
      </c>
      <c r="F46" s="8" cm="1">
        <f t="array" aca="1" ref="F46" ca="1">[1]!UNIFORM_INV(RAND(),Sheet2!H$15-SQRT(3)*Sheet2!H$16,Sheet2!H$15+SQRT(3)*Sheet2!H$16)</f>
        <v>35.857375449370295</v>
      </c>
      <c r="G46" s="8" cm="1">
        <f t="array" aca="1" ref="G46" ca="1">[1]!UNIFORM_INV(RAND(),Sheet2!I$15-SQRT(3)*Sheet2!I$16,Sheet2!I$15+SQRT(3)*Sheet2!I$16)</f>
        <v>12.673505085569641</v>
      </c>
      <c r="H46" s="8" cm="1">
        <f t="array" aca="1" ref="H46" ca="1">[1]!UNIFORM_INV(RAND(),Sheet2!J$15-SQRT(3)*Sheet2!J$16,Sheet2!J$15+SQRT(3)*Sheet2!J$16)</f>
        <v>22.940782747010324</v>
      </c>
      <c r="I46" s="8" cm="1">
        <f t="array" aca="1" ref="I46" ca="1">[1]!UNIFORM_INV(RAND(),Sheet2!K$15-SQRT(3)*Sheet2!K$16,Sheet2!K$15+SQRT(3)*Sheet2!K$16)</f>
        <v>23.338110750415858</v>
      </c>
      <c r="J46" s="8" cm="1">
        <f t="array" aca="1" ref="J46" ca="1">[1]!UNIFORM_INV(RAND(),Sheet2!L$15-SQRT(3)*Sheet2!L$16,Sheet2!L$15+SQRT(3)*Sheet2!L$16)</f>
        <v>25.755885031535986</v>
      </c>
      <c r="K46" s="8" cm="1">
        <f t="array" aca="1" ref="K46" ca="1">[1]!UNIFORM_INV(RAND(),Sheet2!M$15-SQRT(3)*Sheet2!M$16,Sheet2!M$15+SQRT(3)*Sheet2!M$16)</f>
        <v>17.403662186380494</v>
      </c>
      <c r="L46" s="8" cm="1">
        <f t="array" aca="1" ref="L46" ca="1">[1]!UNIFORM_INV(RAND(),Sheet2!N$15-SQRT(3)*Sheet2!N$16,Sheet2!N$15+SQRT(3)*Sheet2!N$16)</f>
        <v>8.570001335161928</v>
      </c>
      <c r="M46" s="8" cm="1">
        <f t="array" aca="1" ref="M46" ca="1">[1]!UNIFORM_INV(RAND(),Sheet2!O$15-SQRT(3)*Sheet2!O$16,Sheet2!O$15+SQRT(3)*Sheet2!O$16)</f>
        <v>6.2812683187293272</v>
      </c>
      <c r="N46" s="8" cm="1">
        <f t="array" aca="1" ref="N46" ca="1">[1]!UNIFORM_INV(RAND(),Sheet2!P$15-SQRT(3)*Sheet2!P$16,Sheet2!P$15+SQRT(3)*Sheet2!P$16)</f>
        <v>26.89280120546838</v>
      </c>
      <c r="O46" s="8" cm="1">
        <f t="array" aca="1" ref="O46" ca="1">[1]!UNIFORM_INV(RAND(),Sheet2!Q$15-SQRT(3)*Sheet2!Q$16,Sheet2!Q$15+SQRT(3)*Sheet2!Q$16)</f>
        <v>8.9049719559491169</v>
      </c>
      <c r="P46" s="8" cm="1">
        <f t="array" aca="1" ref="P46" ca="1">[1]!UNIFORM_INV(RAND(),Sheet2!R$15-SQRT(3)*Sheet2!R$16,Sheet2!R$15+SQRT(3)*Sheet2!R$16)</f>
        <v>10.386966439331982</v>
      </c>
      <c r="Q46" s="8" cm="1">
        <f t="array" aca="1" ref="Q46" ca="1">[1]!UNIFORM_INV(RAND(),Sheet2!S$15-SQRT(3)*Sheet2!S$16,Sheet2!S$15+SQRT(3)*Sheet2!S$16)</f>
        <v>3.5063147894220092</v>
      </c>
      <c r="R46" s="8" cm="1">
        <f t="array" aca="1" ref="R46" ca="1">[1]!UNIFORM_INV(RAND(),Sheet2!T$15-SQRT(3)*Sheet2!T$16,Sheet2!T$15+SQRT(3)*Sheet2!T$16)</f>
        <v>18.685814916167153</v>
      </c>
      <c r="S46" s="8" cm="1">
        <f t="array" aca="1" ref="S46" ca="1">[1]!UNIFORM_INV(RAND(),Sheet2!U$15-SQRT(3)*Sheet2!U$16,Sheet2!U$15+SQRT(3)*Sheet2!U$16)</f>
        <v>22.618748630659393</v>
      </c>
      <c r="T46" s="8" cm="1">
        <f t="array" aca="1" ref="T46" ca="1">[1]!UNIFORM_INV(RAND(),Sheet2!V$15-SQRT(3)*Sheet2!V$16,Sheet2!V$15+SQRT(3)*Sheet2!V$16)</f>
        <v>22.694296831501465</v>
      </c>
      <c r="U46" s="8" cm="1">
        <f t="array" aca="1" ref="U46" ca="1">[1]!UNIFORM_INV(RAND(),Sheet2!W$15-SQRT(3)*Sheet2!W$16,Sheet2!W$15+SQRT(3)*Sheet2!W$16)</f>
        <v>24.259264874305646</v>
      </c>
      <c r="V46" s="8" cm="1">
        <f t="array" aca="1" ref="V46" ca="1">[1]!UNIFORM_INV(RAND(),Sheet2!X$15-SQRT(3)*Sheet2!X$16,Sheet2!X$15+SQRT(3)*Sheet2!X$16)</f>
        <v>23.875236247633588</v>
      </c>
      <c r="W46" s="8" cm="1">
        <f t="array" aca="1" ref="W46" ca="1">[1]!UNIFORM_INV(RAND(),Sheet2!Y$15-SQRT(3)*Sheet2!Y$16,Sheet2!Y$15+SQRT(3)*Sheet2!Y$16)</f>
        <v>22.001311009410006</v>
      </c>
      <c r="X46" s="8" cm="1">
        <f t="array" aca="1" ref="X46" ca="1">[1]!UNIFORM_INV(RAND(),Sheet2!Z$15-SQRT(3)*Sheet2!Z$16,Sheet2!Z$15+SQRT(3)*Sheet2!Z$16)</f>
        <v>8.354059857524641</v>
      </c>
      <c r="AX46" s="7">
        <f ca="1">Sheet2!C$15+('RNG HERE'!A46-'RNG HERE'!Y$32)*Sheet2!C$16/'RNG HERE'!Y$33</f>
        <v>5.4443062521948997</v>
      </c>
      <c r="AY46" s="7">
        <f ca="1">Sheet2!D$15+('RNG HERE'!B46-'RNG HERE'!Z$32)*Sheet2!D$16/'RNG HERE'!Z$33</f>
        <v>10.132478795982538</v>
      </c>
      <c r="AZ46" s="7">
        <f ca="1">Sheet2!E$15+('RNG HERE'!C46-'RNG HERE'!AA$32)*Sheet2!E$16/'RNG HERE'!AA$33</f>
        <v>19.635885324870845</v>
      </c>
      <c r="BA46" s="7">
        <f ca="1">Sheet2!F$15+('RNG HERE'!D46-'RNG HERE'!AB$32)*Sheet2!F$16/'RNG HERE'!AB$33</f>
        <v>13.722591671663231</v>
      </c>
      <c r="BB46" s="7">
        <f ca="1">Sheet2!G$15+('RNG HERE'!E46-'RNG HERE'!AC$32)*Sheet2!G$16/'RNG HERE'!AC$33</f>
        <v>23.911329078497388</v>
      </c>
      <c r="BC46" s="7">
        <f ca="1">Sheet2!H$15+('RNG HERE'!F46-'RNG HERE'!AD$32)*Sheet2!H$16/'RNG HERE'!AD$33</f>
        <v>34.474426847549296</v>
      </c>
      <c r="BD46" s="7">
        <f ca="1">Sheet2!I$15+('RNG HERE'!G46-'RNG HERE'!AE$32)*Sheet2!I$16/'RNG HERE'!AE$33</f>
        <v>12.683622503809568</v>
      </c>
      <c r="BE46" s="7">
        <f ca="1">Sheet2!J$15+('RNG HERE'!H46-'RNG HERE'!AF$32)*Sheet2!J$16/'RNG HERE'!AF$33</f>
        <v>22.998881764785114</v>
      </c>
      <c r="BF46" s="7">
        <f ca="1">Sheet2!K$15+('RNG HERE'!I46-'RNG HERE'!AG$32)*Sheet2!K$16/'RNG HERE'!AG$33</f>
        <v>23.640315112043147</v>
      </c>
      <c r="BG46" s="7">
        <f ca="1">Sheet2!L$15+('RNG HERE'!J46-'RNG HERE'!AH$32)*Sheet2!L$16/'RNG HERE'!AH$33</f>
        <v>25.648295458310066</v>
      </c>
      <c r="BH46" s="7">
        <f ca="1">Sheet2!M$15+('RNG HERE'!K46-'RNG HERE'!AI$32)*Sheet2!M$16/'RNG HERE'!AI$33</f>
        <v>17.456623693006712</v>
      </c>
      <c r="BI46" s="7">
        <f ca="1">Sheet2!N$15+('RNG HERE'!L46-'RNG HERE'!AJ$32)*Sheet2!N$16/'RNG HERE'!AJ$33</f>
        <v>8.4366776934682708</v>
      </c>
      <c r="BJ46" s="7">
        <f ca="1">Sheet2!O$15+('RNG HERE'!M46-'RNG HERE'!AK$32)*Sheet2!O$16/'RNG HERE'!AK$33</f>
        <v>6.519986040206323</v>
      </c>
      <c r="BK46" s="7">
        <f ca="1">Sheet2!P$15+('RNG HERE'!N46-'RNG HERE'!AL$32)*Sheet2!P$16/'RNG HERE'!AL$33</f>
        <v>27.04639672354428</v>
      </c>
      <c r="BL46" s="7">
        <f ca="1">Sheet2!Q$15+('RNG HERE'!O46-'RNG HERE'!AM$32)*Sheet2!Q$16/'RNG HERE'!AM$33</f>
        <v>8.7720655236822598</v>
      </c>
      <c r="BM46" s="7">
        <f ca="1">Sheet2!R$15+('RNG HERE'!P46-'RNG HERE'!AN$32)*Sheet2!R$16/'RNG HERE'!AN$33</f>
        <v>10.304631344314233</v>
      </c>
      <c r="BN46" s="7">
        <f ca="1">Sheet2!S$15+('RNG HERE'!Q46-'RNG HERE'!AO$32)*Sheet2!S$16/'RNG HERE'!AO$33</f>
        <v>3.6860474823683504</v>
      </c>
      <c r="BO46" s="7">
        <f ca="1">Sheet2!T$15+('RNG HERE'!R46-'RNG HERE'!AP$32)*Sheet2!T$16/'RNG HERE'!AP$33</f>
        <v>18.3497789340541</v>
      </c>
      <c r="BP46" s="7">
        <f ca="1">Sheet2!U$15+('RNG HERE'!S46-'RNG HERE'!AQ$32)*Sheet2!U$16/'RNG HERE'!AQ$33</f>
        <v>22.508080845034474</v>
      </c>
      <c r="BQ46" s="7">
        <f ca="1">Sheet2!V$15+('RNG HERE'!T46-'RNG HERE'!AR$32)*Sheet2!V$16/'RNG HERE'!AR$33</f>
        <v>22.490507447727335</v>
      </c>
      <c r="BR46" s="7">
        <f ca="1">Sheet2!W$15+('RNG HERE'!U46-'RNG HERE'!AS$32)*Sheet2!W$16/'RNG HERE'!AS$33</f>
        <v>24.027465527627921</v>
      </c>
      <c r="BS46" s="7">
        <f ca="1">Sheet2!X$15+('RNG HERE'!V46-'RNG HERE'!AT$32)*Sheet2!X$16/'RNG HERE'!AT$33</f>
        <v>23.784562057124223</v>
      </c>
      <c r="BT46" s="7">
        <f ca="1">Sheet2!Y$15+('RNG HERE'!W46-'RNG HERE'!AU$32)*Sheet2!Y$16/'RNG HERE'!AU$33</f>
        <v>22.0096066280191</v>
      </c>
      <c r="BU46" s="7">
        <f ca="1">Sheet2!Z$15+('RNG HERE'!X46-'RNG HERE'!AV$32)*Sheet2!Z$16/'RNG HERE'!AV$33</f>
        <v>8.5008299234228932</v>
      </c>
    </row>
    <row r="47" spans="1:97" x14ac:dyDescent="0.3">
      <c r="A47" s="8" cm="1">
        <f t="array" aca="1" ref="A47" ca="1">[1]!UNIFORM_INV(RAND(),Sheet2!C$15-SQRT(3)*Sheet2!C$16,Sheet2!C$15+SQRT(3)*Sheet2!C$16)</f>
        <v>3.1231006516714603</v>
      </c>
      <c r="B47" s="8" cm="1">
        <f t="array" aca="1" ref="B47" ca="1">[1]!UNIFORM_INV(RAND(),Sheet2!D$15-SQRT(3)*Sheet2!D$16,Sheet2!D$15+SQRT(3)*Sheet2!D$16)</f>
        <v>10.967059969913908</v>
      </c>
      <c r="C47" s="8" cm="1">
        <f t="array" aca="1" ref="C47" ca="1">[1]!UNIFORM_INV(RAND(),Sheet2!E$15-SQRT(3)*Sheet2!E$16,Sheet2!E$15+SQRT(3)*Sheet2!E$16)</f>
        <v>17.659631548384052</v>
      </c>
      <c r="D47" s="8" cm="1">
        <f t="array" aca="1" ref="D47" ca="1">[1]!UNIFORM_INV(RAND(),Sheet2!F$15-SQRT(3)*Sheet2!F$16,Sheet2!F$15+SQRT(3)*Sheet2!F$16)</f>
        <v>16.475855541056138</v>
      </c>
      <c r="E47" s="8" cm="1">
        <f t="array" aca="1" ref="E47" ca="1">[1]!UNIFORM_INV(RAND(),Sheet2!G$15-SQRT(3)*Sheet2!G$16,Sheet2!G$15+SQRT(3)*Sheet2!G$16)</f>
        <v>17.546051370966879</v>
      </c>
      <c r="F47" s="8" cm="1">
        <f t="array" aca="1" ref="F47" ca="1">[1]!UNIFORM_INV(RAND(),Sheet2!H$15-SQRT(3)*Sheet2!H$16,Sheet2!H$15+SQRT(3)*Sheet2!H$16)</f>
        <v>32.423632576904957</v>
      </c>
      <c r="G47" s="8" cm="1">
        <f t="array" aca="1" ref="G47" ca="1">[1]!UNIFORM_INV(RAND(),Sheet2!I$15-SQRT(3)*Sheet2!I$16,Sheet2!I$15+SQRT(3)*Sheet2!I$16)</f>
        <v>12.02333199319472</v>
      </c>
      <c r="H47" s="8" cm="1">
        <f t="array" aca="1" ref="H47" ca="1">[1]!UNIFORM_INV(RAND(),Sheet2!J$15-SQRT(3)*Sheet2!J$16,Sheet2!J$15+SQRT(3)*Sheet2!J$16)</f>
        <v>22.784777467010464</v>
      </c>
      <c r="I47" s="8" cm="1">
        <f t="array" aca="1" ref="I47" ca="1">[1]!UNIFORM_INV(RAND(),Sheet2!K$15-SQRT(3)*Sheet2!K$16,Sheet2!K$15+SQRT(3)*Sheet2!K$16)</f>
        <v>24.264489471833318</v>
      </c>
      <c r="J47" s="8" cm="1">
        <f t="array" aca="1" ref="J47" ca="1">[1]!UNIFORM_INV(RAND(),Sheet2!L$15-SQRT(3)*Sheet2!L$16,Sheet2!L$15+SQRT(3)*Sheet2!L$16)</f>
        <v>25.368621128969167</v>
      </c>
      <c r="K47" s="8" cm="1">
        <f t="array" aca="1" ref="K47" ca="1">[1]!UNIFORM_INV(RAND(),Sheet2!M$15-SQRT(3)*Sheet2!M$16,Sheet2!M$15+SQRT(3)*Sheet2!M$16)</f>
        <v>17.334103629732155</v>
      </c>
      <c r="L47" s="8" cm="1">
        <f t="array" aca="1" ref="L47" ca="1">[1]!UNIFORM_INV(RAND(),Sheet2!N$15-SQRT(3)*Sheet2!N$16,Sheet2!N$15+SQRT(3)*Sheet2!N$16)</f>
        <v>8.9620715776482029</v>
      </c>
      <c r="M47" s="8" cm="1">
        <f t="array" aca="1" ref="M47" ca="1">[1]!UNIFORM_INV(RAND(),Sheet2!O$15-SQRT(3)*Sheet2!O$16,Sheet2!O$15+SQRT(3)*Sheet2!O$16)</f>
        <v>5.5652444687097082</v>
      </c>
      <c r="N47" s="8" cm="1">
        <f t="array" aca="1" ref="N47" ca="1">[1]!UNIFORM_INV(RAND(),Sheet2!P$15-SQRT(3)*Sheet2!P$16,Sheet2!P$15+SQRT(3)*Sheet2!P$16)</f>
        <v>24.270747556750663</v>
      </c>
      <c r="O47" s="8" cm="1">
        <f t="array" aca="1" ref="O47" ca="1">[1]!UNIFORM_INV(RAND(),Sheet2!Q$15-SQRT(3)*Sheet2!Q$16,Sheet2!Q$15+SQRT(3)*Sheet2!Q$16)</f>
        <v>10.761220094660098</v>
      </c>
      <c r="P47" s="8" cm="1">
        <f t="array" aca="1" ref="P47" ca="1">[1]!UNIFORM_INV(RAND(),Sheet2!R$15-SQRT(3)*Sheet2!R$16,Sheet2!R$15+SQRT(3)*Sheet2!R$16)</f>
        <v>9.7627054524082979</v>
      </c>
      <c r="Q47" s="8" cm="1">
        <f t="array" aca="1" ref="Q47" ca="1">[1]!UNIFORM_INV(RAND(),Sheet2!S$15-SQRT(3)*Sheet2!S$16,Sheet2!S$15+SQRT(3)*Sheet2!S$16)</f>
        <v>3.9221292463963939</v>
      </c>
      <c r="R47" s="8" cm="1">
        <f t="array" aca="1" ref="R47" ca="1">[1]!UNIFORM_INV(RAND(),Sheet2!T$15-SQRT(3)*Sheet2!T$16,Sheet2!T$15+SQRT(3)*Sheet2!T$16)</f>
        <v>15.898355896949472</v>
      </c>
      <c r="S47" s="8" cm="1">
        <f t="array" aca="1" ref="S47" ca="1">[1]!UNIFORM_INV(RAND(),Sheet2!U$15-SQRT(3)*Sheet2!U$16,Sheet2!U$15+SQRT(3)*Sheet2!U$16)</f>
        <v>23.530761492658058</v>
      </c>
      <c r="T47" s="8" cm="1">
        <f t="array" aca="1" ref="T47" ca="1">[1]!UNIFORM_INV(RAND(),Sheet2!V$15-SQRT(3)*Sheet2!V$16,Sheet2!V$15+SQRT(3)*Sheet2!V$16)</f>
        <v>23.530269004612251</v>
      </c>
      <c r="U47" s="8" cm="1">
        <f t="array" aca="1" ref="U47" ca="1">[1]!UNIFORM_INV(RAND(),Sheet2!W$15-SQRT(3)*Sheet2!W$16,Sheet2!W$15+SQRT(3)*Sheet2!W$16)</f>
        <v>28.102290087839368</v>
      </c>
      <c r="V47" s="8" cm="1">
        <f t="array" aca="1" ref="V47" ca="1">[1]!UNIFORM_INV(RAND(),Sheet2!X$15-SQRT(3)*Sheet2!X$16,Sheet2!X$15+SQRT(3)*Sheet2!X$16)</f>
        <v>21.427149565887728</v>
      </c>
      <c r="W47" s="8" cm="1">
        <f t="array" aca="1" ref="W47" ca="1">[1]!UNIFORM_INV(RAND(),Sheet2!Y$15-SQRT(3)*Sheet2!Y$16,Sheet2!Y$15+SQRT(3)*Sheet2!Y$16)</f>
        <v>21.046107600947639</v>
      </c>
      <c r="X47" s="8" cm="1">
        <f t="array" aca="1" ref="X47" ca="1">[1]!UNIFORM_INV(RAND(),Sheet2!Z$15-SQRT(3)*Sheet2!Z$16,Sheet2!Z$15+SQRT(3)*Sheet2!Z$16)</f>
        <v>8.5132667764002328</v>
      </c>
      <c r="AX47" s="7">
        <f ca="1">Sheet2!C$15+('RNG HERE'!A47-'RNG HERE'!Y$32)*Sheet2!C$16/'RNG HERE'!Y$33</f>
        <v>2.980484038261082</v>
      </c>
      <c r="AY47" s="7">
        <f ca="1">Sheet2!D$15+('RNG HERE'!B47-'RNG HERE'!Z$32)*Sheet2!D$16/'RNG HERE'!Z$33</f>
        <v>10.772220328249468</v>
      </c>
      <c r="AZ47" s="7">
        <f ca="1">Sheet2!E$15+('RNG HERE'!C47-'RNG HERE'!AA$32)*Sheet2!E$16/'RNG HERE'!AA$33</f>
        <v>17.758486786037846</v>
      </c>
      <c r="BA47" s="7">
        <f ca="1">Sheet2!F$15+('RNG HERE'!D47-'RNG HERE'!AB$32)*Sheet2!F$16/'RNG HERE'!AB$33</f>
        <v>16.609974349973513</v>
      </c>
      <c r="BB47" s="7">
        <f ca="1">Sheet2!G$15+('RNG HERE'!E47-'RNG HERE'!AC$32)*Sheet2!G$16/'RNG HERE'!AC$33</f>
        <v>16.751662505944459</v>
      </c>
      <c r="BC47" s="7">
        <f ca="1">Sheet2!H$15+('RNG HERE'!F47-'RNG HERE'!AD$32)*Sheet2!H$16/'RNG HERE'!AD$33</f>
        <v>30.866943313242871</v>
      </c>
      <c r="BD47" s="7">
        <f ca="1">Sheet2!I$15+('RNG HERE'!G47-'RNG HERE'!AE$32)*Sheet2!I$16/'RNG HERE'!AE$33</f>
        <v>11.940480169686003</v>
      </c>
      <c r="BE47" s="7">
        <f ca="1">Sheet2!J$15+('RNG HERE'!H47-'RNG HERE'!AF$32)*Sheet2!J$16/'RNG HERE'!AF$33</f>
        <v>22.844846169791722</v>
      </c>
      <c r="BF47" s="7">
        <f ca="1">Sheet2!K$15+('RNG HERE'!I47-'RNG HERE'!AG$32)*Sheet2!K$16/'RNG HERE'!AG$33</f>
        <v>24.673922564319906</v>
      </c>
      <c r="BG47" s="7">
        <f ca="1">Sheet2!L$15+('RNG HERE'!J47-'RNG HERE'!AH$32)*Sheet2!L$16/'RNG HERE'!AH$33</f>
        <v>25.231284386756393</v>
      </c>
      <c r="BH47" s="7">
        <f ca="1">Sheet2!M$15+('RNG HERE'!K47-'RNG HERE'!AI$32)*Sheet2!M$16/'RNG HERE'!AI$33</f>
        <v>17.385877106655943</v>
      </c>
      <c r="BI47" s="7">
        <f ca="1">Sheet2!N$15+('RNG HERE'!L47-'RNG HERE'!AJ$32)*Sheet2!N$16/'RNG HERE'!AJ$33</f>
        <v>8.8451664908272747</v>
      </c>
      <c r="BJ47" s="7">
        <f ca="1">Sheet2!O$15+('RNG HERE'!M47-'RNG HERE'!AK$32)*Sheet2!O$16/'RNG HERE'!AK$33</f>
        <v>5.780611757892145</v>
      </c>
      <c r="BK47" s="7">
        <f ca="1">Sheet2!P$15+('RNG HERE'!N47-'RNG HERE'!AL$32)*Sheet2!P$16/'RNG HERE'!AL$33</f>
        <v>24.109375121012675</v>
      </c>
      <c r="BL47" s="7">
        <f ca="1">Sheet2!Q$15+('RNG HERE'!O47-'RNG HERE'!AM$32)*Sheet2!Q$16/'RNG HERE'!AM$33</f>
        <v>10.689737820454699</v>
      </c>
      <c r="BM47" s="7">
        <f ca="1">Sheet2!R$15+('RNG HERE'!P47-'RNG HERE'!AN$32)*Sheet2!R$16/'RNG HERE'!AN$33</f>
        <v>9.6485552566526422</v>
      </c>
      <c r="BN47" s="7">
        <f ca="1">Sheet2!S$15+('RNG HERE'!Q47-'RNG HERE'!AO$32)*Sheet2!S$16/'RNG HERE'!AO$33</f>
        <v>4.1147030934881368</v>
      </c>
      <c r="BO47" s="7">
        <f ca="1">Sheet2!T$15+('RNG HERE'!R47-'RNG HERE'!AP$32)*Sheet2!T$16/'RNG HERE'!AP$33</f>
        <v>15.189601173638327</v>
      </c>
      <c r="BP47" s="7">
        <f ca="1">Sheet2!U$15+('RNG HERE'!S47-'RNG HERE'!AQ$32)*Sheet2!U$16/'RNG HERE'!AQ$33</f>
        <v>23.514284034455919</v>
      </c>
      <c r="BQ47" s="7">
        <f ca="1">Sheet2!V$15+('RNG HERE'!T47-'RNG HERE'!AR$32)*Sheet2!V$16/'RNG HERE'!AR$33</f>
        <v>23.347701188508807</v>
      </c>
      <c r="BR47" s="7">
        <f ca="1">Sheet2!W$15+('RNG HERE'!U47-'RNG HERE'!AS$32)*Sheet2!W$16/'RNG HERE'!AS$33</f>
        <v>28.48861457350942</v>
      </c>
      <c r="BS47" s="7">
        <f ca="1">Sheet2!X$15+('RNG HERE'!V47-'RNG HERE'!AT$32)*Sheet2!X$16/'RNG HERE'!AT$33</f>
        <v>21.514966444709039</v>
      </c>
      <c r="BT47" s="7">
        <f ca="1">Sheet2!Y$15+('RNG HERE'!W47-'RNG HERE'!AU$32)*Sheet2!Y$16/'RNG HERE'!AU$33</f>
        <v>20.922774419361019</v>
      </c>
      <c r="BU47" s="7">
        <f ca="1">Sheet2!Z$15+('RNG HERE'!X47-'RNG HERE'!AV$32)*Sheet2!Z$16/'RNG HERE'!AV$33</f>
        <v>8.6626720273216495</v>
      </c>
    </row>
    <row r="48" spans="1:97" x14ac:dyDescent="0.3">
      <c r="A48" s="8" cm="1">
        <f t="array" aca="1" ref="A48" ca="1">[1]!UNIFORM_INV(RAND(),Sheet2!C$15-SQRT(3)*Sheet2!C$16,Sheet2!C$15+SQRT(3)*Sheet2!C$16)</f>
        <v>2.7686593248912561</v>
      </c>
      <c r="B48" s="8" cm="1">
        <f t="array" aca="1" ref="B48" ca="1">[1]!UNIFORM_INV(RAND(),Sheet2!D$15-SQRT(3)*Sheet2!D$16,Sheet2!D$15+SQRT(3)*Sheet2!D$16)</f>
        <v>6.588792762011658</v>
      </c>
      <c r="C48" s="8" cm="1">
        <f t="array" aca="1" ref="C48" ca="1">[1]!UNIFORM_INV(RAND(),Sheet2!E$15-SQRT(3)*Sheet2!E$16,Sheet2!E$15+SQRT(3)*Sheet2!E$16)</f>
        <v>17.300055203056466</v>
      </c>
      <c r="D48" s="8" cm="1">
        <f t="array" aca="1" ref="D48" ca="1">[1]!UNIFORM_INV(RAND(),Sheet2!F$15-SQRT(3)*Sheet2!F$16,Sheet2!F$15+SQRT(3)*Sheet2!F$16)</f>
        <v>20.332613431644585</v>
      </c>
      <c r="E48" s="8" cm="1">
        <f t="array" aca="1" ref="E48" ca="1">[1]!UNIFORM_INV(RAND(),Sheet2!G$15-SQRT(3)*Sheet2!G$16,Sheet2!G$15+SQRT(3)*Sheet2!G$16)</f>
        <v>18.308679146971503</v>
      </c>
      <c r="F48" s="8" cm="1">
        <f t="array" aca="1" ref="F48" ca="1">[1]!UNIFORM_INV(RAND(),Sheet2!H$15-SQRT(3)*Sheet2!H$16,Sheet2!H$15+SQRT(3)*Sheet2!H$16)</f>
        <v>35.764484205745241</v>
      </c>
      <c r="G48" s="8" cm="1">
        <f t="array" aca="1" ref="G48" ca="1">[1]!UNIFORM_INV(RAND(),Sheet2!I$15-SQRT(3)*Sheet2!I$16,Sheet2!I$15+SQRT(3)*Sheet2!I$16)</f>
        <v>11.844414246599651</v>
      </c>
      <c r="H48" s="8" cm="1">
        <f t="array" aca="1" ref="H48" ca="1">[1]!UNIFORM_INV(RAND(),Sheet2!J$15-SQRT(3)*Sheet2!J$16,Sheet2!J$15+SQRT(3)*Sheet2!J$16)</f>
        <v>23.051243592206372</v>
      </c>
      <c r="I48" s="8" cm="1">
        <f t="array" aca="1" ref="I48" ca="1">[1]!UNIFORM_INV(RAND(),Sheet2!K$15-SQRT(3)*Sheet2!K$16,Sheet2!K$15+SQRT(3)*Sheet2!K$16)</f>
        <v>23.678659887318474</v>
      </c>
      <c r="J48" s="8" cm="1">
        <f t="array" aca="1" ref="J48" ca="1">[1]!UNIFORM_INV(RAND(),Sheet2!L$15-SQRT(3)*Sheet2!L$16,Sheet2!L$15+SQRT(3)*Sheet2!L$16)</f>
        <v>23.931596342447413</v>
      </c>
      <c r="K48" s="8" cm="1">
        <f t="array" aca="1" ref="K48" ca="1">[1]!UNIFORM_INV(RAND(),Sheet2!M$15-SQRT(3)*Sheet2!M$16,Sheet2!M$15+SQRT(3)*Sheet2!M$16)</f>
        <v>17.737968739829682</v>
      </c>
      <c r="L48" s="8" cm="1">
        <f t="array" aca="1" ref="L48" ca="1">[1]!UNIFORM_INV(RAND(),Sheet2!N$15-SQRT(3)*Sheet2!N$16,Sheet2!N$15+SQRT(3)*Sheet2!N$16)</f>
        <v>7.9650304919929358</v>
      </c>
      <c r="M48" s="8" cm="1">
        <f t="array" aca="1" ref="M48" ca="1">[1]!UNIFORM_INV(RAND(),Sheet2!O$15-SQRT(3)*Sheet2!O$16,Sheet2!O$15+SQRT(3)*Sheet2!O$16)</f>
        <v>4.0734051504685942</v>
      </c>
      <c r="N48" s="8" cm="1">
        <f t="array" aca="1" ref="N48" ca="1">[1]!UNIFORM_INV(RAND(),Sheet2!P$15-SQRT(3)*Sheet2!P$16,Sheet2!P$15+SQRT(3)*Sheet2!P$16)</f>
        <v>25.721386422718233</v>
      </c>
      <c r="O48" s="8" cm="1">
        <f t="array" aca="1" ref="O48" ca="1">[1]!UNIFORM_INV(RAND(),Sheet2!Q$15-SQRT(3)*Sheet2!Q$16,Sheet2!Q$15+SQRT(3)*Sheet2!Q$16)</f>
        <v>10.47332745480716</v>
      </c>
      <c r="P48" s="8" cm="1">
        <f t="array" aca="1" ref="P48" ca="1">[1]!UNIFORM_INV(RAND(),Sheet2!R$15-SQRT(3)*Sheet2!R$16,Sheet2!R$15+SQRT(3)*Sheet2!R$16)</f>
        <v>10.893021423392328</v>
      </c>
      <c r="Q48" s="8" cm="1">
        <f t="array" aca="1" ref="Q48" ca="1">[1]!UNIFORM_INV(RAND(),Sheet2!S$15-SQRT(3)*Sheet2!S$16,Sheet2!S$15+SQRT(3)*Sheet2!S$16)</f>
        <v>4.2915037768513633</v>
      </c>
      <c r="R48" s="8" cm="1">
        <f t="array" aca="1" ref="R48" ca="1">[1]!UNIFORM_INV(RAND(),Sheet2!T$15-SQRT(3)*Sheet2!T$16,Sheet2!T$15+SQRT(3)*Sheet2!T$16)</f>
        <v>19.66007160283413</v>
      </c>
      <c r="S48" s="8" cm="1">
        <f t="array" aca="1" ref="S48" ca="1">[1]!UNIFORM_INV(RAND(),Sheet2!U$15-SQRT(3)*Sheet2!U$16,Sheet2!U$15+SQRT(3)*Sheet2!U$16)</f>
        <v>23.936832727117846</v>
      </c>
      <c r="T48" s="8" cm="1">
        <f t="array" aca="1" ref="T48" ca="1">[1]!UNIFORM_INV(RAND(),Sheet2!V$15-SQRT(3)*Sheet2!V$16,Sheet2!V$15+SQRT(3)*Sheet2!V$16)</f>
        <v>24.005605677385915</v>
      </c>
      <c r="U48" s="8" cm="1">
        <f t="array" aca="1" ref="U48" ca="1">[1]!UNIFORM_INV(RAND(),Sheet2!W$15-SQRT(3)*Sheet2!W$16,Sheet2!W$15+SQRT(3)*Sheet2!W$16)</f>
        <v>26.505622732028353</v>
      </c>
      <c r="V48" s="8" cm="1">
        <f t="array" aca="1" ref="V48" ca="1">[1]!UNIFORM_INV(RAND(),Sheet2!X$15-SQRT(3)*Sheet2!X$16,Sheet2!X$15+SQRT(3)*Sheet2!X$16)</f>
        <v>22.004722447212433</v>
      </c>
      <c r="W48" s="8" cm="1">
        <f t="array" aca="1" ref="W48" ca="1">[1]!UNIFORM_INV(RAND(),Sheet2!Y$15-SQRT(3)*Sheet2!Y$16,Sheet2!Y$15+SQRT(3)*Sheet2!Y$16)</f>
        <v>20.174679066810349</v>
      </c>
      <c r="X48" s="8" cm="1">
        <f t="array" aca="1" ref="X48" ca="1">[1]!UNIFORM_INV(RAND(),Sheet2!Z$15-SQRT(3)*Sheet2!Z$16,Sheet2!Z$15+SQRT(3)*Sheet2!Z$16)</f>
        <v>8.1972123211062762</v>
      </c>
      <c r="AX48" s="7">
        <f ca="1">Sheet2!C$15+('RNG HERE'!A48-'RNG HERE'!Y$32)*Sheet2!C$16/'RNG HERE'!Y$33</f>
        <v>2.6208609314869689</v>
      </c>
      <c r="AY48" s="7">
        <f ca="1">Sheet2!D$15+('RNG HERE'!B48-'RNG HERE'!Z$32)*Sheet2!D$16/'RNG HERE'!Z$33</f>
        <v>5.5700900653959469</v>
      </c>
      <c r="AZ48" s="7">
        <f ca="1">Sheet2!E$15+('RNG HERE'!C48-'RNG HERE'!AA$32)*Sheet2!E$16/'RNG HERE'!AA$33</f>
        <v>17.377537081181039</v>
      </c>
      <c r="BA48" s="7">
        <f ca="1">Sheet2!F$15+('RNG HERE'!D48-'RNG HERE'!AB$32)*Sheet2!F$16/'RNG HERE'!AB$33</f>
        <v>20.183810764919102</v>
      </c>
      <c r="BB48" s="7">
        <f ca="1">Sheet2!G$15+('RNG HERE'!E48-'RNG HERE'!AC$32)*Sheet2!G$16/'RNG HERE'!AC$33</f>
        <v>17.62804549840595</v>
      </c>
      <c r="BC48" s="7">
        <f ca="1">Sheet2!H$15+('RNG HERE'!F48-'RNG HERE'!AD$32)*Sheet2!H$16/'RNG HERE'!AD$33</f>
        <v>34.376835488992491</v>
      </c>
      <c r="BD48" s="7">
        <f ca="1">Sheet2!I$15+('RNG HERE'!G48-'RNG HERE'!AE$32)*Sheet2!I$16/'RNG HERE'!AE$33</f>
        <v>11.735978701722889</v>
      </c>
      <c r="BE48" s="7">
        <f ca="1">Sheet2!J$15+('RNG HERE'!H48-'RNG HERE'!AF$32)*Sheet2!J$16/'RNG HERE'!AF$33</f>
        <v>23.107947958014353</v>
      </c>
      <c r="BF48" s="7">
        <f ca="1">Sheet2!K$15+('RNG HERE'!I48-'RNG HERE'!AG$32)*Sheet2!K$16/'RNG HERE'!AG$33</f>
        <v>24.020282956328661</v>
      </c>
      <c r="BG48" s="7">
        <f ca="1">Sheet2!L$15+('RNG HERE'!J48-'RNG HERE'!AH$32)*Sheet2!L$16/'RNG HERE'!AH$33</f>
        <v>23.683876425144909</v>
      </c>
      <c r="BH48" s="7">
        <f ca="1">Sheet2!M$15+('RNG HERE'!K48-'RNG HERE'!AI$32)*Sheet2!M$16/'RNG HERE'!AI$33</f>
        <v>17.796640056065971</v>
      </c>
      <c r="BI48" s="7">
        <f ca="1">Sheet2!N$15+('RNG HERE'!L48-'RNG HERE'!AJ$32)*Sheet2!N$16/'RNG HERE'!AJ$33</f>
        <v>7.8063727496493964</v>
      </c>
      <c r="BJ48" s="7">
        <f ca="1">Sheet2!O$15+('RNG HERE'!M48-'RNG HERE'!AK$32)*Sheet2!O$16/'RNG HERE'!AK$33</f>
        <v>4.2401216956932748</v>
      </c>
      <c r="BK48" s="7">
        <f ca="1">Sheet2!P$15+('RNG HERE'!N48-'RNG HERE'!AL$32)*Sheet2!P$16/'RNG HERE'!AL$33</f>
        <v>25.734268528095431</v>
      </c>
      <c r="BL48" s="7">
        <f ca="1">Sheet2!Q$15+('RNG HERE'!O48-'RNG HERE'!AM$32)*Sheet2!Q$16/'RNG HERE'!AM$33</f>
        <v>10.392318672455421</v>
      </c>
      <c r="BM48" s="7">
        <f ca="1">Sheet2!R$15+('RNG HERE'!P48-'RNG HERE'!AN$32)*Sheet2!R$16/'RNG HERE'!AN$33</f>
        <v>10.836477128431046</v>
      </c>
      <c r="BN48" s="7">
        <f ca="1">Sheet2!S$15+('RNG HERE'!Q48-'RNG HERE'!AO$32)*Sheet2!S$16/'RNG HERE'!AO$33</f>
        <v>4.495484623395388</v>
      </c>
      <c r="BO48" s="7">
        <f ca="1">Sheet2!T$15+('RNG HERE'!R48-'RNG HERE'!AP$32)*Sheet2!T$16/'RNG HERE'!AP$33</f>
        <v>19.454306137114266</v>
      </c>
      <c r="BP48" s="7">
        <f ca="1">Sheet2!U$15+('RNG HERE'!S48-'RNG HERE'!AQ$32)*Sheet2!U$16/'RNG HERE'!AQ$33</f>
        <v>23.962293254797746</v>
      </c>
      <c r="BQ48" s="7">
        <f ca="1">Sheet2!V$15+('RNG HERE'!T48-'RNG HERE'!AR$32)*Sheet2!V$16/'RNG HERE'!AR$33</f>
        <v>23.835104518154658</v>
      </c>
      <c r="BR48" s="7">
        <f ca="1">Sheet2!W$15+('RNG HERE'!U48-'RNG HERE'!AS$32)*Sheet2!W$16/'RNG HERE'!AS$33</f>
        <v>26.635134397037522</v>
      </c>
      <c r="BS48" s="7">
        <f ca="1">Sheet2!X$15+('RNG HERE'!V48-'RNG HERE'!AT$32)*Sheet2!X$16/'RNG HERE'!AT$33</f>
        <v>22.050428234963011</v>
      </c>
      <c r="BT48" s="7">
        <f ca="1">Sheet2!Y$15+('RNG HERE'!W48-'RNG HERE'!AU$32)*Sheet2!Y$16/'RNG HERE'!AU$33</f>
        <v>19.931261417990257</v>
      </c>
      <c r="BU48" s="7">
        <f ca="1">Sheet2!Z$15+('RNG HERE'!X48-'RNG HERE'!AV$32)*Sheet2!Z$16/'RNG HERE'!AV$33</f>
        <v>8.3413862543627513</v>
      </c>
    </row>
    <row r="49" spans="1:97" x14ac:dyDescent="0.3">
      <c r="A49" s="8" cm="1">
        <f t="array" aca="1" ref="A49" ca="1">[1]!UNIFORM_INV(RAND(),Sheet2!C$15-SQRT(3)*Sheet2!C$16,Sheet2!C$15+SQRT(3)*Sheet2!C$16)</f>
        <v>5.6510856848556683</v>
      </c>
      <c r="B49" s="8" cm="1">
        <f t="array" aca="1" ref="B49" ca="1">[1]!UNIFORM_INV(RAND(),Sheet2!D$15-SQRT(3)*Sheet2!D$16,Sheet2!D$15+SQRT(3)*Sheet2!D$16)</f>
        <v>11.032546798015822</v>
      </c>
      <c r="C49" s="8" cm="1">
        <f t="array" aca="1" ref="C49" ca="1">[1]!UNIFORM_INV(RAND(),Sheet2!E$15-SQRT(3)*Sheet2!E$16,Sheet2!E$15+SQRT(3)*Sheet2!E$16)</f>
        <v>15.913100251262668</v>
      </c>
      <c r="D49" s="8" cm="1">
        <f t="array" aca="1" ref="D49" ca="1">[1]!UNIFORM_INV(RAND(),Sheet2!F$15-SQRT(3)*Sheet2!F$16,Sheet2!F$15+SQRT(3)*Sheet2!F$16)</f>
        <v>20.444698495248002</v>
      </c>
      <c r="E49" s="8" cm="1">
        <f t="array" aca="1" ref="E49" ca="1">[1]!UNIFORM_INV(RAND(),Sheet2!G$15-SQRT(3)*Sheet2!G$16,Sheet2!G$15+SQRT(3)*Sheet2!G$16)</f>
        <v>20.516960431083131</v>
      </c>
      <c r="F49" s="8" cm="1">
        <f t="array" aca="1" ref="F49" ca="1">[1]!UNIFORM_INV(RAND(),Sheet2!H$15-SQRT(3)*Sheet2!H$16,Sheet2!H$15+SQRT(3)*Sheet2!H$16)</f>
        <v>34.984255138054429</v>
      </c>
      <c r="G49" s="8" cm="1">
        <f t="array" aca="1" ref="G49" ca="1">[1]!UNIFORM_INV(RAND(),Sheet2!I$15-SQRT(3)*Sheet2!I$16,Sheet2!I$15+SQRT(3)*Sheet2!I$16)</f>
        <v>13.05340879797336</v>
      </c>
      <c r="H49" s="8" cm="1">
        <f t="array" aca="1" ref="H49" ca="1">[1]!UNIFORM_INV(RAND(),Sheet2!J$15-SQRT(3)*Sheet2!J$16,Sheet2!J$15+SQRT(3)*Sheet2!J$16)</f>
        <v>22.316884281535568</v>
      </c>
      <c r="I49" s="8" cm="1">
        <f t="array" aca="1" ref="I49" ca="1">[1]!UNIFORM_INV(RAND(),Sheet2!K$15-SQRT(3)*Sheet2!K$16,Sheet2!K$15+SQRT(3)*Sheet2!K$16)</f>
        <v>24.421797399987632</v>
      </c>
      <c r="J49" s="8" cm="1">
        <f t="array" aca="1" ref="J49" ca="1">[1]!UNIFORM_INV(RAND(),Sheet2!L$15-SQRT(3)*Sheet2!L$16,Sheet2!L$15+SQRT(3)*Sheet2!L$16)</f>
        <v>23.683802421686362</v>
      </c>
      <c r="K49" s="8" cm="1">
        <f t="array" aca="1" ref="K49" ca="1">[1]!UNIFORM_INV(RAND(),Sheet2!M$15-SQRT(3)*Sheet2!M$16,Sheet2!M$15+SQRT(3)*Sheet2!M$16)</f>
        <v>17.345835205917194</v>
      </c>
      <c r="L49" s="8" cm="1">
        <f t="array" aca="1" ref="L49" ca="1">[1]!UNIFORM_INV(RAND(),Sheet2!N$15-SQRT(3)*Sheet2!N$16,Sheet2!N$15+SQRT(3)*Sheet2!N$16)</f>
        <v>9.2774876480503305</v>
      </c>
      <c r="M49" s="8" cm="1">
        <f t="array" aca="1" ref="M49" ca="1">[1]!UNIFORM_INV(RAND(),Sheet2!O$15-SQRT(3)*Sheet2!O$16,Sheet2!O$15+SQRT(3)*Sheet2!O$16)</f>
        <v>6.4618631810158291</v>
      </c>
      <c r="N49" s="8" cm="1">
        <f t="array" aca="1" ref="N49" ca="1">[1]!UNIFORM_INV(RAND(),Sheet2!P$15-SQRT(3)*Sheet2!P$16,Sheet2!P$15+SQRT(3)*Sheet2!P$16)</f>
        <v>21.10037247886374</v>
      </c>
      <c r="O49" s="8" cm="1">
        <f t="array" aca="1" ref="O49" ca="1">[1]!UNIFORM_INV(RAND(),Sheet2!Q$15-SQRT(3)*Sheet2!Q$16,Sheet2!Q$15+SQRT(3)*Sheet2!Q$16)</f>
        <v>10.273985992671818</v>
      </c>
      <c r="P49" s="8" cm="1">
        <f t="array" aca="1" ref="P49" ca="1">[1]!UNIFORM_INV(RAND(),Sheet2!R$15-SQRT(3)*Sheet2!R$16,Sheet2!R$15+SQRT(3)*Sheet2!R$16)</f>
        <v>8.2534059738965784</v>
      </c>
      <c r="Q49" s="8" cm="1">
        <f t="array" aca="1" ref="Q49" ca="1">[1]!UNIFORM_INV(RAND(),Sheet2!S$15-SQRT(3)*Sheet2!S$16,Sheet2!S$15+SQRT(3)*Sheet2!S$16)</f>
        <v>4.7689483038786769</v>
      </c>
      <c r="R49" s="8" cm="1">
        <f t="array" aca="1" ref="R49" ca="1">[1]!UNIFORM_INV(RAND(),Sheet2!T$15-SQRT(3)*Sheet2!T$16,Sheet2!T$15+SQRT(3)*Sheet2!T$16)</f>
        <v>17.353068748087338</v>
      </c>
      <c r="S49" s="8" cm="1">
        <f t="array" aca="1" ref="S49" ca="1">[1]!UNIFORM_INV(RAND(),Sheet2!U$15-SQRT(3)*Sheet2!U$16,Sheet2!U$15+SQRT(3)*Sheet2!U$16)</f>
        <v>23.586401134053833</v>
      </c>
      <c r="T49" s="8" cm="1">
        <f t="array" aca="1" ref="T49" ca="1">[1]!UNIFORM_INV(RAND(),Sheet2!V$15-SQRT(3)*Sheet2!V$16,Sheet2!V$15+SQRT(3)*Sheet2!V$16)</f>
        <v>21.273016047408102</v>
      </c>
      <c r="U49" s="8" cm="1">
        <f t="array" aca="1" ref="U49" ca="1">[1]!UNIFORM_INV(RAND(),Sheet2!W$15-SQRT(3)*Sheet2!W$16,Sheet2!W$15+SQRT(3)*Sheet2!W$16)</f>
        <v>26.123645897330576</v>
      </c>
      <c r="V49" s="8" cm="1">
        <f t="array" aca="1" ref="V49" ca="1">[1]!UNIFORM_INV(RAND(),Sheet2!X$15-SQRT(3)*Sheet2!X$16,Sheet2!X$15+SQRT(3)*Sheet2!X$16)</f>
        <v>23.309280040856216</v>
      </c>
      <c r="W49" s="8" cm="1">
        <f t="array" aca="1" ref="W49" ca="1">[1]!UNIFORM_INV(RAND(),Sheet2!Y$15-SQRT(3)*Sheet2!Y$16,Sheet2!Y$15+SQRT(3)*Sheet2!Y$16)</f>
        <v>22.813619654300982</v>
      </c>
      <c r="X49" s="8" cm="1">
        <f t="array" aca="1" ref="X49" ca="1">[1]!UNIFORM_INV(RAND(),Sheet2!Z$15-SQRT(3)*Sheet2!Z$16,Sheet2!Z$15+SQRT(3)*Sheet2!Z$16)</f>
        <v>7.7077191903529432</v>
      </c>
      <c r="AX49" s="7">
        <f ca="1">Sheet2!C$15+('RNG HERE'!A49-'RNG HERE'!Y$32)*Sheet2!C$16/'RNG HERE'!Y$33</f>
        <v>5.5454271270672244</v>
      </c>
      <c r="AY49" s="7">
        <f ca="1">Sheet2!D$15+('RNG HERE'!B49-'RNG HERE'!Z$32)*Sheet2!D$16/'RNG HERE'!Z$33</f>
        <v>10.850029880318921</v>
      </c>
      <c r="AZ49" s="7">
        <f ca="1">Sheet2!E$15+('RNG HERE'!C49-'RNG HERE'!AA$32)*Sheet2!E$16/'RNG HERE'!AA$33</f>
        <v>15.908140981017164</v>
      </c>
      <c r="BA49" s="7">
        <f ca="1">Sheet2!F$15+('RNG HERE'!D49-'RNG HERE'!AB$32)*Sheet2!F$16/'RNG HERE'!AB$33</f>
        <v>20.287673567107149</v>
      </c>
      <c r="BB49" s="7">
        <f ca="1">Sheet2!G$15+('RNG HERE'!E49-'RNG HERE'!AC$32)*Sheet2!G$16/'RNG HERE'!AC$33</f>
        <v>20.165718818023816</v>
      </c>
      <c r="BC49" s="7">
        <f ca="1">Sheet2!H$15+('RNG HERE'!F49-'RNG HERE'!AD$32)*Sheet2!H$16/'RNG HERE'!AD$33</f>
        <v>33.557128359127816</v>
      </c>
      <c r="BD49" s="7">
        <f ca="1">Sheet2!I$15+('RNG HERE'!G49-'RNG HERE'!AE$32)*Sheet2!I$16/'RNG HERE'!AE$33</f>
        <v>13.117849227260477</v>
      </c>
      <c r="BE49" s="7">
        <f ca="1">Sheet2!J$15+('RNG HERE'!H49-'RNG HERE'!AF$32)*Sheet2!J$16/'RNG HERE'!AF$33</f>
        <v>22.382860490729811</v>
      </c>
      <c r="BF49" s="7">
        <f ca="1">Sheet2!K$15+('RNG HERE'!I49-'RNG HERE'!AG$32)*Sheet2!K$16/'RNG HERE'!AG$33</f>
        <v>24.849438952038451</v>
      </c>
      <c r="BG49" s="7">
        <f ca="1">Sheet2!L$15+('RNG HERE'!J49-'RNG HERE'!AH$32)*Sheet2!L$16/'RNG HERE'!AH$33</f>
        <v>23.417048539209365</v>
      </c>
      <c r="BH49" s="7">
        <f ca="1">Sheet2!M$15+('RNG HERE'!K49-'RNG HERE'!AI$32)*Sheet2!M$16/'RNG HERE'!AI$33</f>
        <v>17.397809053027423</v>
      </c>
      <c r="BI49" s="7">
        <f ca="1">Sheet2!N$15+('RNG HERE'!L49-'RNG HERE'!AJ$32)*Sheet2!N$16/'RNG HERE'!AJ$33</f>
        <v>9.1737911027060459</v>
      </c>
      <c r="BJ49" s="7">
        <f ca="1">Sheet2!O$15+('RNG HERE'!M49-'RNG HERE'!AK$32)*Sheet2!O$16/'RNG HERE'!AK$33</f>
        <v>6.7064703265733927</v>
      </c>
      <c r="BK49" s="7">
        <f ca="1">Sheet2!P$15+('RNG HERE'!N49-'RNG HERE'!AL$32)*Sheet2!P$16/'RNG HERE'!AL$33</f>
        <v>20.55816628269033</v>
      </c>
      <c r="BL49" s="7">
        <f ca="1">Sheet2!Q$15+('RNG HERE'!O49-'RNG HERE'!AM$32)*Sheet2!Q$16/'RNG HERE'!AM$33</f>
        <v>10.18638090391952</v>
      </c>
      <c r="BM49" s="7">
        <f ca="1">Sheet2!R$15+('RNG HERE'!P49-'RNG HERE'!AN$32)*Sheet2!R$16/'RNG HERE'!AN$33</f>
        <v>8.0623352017179855</v>
      </c>
      <c r="BN49" s="7">
        <f ca="1">Sheet2!S$15+('RNG HERE'!Q49-'RNG HERE'!AO$32)*Sheet2!S$16/'RNG HERE'!AO$33</f>
        <v>4.9876735602540654</v>
      </c>
      <c r="BO49" s="7">
        <f ca="1">Sheet2!T$15+('RNG HERE'!R49-'RNG HERE'!AP$32)*Sheet2!T$16/'RNG HERE'!AP$33</f>
        <v>16.838827644148779</v>
      </c>
      <c r="BP49" s="7">
        <f ca="1">Sheet2!U$15+('RNG HERE'!S49-'RNG HERE'!AQ$32)*Sheet2!U$16/'RNG HERE'!AQ$33</f>
        <v>23.575669993978469</v>
      </c>
      <c r="BQ49" s="7">
        <f ca="1">Sheet2!V$15+('RNG HERE'!T49-'RNG HERE'!AR$32)*Sheet2!V$16/'RNG HERE'!AR$33</f>
        <v>21.033146746970662</v>
      </c>
      <c r="BR49" s="7">
        <f ca="1">Sheet2!W$15+('RNG HERE'!U49-'RNG HERE'!AS$32)*Sheet2!W$16/'RNG HERE'!AS$33</f>
        <v>26.191719249601128</v>
      </c>
      <c r="BS49" s="7">
        <f ca="1">Sheet2!X$15+('RNG HERE'!V49-'RNG HERE'!AT$32)*Sheet2!X$16/'RNG HERE'!AT$33</f>
        <v>23.259869964601982</v>
      </c>
      <c r="BT49" s="7">
        <f ca="1">Sheet2!Y$15+('RNG HERE'!W49-'RNG HERE'!AU$32)*Sheet2!Y$16/'RNG HERE'!AU$33</f>
        <v>22.933852909824214</v>
      </c>
      <c r="BU49" s="7">
        <f ca="1">Sheet2!Z$15+('RNG HERE'!X49-'RNG HERE'!AV$32)*Sheet2!Z$16/'RNG HERE'!AV$33</f>
        <v>7.8437910575923588</v>
      </c>
    </row>
    <row r="50" spans="1:97" x14ac:dyDescent="0.3">
      <c r="A50" s="8" cm="1">
        <f t="array" aca="1" ref="A50" ca="1">[1]!UNIFORM_INV(RAND(),Sheet2!C$15-SQRT(3)*Sheet2!C$16,Sheet2!C$15+SQRT(3)*Sheet2!C$16)</f>
        <v>4.121494246109136</v>
      </c>
      <c r="B50" s="8" cm="1">
        <f t="array" aca="1" ref="B50" ca="1">[1]!UNIFORM_INV(RAND(),Sheet2!D$15-SQRT(3)*Sheet2!D$16,Sheet2!D$15+SQRT(3)*Sheet2!D$16)</f>
        <v>12.35575925926239</v>
      </c>
      <c r="C50" s="8" cm="1">
        <f t="array" aca="1" ref="C50" ca="1">[1]!UNIFORM_INV(RAND(),Sheet2!E$15-SQRT(3)*Sheet2!E$16,Sheet2!E$15+SQRT(3)*Sheet2!E$16)</f>
        <v>15.888525189843136</v>
      </c>
      <c r="D50" s="8" cm="1">
        <f t="array" aca="1" ref="D50" ca="1">[1]!UNIFORM_INV(RAND(),Sheet2!F$15-SQRT(3)*Sheet2!F$16,Sheet2!F$15+SQRT(3)*Sheet2!F$16)</f>
        <v>14.435288187806735</v>
      </c>
      <c r="E50" s="8" cm="1">
        <f t="array" aca="1" ref="E50" ca="1">[1]!UNIFORM_INV(RAND(),Sheet2!G$15-SQRT(3)*Sheet2!G$16,Sheet2!G$15+SQRT(3)*Sheet2!G$16)</f>
        <v>25.401911200309776</v>
      </c>
      <c r="F50" s="8" cm="1">
        <f t="array" aca="1" ref="F50" ca="1">[1]!UNIFORM_INV(RAND(),Sheet2!H$15-SQRT(3)*Sheet2!H$16,Sheet2!H$15+SQRT(3)*Sheet2!H$16)</f>
        <v>36.045783435372684</v>
      </c>
      <c r="G50" s="8" cm="1">
        <f t="array" aca="1" ref="G50" ca="1">[1]!UNIFORM_INV(RAND(),Sheet2!I$15-SQRT(3)*Sheet2!I$16,Sheet2!I$15+SQRT(3)*Sheet2!I$16)</f>
        <v>12.752021069343639</v>
      </c>
      <c r="H50" s="8" cm="1">
        <f t="array" aca="1" ref="H50" ca="1">[1]!UNIFORM_INV(RAND(),Sheet2!J$15-SQRT(3)*Sheet2!J$16,Sheet2!J$15+SQRT(3)*Sheet2!J$16)</f>
        <v>21.523839151906927</v>
      </c>
      <c r="I50" s="8" cm="1">
        <f t="array" aca="1" ref="I50" ca="1">[1]!UNIFORM_INV(RAND(),Sheet2!K$15-SQRT(3)*Sheet2!K$16,Sheet2!K$15+SQRT(3)*Sheet2!K$16)</f>
        <v>23.627420543810974</v>
      </c>
      <c r="J50" s="8" cm="1">
        <f t="array" aca="1" ref="J50" ca="1">[1]!UNIFORM_INV(RAND(),Sheet2!L$15-SQRT(3)*Sheet2!L$16,Sheet2!L$15+SQRT(3)*Sheet2!L$16)</f>
        <v>25.026141401858105</v>
      </c>
      <c r="K50" s="8" cm="1">
        <f t="array" aca="1" ref="K50" ca="1">[1]!UNIFORM_INV(RAND(),Sheet2!M$15-SQRT(3)*Sheet2!M$16,Sheet2!M$15+SQRT(3)*Sheet2!M$16)</f>
        <v>16.258566806739989</v>
      </c>
      <c r="L50" s="8" cm="1">
        <f t="array" aca="1" ref="L50" ca="1">[1]!UNIFORM_INV(RAND(),Sheet2!N$15-SQRT(3)*Sheet2!N$16,Sheet2!N$15+SQRT(3)*Sheet2!N$16)</f>
        <v>8.7781684132967648</v>
      </c>
      <c r="M50" s="8" cm="1">
        <f t="array" aca="1" ref="M50" ca="1">[1]!UNIFORM_INV(RAND(),Sheet2!O$15-SQRT(3)*Sheet2!O$16,Sheet2!O$15+SQRT(3)*Sheet2!O$16)</f>
        <v>4.6529356895790448</v>
      </c>
      <c r="N50" s="8" cm="1">
        <f t="array" aca="1" ref="N50" ca="1">[1]!UNIFORM_INV(RAND(),Sheet2!P$15-SQRT(3)*Sheet2!P$16,Sheet2!P$15+SQRT(3)*Sheet2!P$16)</f>
        <v>23.185827203216117</v>
      </c>
      <c r="O50" s="8" cm="1">
        <f t="array" aca="1" ref="O50" ca="1">[1]!UNIFORM_INV(RAND(),Sheet2!Q$15-SQRT(3)*Sheet2!Q$16,Sheet2!Q$15+SQRT(3)*Sheet2!Q$16)</f>
        <v>7.955217121581839</v>
      </c>
      <c r="P50" s="8" cm="1">
        <f t="array" aca="1" ref="P50" ca="1">[1]!UNIFORM_INV(RAND(),Sheet2!R$15-SQRT(3)*Sheet2!R$16,Sheet2!R$15+SQRT(3)*Sheet2!R$16)</f>
        <v>10.937786986725497</v>
      </c>
      <c r="Q50" s="8" cm="1">
        <f t="array" aca="1" ref="Q50" ca="1">[1]!UNIFORM_INV(RAND(),Sheet2!S$15-SQRT(3)*Sheet2!S$16,Sheet2!S$15+SQRT(3)*Sheet2!S$16)</f>
        <v>3.0312420984358091</v>
      </c>
      <c r="R50" s="8" cm="1">
        <f t="array" aca="1" ref="R50" ca="1">[1]!UNIFORM_INV(RAND(),Sheet2!T$15-SQRT(3)*Sheet2!T$16,Sheet2!T$15+SQRT(3)*Sheet2!T$16)</f>
        <v>17.292414717846107</v>
      </c>
      <c r="S50" s="8" cm="1">
        <f t="array" aca="1" ref="S50" ca="1">[1]!UNIFORM_INV(RAND(),Sheet2!U$15-SQRT(3)*Sheet2!U$16,Sheet2!U$15+SQRT(3)*Sheet2!U$16)</f>
        <v>23.881402784406934</v>
      </c>
      <c r="T50" s="8" cm="1">
        <f t="array" aca="1" ref="T50" ca="1">[1]!UNIFORM_INV(RAND(),Sheet2!V$15-SQRT(3)*Sheet2!V$16,Sheet2!V$15+SQRT(3)*Sheet2!V$16)</f>
        <v>22.211191608129131</v>
      </c>
      <c r="U50" s="8" cm="1">
        <f t="array" aca="1" ref="U50" ca="1">[1]!UNIFORM_INV(RAND(),Sheet2!W$15-SQRT(3)*Sheet2!W$16,Sheet2!W$15+SQRT(3)*Sheet2!W$16)</f>
        <v>25.593799400825443</v>
      </c>
      <c r="V50" s="8" cm="1">
        <f t="array" aca="1" ref="V50" ca="1">[1]!UNIFORM_INV(RAND(),Sheet2!X$15-SQRT(3)*Sheet2!X$16,Sheet2!X$15+SQRT(3)*Sheet2!X$16)</f>
        <v>20.581909375972657</v>
      </c>
      <c r="W50" s="8" cm="1">
        <f t="array" aca="1" ref="W50" ca="1">[1]!UNIFORM_INV(RAND(),Sheet2!Y$15-SQRT(3)*Sheet2!Y$16,Sheet2!Y$15+SQRT(3)*Sheet2!Y$16)</f>
        <v>21.636364011447512</v>
      </c>
      <c r="X50" s="8" cm="1">
        <f t="array" aca="1" ref="X50" ca="1">[1]!UNIFORM_INV(RAND(),Sheet2!Z$15-SQRT(3)*Sheet2!Z$16,Sheet2!Z$15+SQRT(3)*Sheet2!Z$16)</f>
        <v>8.4859200533157697</v>
      </c>
      <c r="AX50" s="7">
        <f ca="1">Sheet2!C$15+('RNG HERE'!A50-'RNG HERE'!Y$32)*Sheet2!C$16/'RNG HERE'!Y$33</f>
        <v>3.9934737183208839</v>
      </c>
      <c r="AY50" s="7">
        <f ca="1">Sheet2!D$15+('RNG HERE'!B50-'RNG HERE'!Z$32)*Sheet2!D$16/'RNG HERE'!Z$33</f>
        <v>12.42223259476534</v>
      </c>
      <c r="AZ50" s="7">
        <f ca="1">Sheet2!E$15+('RNG HERE'!C50-'RNG HERE'!AA$32)*Sheet2!E$16/'RNG HERE'!AA$33</f>
        <v>15.882105168271808</v>
      </c>
      <c r="BA50" s="7">
        <f ca="1">Sheet2!F$15+('RNG HERE'!D50-'RNG HERE'!AB$32)*Sheet2!F$16/'RNG HERE'!AB$33</f>
        <v>14.719097577027005</v>
      </c>
      <c r="BB50" s="7">
        <f ca="1">Sheet2!G$15+('RNG HERE'!E50-'RNG HERE'!AC$32)*Sheet2!G$16/'RNG HERE'!AC$33</f>
        <v>25.779319460253689</v>
      </c>
      <c r="BC50" s="7">
        <f ca="1">Sheet2!H$15+('RNG HERE'!F50-'RNG HERE'!AD$32)*Sheet2!H$16/'RNG HERE'!AD$33</f>
        <v>34.672367908508079</v>
      </c>
      <c r="BD50" s="7">
        <f ca="1">Sheet2!I$15+('RNG HERE'!G50-'RNG HERE'!AE$32)*Sheet2!I$16/'RNG HERE'!AE$33</f>
        <v>12.773365607810819</v>
      </c>
      <c r="BE50" s="7">
        <f ca="1">Sheet2!J$15+('RNG HERE'!H50-'RNG HERE'!AF$32)*Sheet2!J$16/'RNG HERE'!AF$33</f>
        <v>21.599828157471162</v>
      </c>
      <c r="BF50" s="7">
        <f ca="1">Sheet2!K$15+('RNG HERE'!I50-'RNG HERE'!AG$32)*Sheet2!K$16/'RNG HERE'!AG$33</f>
        <v>23.963112637025468</v>
      </c>
      <c r="BG50" s="7">
        <f ca="1">Sheet2!L$15+('RNG HERE'!J50-'RNG HERE'!AH$32)*Sheet2!L$16/'RNG HERE'!AH$33</f>
        <v>24.862497528385688</v>
      </c>
      <c r="BH50" s="7">
        <f ca="1">Sheet2!M$15+('RNG HERE'!K50-'RNG HERE'!AI$32)*Sheet2!M$16/'RNG HERE'!AI$33</f>
        <v>16.291970585479437</v>
      </c>
      <c r="BI50" s="7">
        <f ca="1">Sheet2!N$15+('RNG HERE'!L50-'RNG HERE'!AJ$32)*Sheet2!N$16/'RNG HERE'!AJ$33</f>
        <v>8.6535620937170705</v>
      </c>
      <c r="BJ50" s="7">
        <f ca="1">Sheet2!O$15+('RNG HERE'!M50-'RNG HERE'!AK$32)*Sheet2!O$16/'RNG HERE'!AK$33</f>
        <v>4.8385514497052364</v>
      </c>
      <c r="BK50" s="7">
        <f ca="1">Sheet2!P$15+('RNG HERE'!N50-'RNG HERE'!AL$32)*Sheet2!P$16/'RNG HERE'!AL$33</f>
        <v>22.894131292223943</v>
      </c>
      <c r="BL50" s="7">
        <f ca="1">Sheet2!Q$15+('RNG HERE'!O50-'RNG HERE'!AM$32)*Sheet2!Q$16/'RNG HERE'!AM$33</f>
        <v>7.7908828376990211</v>
      </c>
      <c r="BM50" s="7">
        <f ca="1">Sheet2!R$15+('RNG HERE'!P50-'RNG HERE'!AN$32)*Sheet2!R$16/'RNG HERE'!AN$33</f>
        <v>10.883524142850966</v>
      </c>
      <c r="BN50" s="7">
        <f ca="1">Sheet2!S$15+('RNG HERE'!Q50-'RNG HERE'!AO$32)*Sheet2!S$16/'RNG HERE'!AO$33</f>
        <v>3.19630362843218</v>
      </c>
      <c r="BO50" s="7">
        <f ca="1">Sheet2!T$15+('RNG HERE'!R50-'RNG HERE'!AP$32)*Sheet2!T$16/'RNG HERE'!AP$33</f>
        <v>16.770063398243661</v>
      </c>
      <c r="BP50" s="7">
        <f ca="1">Sheet2!U$15+('RNG HERE'!S50-'RNG HERE'!AQ$32)*Sheet2!U$16/'RNG HERE'!AQ$33</f>
        <v>23.90113865109738</v>
      </c>
      <c r="BQ50" s="7">
        <f ca="1">Sheet2!V$15+('RNG HERE'!T50-'RNG HERE'!AR$32)*Sheet2!V$16/'RNG HERE'!AR$33</f>
        <v>21.99513835897811</v>
      </c>
      <c r="BR50" s="7">
        <f ca="1">Sheet2!W$15+('RNG HERE'!U50-'RNG HERE'!AS$32)*Sheet2!W$16/'RNG HERE'!AS$33</f>
        <v>25.576650635420986</v>
      </c>
      <c r="BS50" s="7">
        <f ca="1">Sheet2!X$15+('RNG HERE'!V50-'RNG HERE'!AT$32)*Sheet2!X$16/'RNG HERE'!AT$33</f>
        <v>20.731353086255513</v>
      </c>
      <c r="BT50" s="7">
        <f ca="1">Sheet2!Y$15+('RNG HERE'!W50-'RNG HERE'!AU$32)*Sheet2!Y$16/'RNG HERE'!AU$33</f>
        <v>21.594369257292801</v>
      </c>
      <c r="BU50" s="7">
        <f ca="1">Sheet2!Z$15+('RNG HERE'!X50-'RNG HERE'!AV$32)*Sheet2!Z$16/'RNG HERE'!AV$33</f>
        <v>8.634872662633331</v>
      </c>
    </row>
    <row r="51" spans="1:97" x14ac:dyDescent="0.3">
      <c r="A51" s="8" cm="1">
        <f t="array" aca="1" ref="A51" ca="1">[1]!UNIFORM_INV(RAND(),Sheet2!C$15-SQRT(3)*Sheet2!C$16,Sheet2!C$15+SQRT(3)*Sheet2!C$16)</f>
        <v>5.1481829870773748</v>
      </c>
      <c r="B51" s="8" cm="1">
        <f t="array" aca="1" ref="B51" ca="1">[1]!UNIFORM_INV(RAND(),Sheet2!D$15-SQRT(3)*Sheet2!D$16,Sheet2!D$15+SQRT(3)*Sheet2!D$16)</f>
        <v>9.5407644721785108</v>
      </c>
      <c r="C51" s="8" cm="1">
        <f t="array" aca="1" ref="C51" ca="1">[1]!UNIFORM_INV(RAND(),Sheet2!E$15-SQRT(3)*Sheet2!E$16,Sheet2!E$15+SQRT(3)*Sheet2!E$16)</f>
        <v>18.446570321762401</v>
      </c>
      <c r="D51" s="8" cm="1">
        <f t="array" aca="1" ref="D51" ca="1">[1]!UNIFORM_INV(RAND(),Sheet2!F$15-SQRT(3)*Sheet2!F$16,Sheet2!F$15+SQRT(3)*Sheet2!F$16)</f>
        <v>15.465686622476042</v>
      </c>
      <c r="E51" s="8" cm="1">
        <f t="array" aca="1" ref="E51" ca="1">[1]!UNIFORM_INV(RAND(),Sheet2!G$15-SQRT(3)*Sheet2!G$16,Sheet2!G$15+SQRT(3)*Sheet2!G$16)</f>
        <v>25.323103417879651</v>
      </c>
      <c r="F51" s="8" cm="1">
        <f t="array" aca="1" ref="F51" ca="1">[1]!UNIFORM_INV(RAND(),Sheet2!H$15-SQRT(3)*Sheet2!H$16,Sheet2!H$15+SQRT(3)*Sheet2!H$16)</f>
        <v>28.559307697909095</v>
      </c>
      <c r="G51" s="8" cm="1">
        <f t="array" aca="1" ref="G51" ca="1">[1]!UNIFORM_INV(RAND(),Sheet2!I$15-SQRT(3)*Sheet2!I$16,Sheet2!I$15+SQRT(3)*Sheet2!I$16)</f>
        <v>13.034360172121955</v>
      </c>
      <c r="H51" s="8" cm="1">
        <f t="array" aca="1" ref="H51" ca="1">[1]!UNIFORM_INV(RAND(),Sheet2!J$15-SQRT(3)*Sheet2!J$16,Sheet2!J$15+SQRT(3)*Sheet2!J$16)</f>
        <v>23.066046357453757</v>
      </c>
      <c r="I51" s="8" cm="1">
        <f t="array" aca="1" ref="I51" ca="1">[1]!UNIFORM_INV(RAND(),Sheet2!K$15-SQRT(3)*Sheet2!K$16,Sheet2!K$15+SQRT(3)*Sheet2!K$16)</f>
        <v>22.639908794520679</v>
      </c>
      <c r="J51" s="8" cm="1">
        <f t="array" aca="1" ref="J51" ca="1">[1]!UNIFORM_INV(RAND(),Sheet2!L$15-SQRT(3)*Sheet2!L$16,Sheet2!L$15+SQRT(3)*Sheet2!L$16)</f>
        <v>23.646815891068606</v>
      </c>
      <c r="K51" s="8" cm="1">
        <f t="array" aca="1" ref="K51" ca="1">[1]!UNIFORM_INV(RAND(),Sheet2!M$15-SQRT(3)*Sheet2!M$16,Sheet2!M$15+SQRT(3)*Sheet2!M$16)</f>
        <v>16.514774547143464</v>
      </c>
      <c r="L51" s="8" cm="1">
        <f t="array" aca="1" ref="L51" ca="1">[1]!UNIFORM_INV(RAND(),Sheet2!N$15-SQRT(3)*Sheet2!N$16,Sheet2!N$15+SQRT(3)*Sheet2!N$16)</f>
        <v>8.6561483273985882</v>
      </c>
      <c r="M51" s="8" cm="1">
        <f t="array" aca="1" ref="M51" ca="1">[1]!UNIFORM_INV(RAND(),Sheet2!O$15-SQRT(3)*Sheet2!O$16,Sheet2!O$15+SQRT(3)*Sheet2!O$16)</f>
        <v>4.0801001804925674</v>
      </c>
      <c r="N51" s="8" cm="1">
        <f t="array" aca="1" ref="N51" ca="1">[1]!UNIFORM_INV(RAND(),Sheet2!P$15-SQRT(3)*Sheet2!P$16,Sheet2!P$15+SQRT(3)*Sheet2!P$16)</f>
        <v>22.292146000829334</v>
      </c>
      <c r="O51" s="8" cm="1">
        <f t="array" aca="1" ref="O51" ca="1">[1]!UNIFORM_INV(RAND(),Sheet2!Q$15-SQRT(3)*Sheet2!Q$16,Sheet2!Q$15+SQRT(3)*Sheet2!Q$16)</f>
        <v>9.2841596754738678</v>
      </c>
      <c r="P51" s="8" cm="1">
        <f t="array" aca="1" ref="P51" ca="1">[1]!UNIFORM_INV(RAND(),Sheet2!R$15-SQRT(3)*Sheet2!R$16,Sheet2!R$15+SQRT(3)*Sheet2!R$16)</f>
        <v>8.3228151191703041</v>
      </c>
      <c r="Q51" s="8" cm="1">
        <f t="array" aca="1" ref="Q51" ca="1">[1]!UNIFORM_INV(RAND(),Sheet2!S$15-SQRT(3)*Sheet2!S$16,Sheet2!S$15+SQRT(3)*Sheet2!S$16)</f>
        <v>4.8289085953274249</v>
      </c>
      <c r="R51" s="8" cm="1">
        <f t="array" aca="1" ref="R51" ca="1">[1]!UNIFORM_INV(RAND(),Sheet2!T$15-SQRT(3)*Sheet2!T$16,Sheet2!T$15+SQRT(3)*Sheet2!T$16)</f>
        <v>20.24938306952107</v>
      </c>
      <c r="S51" s="8" cm="1">
        <f t="array" aca="1" ref="S51" ca="1">[1]!UNIFORM_INV(RAND(),Sheet2!U$15-SQRT(3)*Sheet2!U$16,Sheet2!U$15+SQRT(3)*Sheet2!U$16)</f>
        <v>23.005608673072508</v>
      </c>
      <c r="T51" s="8" cm="1">
        <f t="array" aca="1" ref="T51" ca="1">[1]!UNIFORM_INV(RAND(),Sheet2!V$15-SQRT(3)*Sheet2!V$16,Sheet2!V$15+SQRT(3)*Sheet2!V$16)</f>
        <v>23.7830877937302</v>
      </c>
      <c r="U51" s="8" cm="1">
        <f t="array" aca="1" ref="U51" ca="1">[1]!UNIFORM_INV(RAND(),Sheet2!W$15-SQRT(3)*Sheet2!W$16,Sheet2!W$15+SQRT(3)*Sheet2!W$16)</f>
        <v>28.472737597175147</v>
      </c>
      <c r="V51" s="8" cm="1">
        <f t="array" aca="1" ref="V51" ca="1">[1]!UNIFORM_INV(RAND(),Sheet2!X$15-SQRT(3)*Sheet2!X$16,Sheet2!X$15+SQRT(3)*Sheet2!X$16)</f>
        <v>20.072031467386203</v>
      </c>
      <c r="W51" s="8" cm="1">
        <f t="array" aca="1" ref="W51" ca="1">[1]!UNIFORM_INV(RAND(),Sheet2!Y$15-SQRT(3)*Sheet2!Y$16,Sheet2!Y$15+SQRT(3)*Sheet2!Y$16)</f>
        <v>21.964624479195695</v>
      </c>
      <c r="X51" s="8" cm="1">
        <f t="array" aca="1" ref="X51" ca="1">[1]!UNIFORM_INV(RAND(),Sheet2!Z$15-SQRT(3)*Sheet2!Z$16,Sheet2!Z$15+SQRT(3)*Sheet2!Z$16)</f>
        <v>7.3358611861699421</v>
      </c>
      <c r="AX51" s="7">
        <f ca="1">Sheet2!C$15+('RNG HERE'!A51-'RNG HERE'!Y$32)*Sheet2!C$16/'RNG HERE'!Y$33</f>
        <v>5.0351722078030701</v>
      </c>
      <c r="AY51" s="7">
        <f ca="1">Sheet2!D$15+('RNG HERE'!B51-'RNG HERE'!Z$32)*Sheet2!D$16/'RNG HERE'!Z$33</f>
        <v>9.0775373360489855</v>
      </c>
      <c r="AZ51" s="7">
        <f ca="1">Sheet2!E$15+('RNG HERE'!C51-'RNG HERE'!AA$32)*Sheet2!E$16/'RNG HERE'!AA$33</f>
        <v>18.592201509918656</v>
      </c>
      <c r="BA51" s="7">
        <f ca="1">Sheet2!F$15+('RNG HERE'!D51-'RNG HERE'!AB$32)*Sheet2!F$16/'RNG HERE'!AB$33</f>
        <v>15.673908729863527</v>
      </c>
      <c r="BB51" s="7">
        <f ca="1">Sheet2!G$15+('RNG HERE'!E51-'RNG HERE'!AC$32)*Sheet2!G$16/'RNG HERE'!AC$33</f>
        <v>25.68875653772653</v>
      </c>
      <c r="BC51" s="7">
        <f ca="1">Sheet2!H$15+('RNG HERE'!F51-'RNG HERE'!AD$32)*Sheet2!H$16/'RNG HERE'!AD$33</f>
        <v>26.807091166486369</v>
      </c>
      <c r="BD51" s="7">
        <f ca="1">Sheet2!I$15+('RNG HERE'!G51-'RNG HERE'!AE$32)*Sheet2!I$16/'RNG HERE'!AE$33</f>
        <v>13.096076809356575</v>
      </c>
      <c r="BE51" s="7">
        <f ca="1">Sheet2!J$15+('RNG HERE'!H51-'RNG HERE'!AF$32)*Sheet2!J$16/'RNG HERE'!AF$33</f>
        <v>23.122563827121031</v>
      </c>
      <c r="BF51" s="7">
        <f ca="1">Sheet2!K$15+('RNG HERE'!I51-'RNG HERE'!AG$32)*Sheet2!K$16/'RNG HERE'!AG$33</f>
        <v>22.861295982908533</v>
      </c>
      <c r="BG51" s="7">
        <f ca="1">Sheet2!L$15+('RNG HERE'!J51-'RNG HERE'!AH$32)*Sheet2!L$16/'RNG HERE'!AH$33</f>
        <v>23.377220936730193</v>
      </c>
      <c r="BH51" s="7">
        <f ca="1">Sheet2!M$15+('RNG HERE'!K51-'RNG HERE'!AI$32)*Sheet2!M$16/'RNG HERE'!AI$33</f>
        <v>16.552554241949284</v>
      </c>
      <c r="BI51" s="7">
        <f ca="1">Sheet2!N$15+('RNG HERE'!L51-'RNG HERE'!AJ$32)*Sheet2!N$16/'RNG HERE'!AJ$33</f>
        <v>8.5264322257982297</v>
      </c>
      <c r="BJ51" s="7">
        <f ca="1">Sheet2!O$15+('RNG HERE'!M51-'RNG HERE'!AK$32)*Sheet2!O$16/'RNG HERE'!AK$33</f>
        <v>4.2470350590105879</v>
      </c>
      <c r="BK51" s="7">
        <f ca="1">Sheet2!P$15+('RNG HERE'!N51-'RNG HERE'!AL$32)*Sheet2!P$16/'RNG HERE'!AL$33</f>
        <v>21.893098762447135</v>
      </c>
      <c r="BL51" s="7">
        <f ca="1">Sheet2!Q$15+('RNG HERE'!O51-'RNG HERE'!AM$32)*Sheet2!Q$16/'RNG HERE'!AM$33</f>
        <v>9.1638007501557439</v>
      </c>
      <c r="BM51" s="7">
        <f ca="1">Sheet2!R$15+('RNG HERE'!P51-'RNG HERE'!AN$32)*Sheet2!R$16/'RNG HERE'!AN$33</f>
        <v>8.1352817440023717</v>
      </c>
      <c r="BN51" s="7">
        <f ca="1">Sheet2!S$15+('RNG HERE'!Q51-'RNG HERE'!AO$32)*Sheet2!S$16/'RNG HERE'!AO$33</f>
        <v>5.0494855413980186</v>
      </c>
      <c r="BO51" s="7">
        <f ca="1">Sheet2!T$15+('RNG HERE'!R51-'RNG HERE'!AP$32)*Sheet2!T$16/'RNG HERE'!AP$33</f>
        <v>20.122416045867201</v>
      </c>
      <c r="BP51" s="7">
        <f ca="1">Sheet2!U$15+('RNG HERE'!S51-'RNG HERE'!AQ$32)*Sheet2!U$16/'RNG HERE'!AQ$33</f>
        <v>22.934894791147837</v>
      </c>
      <c r="BQ51" s="7">
        <f ca="1">Sheet2!V$15+('RNG HERE'!T51-'RNG HERE'!AR$32)*Sheet2!V$16/'RNG HERE'!AR$33</f>
        <v>23.606937907809435</v>
      </c>
      <c r="BR51" s="7">
        <f ca="1">Sheet2!W$15+('RNG HERE'!U51-'RNG HERE'!AS$32)*Sheet2!W$16/'RNG HERE'!AS$33</f>
        <v>28.918645983920822</v>
      </c>
      <c r="BS51" s="7">
        <f ca="1">Sheet2!X$15+('RNG HERE'!V51-'RNG HERE'!AT$32)*Sheet2!X$16/'RNG HERE'!AT$33</f>
        <v>20.258650598707167</v>
      </c>
      <c r="BT51" s="7">
        <f ca="1">Sheet2!Y$15+('RNG HERE'!W51-'RNG HERE'!AU$32)*Sheet2!Y$16/'RNG HERE'!AU$33</f>
        <v>21.967864625941235</v>
      </c>
      <c r="BU51" s="7">
        <f ca="1">Sheet2!Z$15+('RNG HERE'!X51-'RNG HERE'!AV$32)*Sheet2!Z$16/'RNG HERE'!AV$33</f>
        <v>7.4657780781715513</v>
      </c>
    </row>
    <row r="52" spans="1:97" x14ac:dyDescent="0.3">
      <c r="A52" s="8" cm="1">
        <f t="array" aca="1" ref="A52" ca="1">[1]!UNIFORM_INV(RAND(),Sheet2!C$15-SQRT(3)*Sheet2!C$16,Sheet2!C$15+SQRT(3)*Sheet2!C$16)</f>
        <v>6.5485759672288992</v>
      </c>
      <c r="B52" s="8" cm="1">
        <f t="array" aca="1" ref="B52" ca="1">[1]!UNIFORM_INV(RAND(),Sheet2!D$15-SQRT(3)*Sheet2!D$16,Sheet2!D$15+SQRT(3)*Sheet2!D$16)</f>
        <v>8.8020585905760793</v>
      </c>
      <c r="C52" s="8" cm="1">
        <f t="array" aca="1" ref="C52" ca="1">[1]!UNIFORM_INV(RAND(),Sheet2!E$15-SQRT(3)*Sheet2!E$16,Sheet2!E$15+SQRT(3)*Sheet2!E$16)</f>
        <v>14.633815013874189</v>
      </c>
      <c r="D52" s="8" cm="1">
        <f t="array" aca="1" ref="D52" ca="1">[1]!UNIFORM_INV(RAND(),Sheet2!F$15-SQRT(3)*Sheet2!F$16,Sheet2!F$15+SQRT(3)*Sheet2!F$16)</f>
        <v>12.839928179859722</v>
      </c>
      <c r="E52" s="8" cm="1">
        <f t="array" aca="1" ref="E52" ca="1">[1]!UNIFORM_INV(RAND(),Sheet2!G$15-SQRT(3)*Sheet2!G$16,Sheet2!G$15+SQRT(3)*Sheet2!G$16)</f>
        <v>25.844312963385782</v>
      </c>
      <c r="F52" s="8" cm="1">
        <f t="array" aca="1" ref="F52" ca="1">[1]!UNIFORM_INV(RAND(),Sheet2!H$15-SQRT(3)*Sheet2!H$16,Sheet2!H$15+SQRT(3)*Sheet2!H$16)</f>
        <v>32.086261145484649</v>
      </c>
      <c r="G52" s="8" cm="1">
        <f t="array" aca="1" ref="G52" ca="1">[1]!UNIFORM_INV(RAND(),Sheet2!I$15-SQRT(3)*Sheet2!I$16,Sheet2!I$15+SQRT(3)*Sheet2!I$16)</f>
        <v>13.361271356131759</v>
      </c>
      <c r="H52" s="8" cm="1">
        <f t="array" aca="1" ref="H52" ca="1">[1]!UNIFORM_INV(RAND(),Sheet2!J$15-SQRT(3)*Sheet2!J$16,Sheet2!J$15+SQRT(3)*Sheet2!J$16)</f>
        <v>22.209736270675354</v>
      </c>
      <c r="I52" s="8" cm="1">
        <f t="array" aca="1" ref="I52" ca="1">[1]!UNIFORM_INV(RAND(),Sheet2!K$15-SQRT(3)*Sheet2!K$16,Sheet2!K$15+SQRT(3)*Sheet2!K$16)</f>
        <v>23.249318718981563</v>
      </c>
      <c r="J52" s="8" cm="1">
        <f t="array" aca="1" ref="J52" ca="1">[1]!UNIFORM_INV(RAND(),Sheet2!L$15-SQRT(3)*Sheet2!L$16,Sheet2!L$15+SQRT(3)*Sheet2!L$16)</f>
        <v>25.261095592760668</v>
      </c>
      <c r="K52" s="8" cm="1">
        <f t="array" aca="1" ref="K52" ca="1">[1]!UNIFORM_INV(RAND(),Sheet2!M$15-SQRT(3)*Sheet2!M$16,Sheet2!M$15+SQRT(3)*Sheet2!M$16)</f>
        <v>16.890554970655611</v>
      </c>
      <c r="L52" s="8" cm="1">
        <f t="array" aca="1" ref="L52" ca="1">[1]!UNIFORM_INV(RAND(),Sheet2!N$15-SQRT(3)*Sheet2!N$16,Sheet2!N$15+SQRT(3)*Sheet2!N$16)</f>
        <v>8.8065278788664934</v>
      </c>
      <c r="M52" s="8" cm="1">
        <f t="array" aca="1" ref="M52" ca="1">[1]!UNIFORM_INV(RAND(),Sheet2!O$15-SQRT(3)*Sheet2!O$16,Sheet2!O$15+SQRT(3)*Sheet2!O$16)</f>
        <v>4.393238485661815</v>
      </c>
      <c r="N52" s="8" cm="1">
        <f t="array" aca="1" ref="N52" ca="1">[1]!UNIFORM_INV(RAND(),Sheet2!P$15-SQRT(3)*Sheet2!P$16,Sheet2!P$15+SQRT(3)*Sheet2!P$16)</f>
        <v>23.009680123984854</v>
      </c>
      <c r="O52" s="8" cm="1">
        <f t="array" aca="1" ref="O52" ca="1">[1]!UNIFORM_INV(RAND(),Sheet2!Q$15-SQRT(3)*Sheet2!Q$16,Sheet2!Q$15+SQRT(3)*Sheet2!Q$16)</f>
        <v>9.2535749708971604</v>
      </c>
      <c r="P52" s="8" cm="1">
        <f t="array" aca="1" ref="P52" ca="1">[1]!UNIFORM_INV(RAND(),Sheet2!R$15-SQRT(3)*Sheet2!R$16,Sheet2!R$15+SQRT(3)*Sheet2!R$16)</f>
        <v>8.4377560276049639</v>
      </c>
      <c r="Q52" s="8" cm="1">
        <f t="array" aca="1" ref="Q52" ca="1">[1]!UNIFORM_INV(RAND(),Sheet2!S$15-SQRT(3)*Sheet2!S$16,Sheet2!S$15+SQRT(3)*Sheet2!S$16)</f>
        <v>4.4933330270180258</v>
      </c>
      <c r="R52" s="8" cm="1">
        <f t="array" aca="1" ref="R52" ca="1">[1]!UNIFORM_INV(RAND(),Sheet2!T$15-SQRT(3)*Sheet2!T$16,Sheet2!T$15+SQRT(3)*Sheet2!T$16)</f>
        <v>18.584132658830399</v>
      </c>
      <c r="S52" s="8" cm="1">
        <f t="array" aca="1" ref="S52" ca="1">[1]!UNIFORM_INV(RAND(),Sheet2!U$15-SQRT(3)*Sheet2!U$16,Sheet2!U$15+SQRT(3)*Sheet2!U$16)</f>
        <v>22.996578611178837</v>
      </c>
      <c r="T52" s="8" cm="1">
        <f t="array" aca="1" ref="T52" ca="1">[1]!UNIFORM_INV(RAND(),Sheet2!V$15-SQRT(3)*Sheet2!V$16,Sheet2!V$15+SQRT(3)*Sheet2!V$16)</f>
        <v>21.042878816922773</v>
      </c>
      <c r="U52" s="8" cm="1">
        <f t="array" aca="1" ref="U52" ca="1">[1]!UNIFORM_INV(RAND(),Sheet2!W$15-SQRT(3)*Sheet2!W$16,Sheet2!W$15+SQRT(3)*Sheet2!W$16)</f>
        <v>27.168079342874751</v>
      </c>
      <c r="V52" s="8" cm="1">
        <f t="array" aca="1" ref="V52" ca="1">[1]!UNIFORM_INV(RAND(),Sheet2!X$15-SQRT(3)*Sheet2!X$16,Sheet2!X$15+SQRT(3)*Sheet2!X$16)</f>
        <v>22.410855529065127</v>
      </c>
      <c r="W52" s="8" cm="1">
        <f t="array" aca="1" ref="W52" ca="1">[1]!UNIFORM_INV(RAND(),Sheet2!Y$15-SQRT(3)*Sheet2!Y$16,Sheet2!Y$15+SQRT(3)*Sheet2!Y$16)</f>
        <v>22.196644977142046</v>
      </c>
      <c r="X52" s="8" cm="1">
        <f t="array" aca="1" ref="X52" ca="1">[1]!UNIFORM_INV(RAND(),Sheet2!Z$15-SQRT(3)*Sheet2!Z$16,Sheet2!Z$15+SQRT(3)*Sheet2!Z$16)</f>
        <v>8.2008106810555486</v>
      </c>
      <c r="AX52" s="7">
        <f ca="1">Sheet2!C$15+('RNG HERE'!A52-'RNG HERE'!Y$32)*Sheet2!C$16/'RNG HERE'!Y$33</f>
        <v>6.4560383319699355</v>
      </c>
      <c r="AY52" s="7">
        <f ca="1">Sheet2!D$15+('RNG HERE'!B52-'RNG HERE'!Z$32)*Sheet2!D$16/'RNG HERE'!Z$33</f>
        <v>8.199828407024274</v>
      </c>
      <c r="AZ52" s="7">
        <f ca="1">Sheet2!E$15+('RNG HERE'!C52-'RNG HERE'!AA$32)*Sheet2!E$16/'RNG HERE'!AA$33</f>
        <v>14.552814525471753</v>
      </c>
      <c r="BA52" s="7">
        <f ca="1">Sheet2!F$15+('RNG HERE'!D52-'RNG HERE'!AB$32)*Sheet2!F$16/'RNG HERE'!AB$33</f>
        <v>13.240768925580596</v>
      </c>
      <c r="BB52" s="7">
        <f ca="1">Sheet2!G$15+('RNG HERE'!E52-'RNG HERE'!AC$32)*Sheet2!G$16/'RNG HERE'!AC$33</f>
        <v>26.287710831763921</v>
      </c>
      <c r="BC52" s="7">
        <f ca="1">Sheet2!H$15+('RNG HERE'!F52-'RNG HERE'!AD$32)*Sheet2!H$16/'RNG HERE'!AD$33</f>
        <v>30.512501548382261</v>
      </c>
      <c r="BD52" s="7">
        <f ca="1">Sheet2!I$15+('RNG HERE'!G52-'RNG HERE'!AE$32)*Sheet2!I$16/'RNG HERE'!AE$33</f>
        <v>13.469733521984805</v>
      </c>
      <c r="BE52" s="7">
        <f ca="1">Sheet2!J$15+('RNG HERE'!H52-'RNG HERE'!AF$32)*Sheet2!J$16/'RNG HERE'!AF$33</f>
        <v>22.277065304789783</v>
      </c>
      <c r="BF52" s="7">
        <f ca="1">Sheet2!K$15+('RNG HERE'!I52-'RNG HERE'!AG$32)*Sheet2!K$16/'RNG HERE'!AG$33</f>
        <v>23.54124536521989</v>
      </c>
      <c r="BG52" s="7">
        <f ca="1">Sheet2!L$15+('RNG HERE'!J52-'RNG HERE'!AH$32)*Sheet2!L$16/'RNG HERE'!AH$33</f>
        <v>25.115499417446081</v>
      </c>
      <c r="BH52" s="7">
        <f ca="1">Sheet2!M$15+('RNG HERE'!K52-'RNG HERE'!AI$32)*Sheet2!M$16/'RNG HERE'!AI$33</f>
        <v>16.934752830619455</v>
      </c>
      <c r="BI52" s="7">
        <f ca="1">Sheet2!N$15+('RNG HERE'!L52-'RNG HERE'!AJ$32)*Sheet2!N$16/'RNG HERE'!AJ$33</f>
        <v>8.6831091562813203</v>
      </c>
      <c r="BJ52" s="7">
        <f ca="1">Sheet2!O$15+('RNG HERE'!M52-'RNG HERE'!AK$32)*Sheet2!O$16/'RNG HERE'!AK$33</f>
        <v>4.570385195522447</v>
      </c>
      <c r="BK52" s="7">
        <f ca="1">Sheet2!P$15+('RNG HERE'!N52-'RNG HERE'!AL$32)*Sheet2!P$16/'RNG HERE'!AL$33</f>
        <v>22.696824964346909</v>
      </c>
      <c r="BL52" s="7">
        <f ca="1">Sheet2!Q$15+('RNG HERE'!O52-'RNG HERE'!AM$32)*Sheet2!Q$16/'RNG HERE'!AM$33</f>
        <v>9.1322039827577992</v>
      </c>
      <c r="BM52" s="7">
        <f ca="1">Sheet2!R$15+('RNG HERE'!P52-'RNG HERE'!AN$32)*Sheet2!R$16/'RNG HERE'!AN$33</f>
        <v>8.2560805494662457</v>
      </c>
      <c r="BN52" s="7">
        <f ca="1">Sheet2!S$15+('RNG HERE'!Q52-'RNG HERE'!AO$32)*Sheet2!S$16/'RNG HERE'!AO$33</f>
        <v>4.7035467509162903</v>
      </c>
      <c r="BO52" s="7">
        <f ca="1">Sheet2!T$15+('RNG HERE'!R52-'RNG HERE'!AP$32)*Sheet2!T$16/'RNG HERE'!AP$33</f>
        <v>18.234500465007883</v>
      </c>
      <c r="BP52" s="7">
        <f ca="1">Sheet2!U$15+('RNG HERE'!S52-'RNG HERE'!AQ$32)*Sheet2!U$16/'RNG HERE'!AQ$33</f>
        <v>22.924932127838272</v>
      </c>
      <c r="BQ52" s="7">
        <f ca="1">Sheet2!V$15+('RNG HERE'!T52-'RNG HERE'!AR$32)*Sheet2!V$16/'RNG HERE'!AR$33</f>
        <v>20.797167368902699</v>
      </c>
      <c r="BR52" s="7">
        <f ca="1">Sheet2!W$15+('RNG HERE'!U52-'RNG HERE'!AS$32)*Sheet2!W$16/'RNG HERE'!AS$33</f>
        <v>27.404142538594272</v>
      </c>
      <c r="BS52" s="7">
        <f ca="1">Sheet2!X$15+('RNG HERE'!V52-'RNG HERE'!AT$32)*Sheet2!X$16/'RNG HERE'!AT$33</f>
        <v>22.426949976412207</v>
      </c>
      <c r="BT52" s="7">
        <f ca="1">Sheet2!Y$15+('RNG HERE'!W52-'RNG HERE'!AU$32)*Sheet2!Y$16/'RNG HERE'!AU$33</f>
        <v>22.231857978564321</v>
      </c>
      <c r="BU52" s="7">
        <f ca="1">Sheet2!Z$15+('RNG HERE'!X52-'RNG HERE'!AV$32)*Sheet2!Z$16/'RNG HERE'!AV$33</f>
        <v>8.3450441741873931</v>
      </c>
    </row>
    <row r="53" spans="1:97" x14ac:dyDescent="0.3">
      <c r="A53" s="8" cm="1">
        <f t="array" aca="1" ref="A53" ca="1">[1]!UNIFORM_INV(RAND(),Sheet2!C$15-SQRT(3)*Sheet2!C$16,Sheet2!C$15+SQRT(3)*Sheet2!C$16)</f>
        <v>4.2802425886907791</v>
      </c>
      <c r="B53" s="8" cm="1">
        <f t="array" aca="1" ref="B53" ca="1">[1]!UNIFORM_INV(RAND(),Sheet2!D$15-SQRT(3)*Sheet2!D$16,Sheet2!D$15+SQRT(3)*Sheet2!D$16)</f>
        <v>10.152389883699062</v>
      </c>
      <c r="C53" s="8" cm="1">
        <f t="array" aca="1" ref="C53" ca="1">[1]!UNIFORM_INV(RAND(),Sheet2!E$15-SQRT(3)*Sheet2!E$16,Sheet2!E$15+SQRT(3)*Sheet2!E$16)</f>
        <v>15.934022692924751</v>
      </c>
      <c r="D53" s="8" cm="1">
        <f t="array" aca="1" ref="D53" ca="1">[1]!UNIFORM_INV(RAND(),Sheet2!F$15-SQRT(3)*Sheet2!F$16,Sheet2!F$15+SQRT(3)*Sheet2!F$16)</f>
        <v>17.118065080554157</v>
      </c>
      <c r="E53" s="8" cm="1">
        <f t="array" aca="1" ref="E53" ca="1">[1]!UNIFORM_INV(RAND(),Sheet2!G$15-SQRT(3)*Sheet2!G$16,Sheet2!G$15+SQRT(3)*Sheet2!G$16)</f>
        <v>22.831051562332828</v>
      </c>
      <c r="F53" s="8" cm="1">
        <f t="array" aca="1" ref="F53" ca="1">[1]!UNIFORM_INV(RAND(),Sheet2!H$15-SQRT(3)*Sheet2!H$16,Sheet2!H$15+SQRT(3)*Sheet2!H$16)</f>
        <v>33.255838750068726</v>
      </c>
      <c r="G53" s="8" cm="1">
        <f t="array" aca="1" ref="G53" ca="1">[1]!UNIFORM_INV(RAND(),Sheet2!I$15-SQRT(3)*Sheet2!I$16,Sheet2!I$15+SQRT(3)*Sheet2!I$16)</f>
        <v>12.928128038396787</v>
      </c>
      <c r="H53" s="8" cm="1">
        <f t="array" aca="1" ref="H53" ca="1">[1]!UNIFORM_INV(RAND(),Sheet2!J$15-SQRT(3)*Sheet2!J$16,Sheet2!J$15+SQRT(3)*Sheet2!J$16)</f>
        <v>22.878321745174549</v>
      </c>
      <c r="I53" s="8" cm="1">
        <f t="array" aca="1" ref="I53" ca="1">[1]!UNIFORM_INV(RAND(),Sheet2!K$15-SQRT(3)*Sheet2!K$16,Sheet2!K$15+SQRT(3)*Sheet2!K$16)</f>
        <v>25.593404638576637</v>
      </c>
      <c r="J53" s="8" cm="1">
        <f t="array" aca="1" ref="J53" ca="1">[1]!UNIFORM_INV(RAND(),Sheet2!L$15-SQRT(3)*Sheet2!L$16,Sheet2!L$15+SQRT(3)*Sheet2!L$16)</f>
        <v>23.000650576771449</v>
      </c>
      <c r="K53" s="8" cm="1">
        <f t="array" aca="1" ref="K53" ca="1">[1]!UNIFORM_INV(RAND(),Sheet2!M$15-SQRT(3)*Sheet2!M$16,Sheet2!M$15+SQRT(3)*Sheet2!M$16)</f>
        <v>16.763212534983065</v>
      </c>
      <c r="L53" s="8" cm="1">
        <f t="array" aca="1" ref="L53" ca="1">[1]!UNIFORM_INV(RAND(),Sheet2!N$15-SQRT(3)*Sheet2!N$16,Sheet2!N$15+SQRT(3)*Sheet2!N$16)</f>
        <v>7.9819357966485711</v>
      </c>
      <c r="M53" s="8" cm="1">
        <f t="array" aca="1" ref="M53" ca="1">[1]!UNIFORM_INV(RAND(),Sheet2!O$15-SQRT(3)*Sheet2!O$16,Sheet2!O$15+SQRT(3)*Sheet2!O$16)</f>
        <v>6.1757402778645503</v>
      </c>
      <c r="N53" s="8" cm="1">
        <f t="array" aca="1" ref="N53" ca="1">[1]!UNIFORM_INV(RAND(),Sheet2!P$15-SQRT(3)*Sheet2!P$16,Sheet2!P$15+SQRT(3)*Sheet2!P$16)</f>
        <v>21.231039579990352</v>
      </c>
      <c r="O53" s="8" cm="1">
        <f t="array" aca="1" ref="O53" ca="1">[1]!UNIFORM_INV(RAND(),Sheet2!Q$15-SQRT(3)*Sheet2!Q$16,Sheet2!Q$15+SQRT(3)*Sheet2!Q$16)</f>
        <v>10.909214401294726</v>
      </c>
      <c r="P53" s="8" cm="1">
        <f t="array" aca="1" ref="P53" ca="1">[1]!UNIFORM_INV(RAND(),Sheet2!R$15-SQRT(3)*Sheet2!R$16,Sheet2!R$15+SQRT(3)*Sheet2!R$16)</f>
        <v>9.5226094479380148</v>
      </c>
      <c r="Q53" s="8" cm="1">
        <f t="array" aca="1" ref="Q53" ca="1">[1]!UNIFORM_INV(RAND(),Sheet2!S$15-SQRT(3)*Sheet2!S$16,Sheet2!S$15+SQRT(3)*Sheet2!S$16)</f>
        <v>2.8931236756453167</v>
      </c>
      <c r="R53" s="8" cm="1">
        <f t="array" aca="1" ref="R53" ca="1">[1]!UNIFORM_INV(RAND(),Sheet2!T$15-SQRT(3)*Sheet2!T$16,Sheet2!T$15+SQRT(3)*Sheet2!T$16)</f>
        <v>16.526992269600864</v>
      </c>
      <c r="S53" s="8" cm="1">
        <f t="array" aca="1" ref="S53" ca="1">[1]!UNIFORM_INV(RAND(),Sheet2!U$15-SQRT(3)*Sheet2!U$16,Sheet2!U$15+SQRT(3)*Sheet2!U$16)</f>
        <v>24.45947507030219</v>
      </c>
      <c r="T53" s="8" cm="1">
        <f t="array" aca="1" ref="T53" ca="1">[1]!UNIFORM_INV(RAND(),Sheet2!V$15-SQRT(3)*Sheet2!V$16,Sheet2!V$15+SQRT(3)*Sheet2!V$16)</f>
        <v>21.074247246287957</v>
      </c>
      <c r="U53" s="8" cm="1">
        <f t="array" aca="1" ref="U53" ca="1">[1]!UNIFORM_INV(RAND(),Sheet2!W$15-SQRT(3)*Sheet2!W$16,Sheet2!W$15+SQRT(3)*Sheet2!W$16)</f>
        <v>26.716709292769149</v>
      </c>
      <c r="V53" s="8" cm="1">
        <f t="array" aca="1" ref="V53" ca="1">[1]!UNIFORM_INV(RAND(),Sheet2!X$15-SQRT(3)*Sheet2!X$16,Sheet2!X$15+SQRT(3)*Sheet2!X$16)</f>
        <v>22.725859740975746</v>
      </c>
      <c r="W53" s="8" cm="1">
        <f t="array" aca="1" ref="W53" ca="1">[1]!UNIFORM_INV(RAND(),Sheet2!Y$15-SQRT(3)*Sheet2!Y$16,Sheet2!Y$15+SQRT(3)*Sheet2!Y$16)</f>
        <v>19.896559459822452</v>
      </c>
      <c r="X53" s="8" cm="1">
        <f t="array" aca="1" ref="X53" ca="1">[1]!UNIFORM_INV(RAND(),Sheet2!Z$15-SQRT(3)*Sheet2!Z$16,Sheet2!Z$15+SQRT(3)*Sheet2!Z$16)</f>
        <v>7.5793744828709961</v>
      </c>
      <c r="AX53" s="7">
        <f ca="1">Sheet2!C$15+('RNG HERE'!A53-'RNG HERE'!Y$32)*Sheet2!C$16/'RNG HERE'!Y$33</f>
        <v>4.154542893501616</v>
      </c>
      <c r="AY53" s="7">
        <f ca="1">Sheet2!D$15+('RNG HERE'!B53-'RNG HERE'!Z$32)*Sheet2!D$16/'RNG HERE'!Z$33</f>
        <v>9.8042529319035747</v>
      </c>
      <c r="AZ53" s="7">
        <f ca="1">Sheet2!E$15+('RNG HERE'!C53-'RNG HERE'!AA$32)*Sheet2!E$16/'RNG HERE'!AA$33</f>
        <v>15.930307060848676</v>
      </c>
      <c r="BA53" s="7">
        <f ca="1">Sheet2!F$15+('RNG HERE'!D53-'RNG HERE'!AB$32)*Sheet2!F$16/'RNG HERE'!AB$33</f>
        <v>17.205073109966786</v>
      </c>
      <c r="BB53" s="7">
        <f ca="1">Sheet2!G$15+('RNG HERE'!E53-'RNG HERE'!AC$32)*Sheet2!G$16/'RNG HERE'!AC$33</f>
        <v>22.824984811531117</v>
      </c>
      <c r="BC53" s="7">
        <f ca="1">Sheet2!H$15+('RNG HERE'!F53-'RNG HERE'!AD$32)*Sheet2!H$16/'RNG HERE'!AD$33</f>
        <v>31.741257488282127</v>
      </c>
      <c r="BD53" s="7">
        <f ca="1">Sheet2!I$15+('RNG HERE'!G53-'RNG HERE'!AE$32)*Sheet2!I$16/'RNG HERE'!AE$33</f>
        <v>12.97465438086591</v>
      </c>
      <c r="BE53" s="7">
        <f ca="1">Sheet2!J$15+('RNG HERE'!H53-'RNG HERE'!AF$32)*Sheet2!J$16/'RNG HERE'!AF$33</f>
        <v>22.93720938048078</v>
      </c>
      <c r="BF53" s="7">
        <f ca="1">Sheet2!K$15+('RNG HERE'!I53-'RNG HERE'!AG$32)*Sheet2!K$16/'RNG HERE'!AG$33</f>
        <v>26.156660226609674</v>
      </c>
      <c r="BG53" s="7">
        <f ca="1">Sheet2!L$15+('RNG HERE'!J53-'RNG HERE'!AH$32)*Sheet2!L$16/'RNG HERE'!AH$33</f>
        <v>22.681421280914396</v>
      </c>
      <c r="BH53" s="7">
        <f ca="1">Sheet2!M$15+('RNG HERE'!K53-'RNG HERE'!AI$32)*Sheet2!M$16/'RNG HERE'!AI$33</f>
        <v>16.805235441882211</v>
      </c>
      <c r="BI53" s="7">
        <f ca="1">Sheet2!N$15+('RNG HERE'!L53-'RNG HERE'!AJ$32)*Sheet2!N$16/'RNG HERE'!AJ$33</f>
        <v>7.8239859903890574</v>
      </c>
      <c r="BJ53" s="7">
        <f ca="1">Sheet2!O$15+('RNG HERE'!M53-'RNG HERE'!AK$32)*Sheet2!O$16/'RNG HERE'!AK$33</f>
        <v>6.4110165980902849</v>
      </c>
      <c r="BK53" s="7">
        <f ca="1">Sheet2!P$15+('RNG HERE'!N53-'RNG HERE'!AL$32)*Sheet2!P$16/'RNG HERE'!AL$33</f>
        <v>20.704529458339582</v>
      </c>
      <c r="BL53" s="7">
        <f ca="1">Sheet2!Q$15+('RNG HERE'!O53-'RNG HERE'!AM$32)*Sheet2!Q$16/'RNG HERE'!AM$33</f>
        <v>10.842629331020927</v>
      </c>
      <c r="BM53" s="7">
        <f ca="1">Sheet2!R$15+('RNG HERE'!P53-'RNG HERE'!AN$32)*Sheet2!R$16/'RNG HERE'!AN$33</f>
        <v>9.3962228979507199</v>
      </c>
      <c r="BN53" s="7">
        <f ca="1">Sheet2!S$15+('RNG HERE'!Q53-'RNG HERE'!AO$32)*Sheet2!S$16/'RNG HERE'!AO$33</f>
        <v>3.0539198417813784</v>
      </c>
      <c r="BO53" s="7">
        <f ca="1">Sheet2!T$15+('RNG HERE'!R53-'RNG HERE'!AP$32)*Sheet2!T$16/'RNG HERE'!AP$33</f>
        <v>15.902294228691357</v>
      </c>
      <c r="BP53" s="7">
        <f ca="1">Sheet2!U$15+('RNG HERE'!S53-'RNG HERE'!AQ$32)*Sheet2!U$16/'RNG HERE'!AQ$33</f>
        <v>24.538912746200879</v>
      </c>
      <c r="BQ53" s="7">
        <f ca="1">Sheet2!V$15+('RNG HERE'!T53-'RNG HERE'!AR$32)*Sheet2!V$16/'RNG HERE'!AR$33</f>
        <v>20.829332101384072</v>
      </c>
      <c r="BR53" s="7">
        <f ca="1">Sheet2!W$15+('RNG HERE'!U53-'RNG HERE'!AS$32)*Sheet2!W$16/'RNG HERE'!AS$33</f>
        <v>26.88017276049424</v>
      </c>
      <c r="BS53" s="7">
        <f ca="1">Sheet2!X$15+('RNG HERE'!V53-'RNG HERE'!AT$32)*Sheet2!X$16/'RNG HERE'!AT$33</f>
        <v>22.718987093633395</v>
      </c>
      <c r="BT53" s="7">
        <f ca="1">Sheet2!Y$15+('RNG HERE'!W53-'RNG HERE'!AU$32)*Sheet2!Y$16/'RNG HERE'!AU$33</f>
        <v>19.614816413653063</v>
      </c>
      <c r="BU53" s="7">
        <f ca="1">Sheet2!Z$15+('RNG HERE'!X53-'RNG HERE'!AV$32)*Sheet2!Z$16/'RNG HERE'!AV$33</f>
        <v>7.7133219948791982</v>
      </c>
    </row>
    <row r="54" spans="1:97" x14ac:dyDescent="0.3">
      <c r="A54" s="8" cm="1">
        <f t="array" aca="1" ref="A54" ca="1">[1]!UNIFORM_INV(RAND(),Sheet2!C$15-SQRT(3)*Sheet2!C$16,Sheet2!C$15+SQRT(3)*Sheet2!C$16)</f>
        <v>3.5893128394862597</v>
      </c>
      <c r="B54" s="8" cm="1">
        <f t="array" aca="1" ref="B54" ca="1">[1]!UNIFORM_INV(RAND(),Sheet2!D$15-SQRT(3)*Sheet2!D$16,Sheet2!D$15+SQRT(3)*Sheet2!D$16)</f>
        <v>8.8636724726793474</v>
      </c>
      <c r="C54" s="8" cm="1">
        <f t="array" aca="1" ref="C54" ca="1">[1]!UNIFORM_INV(RAND(),Sheet2!E$15-SQRT(3)*Sheet2!E$16,Sheet2!E$15+SQRT(3)*Sheet2!E$16)</f>
        <v>18.825765735023502</v>
      </c>
      <c r="D54" s="8" cm="1">
        <f t="array" aca="1" ref="D54" ca="1">[1]!UNIFORM_INV(RAND(),Sheet2!F$15-SQRT(3)*Sheet2!F$16,Sheet2!F$15+SQRT(3)*Sheet2!F$16)</f>
        <v>12.456265278995218</v>
      </c>
      <c r="E54" s="8" cm="1">
        <f t="array" aca="1" ref="E54" ca="1">[1]!UNIFORM_INV(RAND(),Sheet2!G$15-SQRT(3)*Sheet2!G$16,Sheet2!G$15+SQRT(3)*Sheet2!G$16)</f>
        <v>20.510010327472848</v>
      </c>
      <c r="F54" s="8" cm="1">
        <f t="array" aca="1" ref="F54" ca="1">[1]!UNIFORM_INV(RAND(),Sheet2!H$15-SQRT(3)*Sheet2!H$16,Sheet2!H$15+SQRT(3)*Sheet2!H$16)</f>
        <v>30.390933380197797</v>
      </c>
      <c r="G54" s="8" cm="1">
        <f t="array" aca="1" ref="G54" ca="1">[1]!UNIFORM_INV(RAND(),Sheet2!I$15-SQRT(3)*Sheet2!I$16,Sheet2!I$15+SQRT(3)*Sheet2!I$16)</f>
        <v>13.467456494660521</v>
      </c>
      <c r="H54" s="8" cm="1">
        <f t="array" aca="1" ref="H54" ca="1">[1]!UNIFORM_INV(RAND(),Sheet2!J$15-SQRT(3)*Sheet2!J$16,Sheet2!J$15+SQRT(3)*Sheet2!J$16)</f>
        <v>20.666369995881166</v>
      </c>
      <c r="I54" s="8" cm="1">
        <f t="array" aca="1" ref="I54" ca="1">[1]!UNIFORM_INV(RAND(),Sheet2!K$15-SQRT(3)*Sheet2!K$16,Sheet2!K$15+SQRT(3)*Sheet2!K$16)</f>
        <v>24.024122190368015</v>
      </c>
      <c r="J54" s="8" cm="1">
        <f t="array" aca="1" ref="J54" ca="1">[1]!UNIFORM_INV(RAND(),Sheet2!L$15-SQRT(3)*Sheet2!L$16,Sheet2!L$15+SQRT(3)*Sheet2!L$16)</f>
        <v>21.489092750723724</v>
      </c>
      <c r="K54" s="8" cm="1">
        <f t="array" aca="1" ref="K54" ca="1">[1]!UNIFORM_INV(RAND(),Sheet2!M$15-SQRT(3)*Sheet2!M$16,Sheet2!M$15+SQRT(3)*Sheet2!M$16)</f>
        <v>16.046230578899539</v>
      </c>
      <c r="L54" s="8" cm="1">
        <f t="array" aca="1" ref="L54" ca="1">[1]!UNIFORM_INV(RAND(),Sheet2!N$15-SQRT(3)*Sheet2!N$16,Sheet2!N$15+SQRT(3)*Sheet2!N$16)</f>
        <v>8.7166065145028355</v>
      </c>
      <c r="M54" s="8" cm="1">
        <f t="array" aca="1" ref="M54" ca="1">[1]!UNIFORM_INV(RAND(),Sheet2!O$15-SQRT(3)*Sheet2!O$16,Sheet2!O$15+SQRT(3)*Sheet2!O$16)</f>
        <v>5.7334256394410197</v>
      </c>
      <c r="N54" s="8" cm="1">
        <f t="array" aca="1" ref="N54" ca="1">[1]!UNIFORM_INV(RAND(),Sheet2!P$15-SQRT(3)*Sheet2!P$16,Sheet2!P$15+SQRT(3)*Sheet2!P$16)</f>
        <v>25.084428177067547</v>
      </c>
      <c r="O54" s="8" cm="1">
        <f t="array" aca="1" ref="O54" ca="1">[1]!UNIFORM_INV(RAND(),Sheet2!Q$15-SQRT(3)*Sheet2!Q$16,Sheet2!Q$15+SQRT(3)*Sheet2!Q$16)</f>
        <v>9.7484690152747113</v>
      </c>
      <c r="P54" s="8" cm="1">
        <f t="array" aca="1" ref="P54" ca="1">[1]!UNIFORM_INV(RAND(),Sheet2!R$15-SQRT(3)*Sheet2!R$16,Sheet2!R$15+SQRT(3)*Sheet2!R$16)</f>
        <v>8.9079348959669531</v>
      </c>
      <c r="Q54" s="8" cm="1">
        <f t="array" aca="1" ref="Q54" ca="1">[1]!UNIFORM_INV(RAND(),Sheet2!S$15-SQRT(3)*Sheet2!S$16,Sheet2!S$15+SQRT(3)*Sheet2!S$16)</f>
        <v>2.9687746494345579</v>
      </c>
      <c r="R54" s="8" cm="1">
        <f t="array" aca="1" ref="R54" ca="1">[1]!UNIFORM_INV(RAND(),Sheet2!T$15-SQRT(3)*Sheet2!T$16,Sheet2!T$15+SQRT(3)*Sheet2!T$16)</f>
        <v>16.153575228448901</v>
      </c>
      <c r="S54" s="8" cm="1">
        <f t="array" aca="1" ref="S54" ca="1">[1]!UNIFORM_INV(RAND(),Sheet2!U$15-SQRT(3)*Sheet2!U$16,Sheet2!U$15+SQRT(3)*Sheet2!U$16)</f>
        <v>22.886847027641412</v>
      </c>
      <c r="T54" s="8" cm="1">
        <f t="array" aca="1" ref="T54" ca="1">[1]!UNIFORM_INV(RAND(),Sheet2!V$15-SQRT(3)*Sheet2!V$16,Sheet2!V$15+SQRT(3)*Sheet2!V$16)</f>
        <v>23.203685180725206</v>
      </c>
      <c r="U54" s="8" cm="1">
        <f t="array" aca="1" ref="U54" ca="1">[1]!UNIFORM_INV(RAND(),Sheet2!W$15-SQRT(3)*Sheet2!W$16,Sheet2!W$15+SQRT(3)*Sheet2!W$16)</f>
        <v>24.749088010376916</v>
      </c>
      <c r="V54" s="8" cm="1">
        <f t="array" aca="1" ref="V54" ca="1">[1]!UNIFORM_INV(RAND(),Sheet2!X$15-SQRT(3)*Sheet2!X$16,Sheet2!X$15+SQRT(3)*Sheet2!X$16)</f>
        <v>22.001938558213354</v>
      </c>
      <c r="W54" s="8" cm="1">
        <f t="array" aca="1" ref="W54" ca="1">[1]!UNIFORM_INV(RAND(),Sheet2!Y$15-SQRT(3)*Sheet2!Y$16,Sheet2!Y$15+SQRT(3)*Sheet2!Y$16)</f>
        <v>21.508017794777011</v>
      </c>
      <c r="X54" s="8" cm="1">
        <f t="array" aca="1" ref="X54" ca="1">[1]!UNIFORM_INV(RAND(),Sheet2!Z$15-SQRT(3)*Sheet2!Z$16,Sheet2!Z$15+SQRT(3)*Sheet2!Z$16)</f>
        <v>7.3667505847327854</v>
      </c>
      <c r="AX54" s="7">
        <f ca="1">Sheet2!C$15+('RNG HERE'!A54-'RNG HERE'!Y$32)*Sheet2!C$16/'RNG HERE'!Y$33</f>
        <v>3.4535120480616546</v>
      </c>
      <c r="AY54" s="7">
        <f ca="1">Sheet2!D$15+('RNG HERE'!B54-'RNG HERE'!Z$32)*Sheet2!D$16/'RNG HERE'!Z$33</f>
        <v>8.2730362368531143</v>
      </c>
      <c r="AZ54" s="7">
        <f ca="1">Sheet2!E$15+('RNG HERE'!C54-'RNG HERE'!AA$32)*Sheet2!E$16/'RNG HERE'!AA$33</f>
        <v>18.993936447830848</v>
      </c>
      <c r="BA54" s="7">
        <f ca="1">Sheet2!F$15+('RNG HERE'!D54-'RNG HERE'!AB$32)*Sheet2!F$16/'RNG HERE'!AB$33</f>
        <v>12.885250512169371</v>
      </c>
      <c r="BB54" s="7">
        <f ca="1">Sheet2!G$15+('RNG HERE'!E54-'RNG HERE'!AC$32)*Sheet2!G$16/'RNG HERE'!AC$33</f>
        <v>20.157732021854645</v>
      </c>
      <c r="BC54" s="7">
        <f ca="1">Sheet2!H$15+('RNG HERE'!F54-'RNG HERE'!AD$32)*Sheet2!H$16/'RNG HERE'!AD$33</f>
        <v>28.731393519715635</v>
      </c>
      <c r="BD54" s="7">
        <f ca="1">Sheet2!I$15+('RNG HERE'!G54-'RNG HERE'!AE$32)*Sheet2!I$16/'RNG HERE'!AE$33</f>
        <v>13.591102235364279</v>
      </c>
      <c r="BE54" s="7">
        <f ca="1">Sheet2!J$15+('RNG HERE'!H54-'RNG HERE'!AF$32)*Sheet2!J$16/'RNG HERE'!AF$33</f>
        <v>20.753185200021083</v>
      </c>
      <c r="BF54" s="7">
        <f ca="1">Sheet2!K$15+('RNG HERE'!I54-'RNG HERE'!AG$32)*Sheet2!K$16/'RNG HERE'!AG$33</f>
        <v>24.405732667831465</v>
      </c>
      <c r="BG54" s="7">
        <f ca="1">Sheet2!L$15+('RNG HERE'!J54-'RNG HERE'!AH$32)*Sheet2!L$16/'RNG HERE'!AH$33</f>
        <v>21.053755122055843</v>
      </c>
      <c r="BH54" s="7">
        <f ca="1">Sheet2!M$15+('RNG HERE'!K54-'RNG HERE'!AI$32)*Sheet2!M$16/'RNG HERE'!AI$33</f>
        <v>16.076007747805047</v>
      </c>
      <c r="BI54" s="7">
        <f ca="1">Sheet2!N$15+('RNG HERE'!L54-'RNG HERE'!AJ$32)*Sheet2!N$16/'RNG HERE'!AJ$33</f>
        <v>8.589422194085822</v>
      </c>
      <c r="BJ54" s="7">
        <f ca="1">Sheet2!O$15+('RNG HERE'!M54-'RNG HERE'!AK$32)*Sheet2!O$16/'RNG HERE'!AK$33</f>
        <v>5.9542775267136925</v>
      </c>
      <c r="BK54" s="7">
        <f ca="1">Sheet2!P$15+('RNG HERE'!N54-'RNG HERE'!AL$32)*Sheet2!P$16/'RNG HERE'!AL$33</f>
        <v>25.020797189207467</v>
      </c>
      <c r="BL54" s="7">
        <f ca="1">Sheet2!Q$15+('RNG HERE'!O54-'RNG HERE'!AM$32)*Sheet2!Q$16/'RNG HERE'!AM$33</f>
        <v>9.6434743129193343</v>
      </c>
      <c r="BM54" s="7">
        <f ca="1">Sheet2!R$15+('RNG HERE'!P54-'RNG HERE'!AN$32)*Sheet2!R$16/'RNG HERE'!AN$33</f>
        <v>8.7502218123637139</v>
      </c>
      <c r="BN54" s="7">
        <f ca="1">Sheet2!S$15+('RNG HERE'!Q54-'RNG HERE'!AO$32)*Sheet2!S$16/'RNG HERE'!AO$33</f>
        <v>3.1319070638645008</v>
      </c>
      <c r="BO54" s="7">
        <f ca="1">Sheet2!T$15+('RNG HERE'!R54-'RNG HERE'!AP$32)*Sheet2!T$16/'RNG HERE'!AP$33</f>
        <v>15.478946577417226</v>
      </c>
      <c r="BP54" s="7">
        <f ca="1">Sheet2!U$15+('RNG HERE'!S54-'RNG HERE'!AQ$32)*Sheet2!U$16/'RNG HERE'!AQ$33</f>
        <v>22.803867750419673</v>
      </c>
      <c r="BQ54" s="7">
        <f ca="1">Sheet2!V$15+('RNG HERE'!T54-'RNG HERE'!AR$32)*Sheet2!V$16/'RNG HERE'!AR$33</f>
        <v>23.012826872495715</v>
      </c>
      <c r="BR54" s="7">
        <f ca="1">Sheet2!W$15+('RNG HERE'!U54-'RNG HERE'!AS$32)*Sheet2!W$16/'RNG HERE'!AS$33</f>
        <v>24.596073302679631</v>
      </c>
      <c r="BS54" s="7">
        <f ca="1">Sheet2!X$15+('RNG HERE'!V54-'RNG HERE'!AT$32)*Sheet2!X$16/'RNG HERE'!AT$33</f>
        <v>22.047847320526905</v>
      </c>
      <c r="BT54" s="7">
        <f ca="1">Sheet2!Y$15+('RNG HERE'!W54-'RNG HERE'!AU$32)*Sheet2!Y$16/'RNG HERE'!AU$33</f>
        <v>21.448336694070004</v>
      </c>
      <c r="BU54" s="7">
        <f ca="1">Sheet2!Z$15+('RNG HERE'!X54-'RNG HERE'!AV$32)*Sheet2!Z$16/'RNG HERE'!AV$33</f>
        <v>7.4971787565270214</v>
      </c>
    </row>
    <row r="55" spans="1:97" x14ac:dyDescent="0.3">
      <c r="A55" s="8" cm="1">
        <f t="array" aca="1" ref="A55" ca="1">[1]!UNIFORM_INV(RAND(),Sheet2!C$15-SQRT(3)*Sheet2!C$16,Sheet2!C$15+SQRT(3)*Sheet2!C$16)</f>
        <v>6.0275866010733345</v>
      </c>
      <c r="B55" s="8" cm="1">
        <f t="array" aca="1" ref="B55" ca="1">[1]!UNIFORM_INV(RAND(),Sheet2!D$15-SQRT(3)*Sheet2!D$16,Sheet2!D$15+SQRT(3)*Sheet2!D$16)</f>
        <v>9.929086620160346</v>
      </c>
      <c r="C55" s="8" cm="1">
        <f t="array" aca="1" ref="C55" ca="1">[1]!UNIFORM_INV(RAND(),Sheet2!E$15-SQRT(3)*Sheet2!E$16,Sheet2!E$15+SQRT(3)*Sheet2!E$16)</f>
        <v>19.645988636168056</v>
      </c>
      <c r="D55" s="8" cm="1">
        <f t="array" aca="1" ref="D55" ca="1">[1]!UNIFORM_INV(RAND(),Sheet2!F$15-SQRT(3)*Sheet2!F$16,Sheet2!F$15+SQRT(3)*Sheet2!F$16)</f>
        <v>18.115523975753142</v>
      </c>
      <c r="E55" s="8" cm="1">
        <f t="array" aca="1" ref="E55" ca="1">[1]!UNIFORM_INV(RAND(),Sheet2!G$15-SQRT(3)*Sheet2!G$16,Sheet2!G$15+SQRT(3)*Sheet2!G$16)</f>
        <v>22.063693954785947</v>
      </c>
      <c r="F55" s="8" cm="1">
        <f t="array" aca="1" ref="F55" ca="1">[1]!UNIFORM_INV(RAND(),Sheet2!H$15-SQRT(3)*Sheet2!H$16,Sheet2!H$15+SQRT(3)*Sheet2!H$16)</f>
        <v>34.581442617210804</v>
      </c>
      <c r="G55" s="8" cm="1">
        <f t="array" aca="1" ref="G55" ca="1">[1]!UNIFORM_INV(RAND(),Sheet2!I$15-SQRT(3)*Sheet2!I$16,Sheet2!I$15+SQRT(3)*Sheet2!I$16)</f>
        <v>13.336250917193983</v>
      </c>
      <c r="H55" s="8" cm="1">
        <f t="array" aca="1" ref="H55" ca="1">[1]!UNIFORM_INV(RAND(),Sheet2!J$15-SQRT(3)*Sheet2!J$16,Sheet2!J$15+SQRT(3)*Sheet2!J$16)</f>
        <v>21.884710678494347</v>
      </c>
      <c r="I55" s="8" cm="1">
        <f t="array" aca="1" ref="I55" ca="1">[1]!UNIFORM_INV(RAND(),Sheet2!K$15-SQRT(3)*Sheet2!K$16,Sheet2!K$15+SQRT(3)*Sheet2!K$16)</f>
        <v>23.336014667642505</v>
      </c>
      <c r="J55" s="8" cm="1">
        <f t="array" aca="1" ref="J55" ca="1">[1]!UNIFORM_INV(RAND(),Sheet2!L$15-SQRT(3)*Sheet2!L$16,Sheet2!L$15+SQRT(3)*Sheet2!L$16)</f>
        <v>23.952110096986715</v>
      </c>
      <c r="K55" s="8" cm="1">
        <f t="array" aca="1" ref="K55" ca="1">[1]!UNIFORM_INV(RAND(),Sheet2!M$15-SQRT(3)*Sheet2!M$16,Sheet2!M$15+SQRT(3)*Sheet2!M$16)</f>
        <v>16.062351829769941</v>
      </c>
      <c r="L55" s="8" cm="1">
        <f t="array" aca="1" ref="L55" ca="1">[1]!UNIFORM_INV(RAND(),Sheet2!N$15-SQRT(3)*Sheet2!N$16,Sheet2!N$15+SQRT(3)*Sheet2!N$16)</f>
        <v>9.4730677916087931</v>
      </c>
      <c r="M55" s="8" cm="1">
        <f t="array" aca="1" ref="M55" ca="1">[1]!UNIFORM_INV(RAND(),Sheet2!O$15-SQRT(3)*Sheet2!O$16,Sheet2!O$15+SQRT(3)*Sheet2!O$16)</f>
        <v>6.0891529921794421</v>
      </c>
      <c r="N55" s="8" cm="1">
        <f t="array" aca="1" ref="N55" ca="1">[1]!UNIFORM_INV(RAND(),Sheet2!P$15-SQRT(3)*Sheet2!P$16,Sheet2!P$15+SQRT(3)*Sheet2!P$16)</f>
        <v>25.073553305862031</v>
      </c>
      <c r="O55" s="8" cm="1">
        <f t="array" aca="1" ref="O55" ca="1">[1]!UNIFORM_INV(RAND(),Sheet2!Q$15-SQRT(3)*Sheet2!Q$16,Sheet2!Q$15+SQRT(3)*Sheet2!Q$16)</f>
        <v>7.9761972651641253</v>
      </c>
      <c r="P55" s="8" cm="1">
        <f t="array" aca="1" ref="P55" ca="1">[1]!UNIFORM_INV(RAND(),Sheet2!R$15-SQRT(3)*Sheet2!R$16,Sheet2!R$15+SQRT(3)*Sheet2!R$16)</f>
        <v>7.6796304116202529</v>
      </c>
      <c r="Q55" s="8" cm="1">
        <f t="array" aca="1" ref="Q55" ca="1">[1]!UNIFORM_INV(RAND(),Sheet2!S$15-SQRT(3)*Sheet2!S$16,Sheet2!S$15+SQRT(3)*Sheet2!S$16)</f>
        <v>2.6762636671878424</v>
      </c>
      <c r="R55" s="8" cm="1">
        <f t="array" aca="1" ref="R55" ca="1">[1]!UNIFORM_INV(RAND(),Sheet2!T$15-SQRT(3)*Sheet2!T$16,Sheet2!T$15+SQRT(3)*Sheet2!T$16)</f>
        <v>17.040157092575619</v>
      </c>
      <c r="S55" s="8" cm="1">
        <f t="array" aca="1" ref="S55" ca="1">[1]!UNIFORM_INV(RAND(),Sheet2!U$15-SQRT(3)*Sheet2!U$16,Sheet2!U$15+SQRT(3)*Sheet2!U$16)</f>
        <v>24.338207895945228</v>
      </c>
      <c r="T55" s="8" cm="1">
        <f t="array" aca="1" ref="T55" ca="1">[1]!UNIFORM_INV(RAND(),Sheet2!V$15-SQRT(3)*Sheet2!V$16,Sheet2!V$15+SQRT(3)*Sheet2!V$16)</f>
        <v>20.483124637962501</v>
      </c>
      <c r="U55" s="8" cm="1">
        <f t="array" aca="1" ref="U55" ca="1">[1]!UNIFORM_INV(RAND(),Sheet2!W$15-SQRT(3)*Sheet2!W$16,Sheet2!W$15+SQRT(3)*Sheet2!W$16)</f>
        <v>26.547330073310984</v>
      </c>
      <c r="V55" s="8" cm="1">
        <f t="array" aca="1" ref="V55" ca="1">[1]!UNIFORM_INV(RAND(),Sheet2!X$15-SQRT(3)*Sheet2!X$16,Sheet2!X$15+SQRT(3)*Sheet2!X$16)</f>
        <v>19.770085073178137</v>
      </c>
      <c r="W55" s="8" cm="1">
        <f t="array" aca="1" ref="W55" ca="1">[1]!UNIFORM_INV(RAND(),Sheet2!Y$15-SQRT(3)*Sheet2!Y$16,Sheet2!Y$15+SQRT(3)*Sheet2!Y$16)</f>
        <v>21.042338176400527</v>
      </c>
      <c r="X55" s="8" cm="1">
        <f t="array" aca="1" ref="X55" ca="1">[1]!UNIFORM_INV(RAND(),Sheet2!Z$15-SQRT(3)*Sheet2!Z$16,Sheet2!Z$15+SQRT(3)*Sheet2!Z$16)</f>
        <v>8.7476846140201605</v>
      </c>
      <c r="AX55" s="7">
        <f ca="1">Sheet2!C$15+('RNG HERE'!A55-'RNG HERE'!Y$32)*Sheet2!C$16/'RNG HERE'!Y$33</f>
        <v>5.9274323250035827</v>
      </c>
      <c r="AY55" s="7">
        <f ca="1">Sheet2!D$15+('RNG HERE'!B55-'RNG HERE'!Z$32)*Sheet2!D$16/'RNG HERE'!Z$33</f>
        <v>9.5389304630163263</v>
      </c>
      <c r="AZ55" s="7">
        <f ca="1">Sheet2!E$15+('RNG HERE'!C55-'RNG HERE'!AA$32)*Sheet2!E$16/'RNG HERE'!AA$33</f>
        <v>19.862913721136039</v>
      </c>
      <c r="BA55" s="7">
        <f ca="1">Sheet2!F$15+('RNG HERE'!D55-'RNG HERE'!AB$32)*Sheet2!F$16/'RNG HERE'!AB$33</f>
        <v>18.129361080122369</v>
      </c>
      <c r="BB55" s="7">
        <f ca="1">Sheet2!G$15+('RNG HERE'!E55-'RNG HERE'!AC$32)*Sheet2!G$16/'RNG HERE'!AC$33</f>
        <v>21.943166475575378</v>
      </c>
      <c r="BC55" s="7">
        <f ca="1">Sheet2!H$15+('RNG HERE'!F55-'RNG HERE'!AD$32)*Sheet2!H$16/'RNG HERE'!AD$33</f>
        <v>33.133934313933473</v>
      </c>
      <c r="BD55" s="7">
        <f ca="1">Sheet2!I$15+('RNG HERE'!G55-'RNG HERE'!AE$32)*Sheet2!I$16/'RNG HERE'!AE$33</f>
        <v>13.441135372336538</v>
      </c>
      <c r="BE55" s="7">
        <f ca="1">Sheet2!J$15+('RNG HERE'!H55-'RNG HERE'!AF$32)*Sheet2!J$16/'RNG HERE'!AF$33</f>
        <v>21.956143407276276</v>
      </c>
      <c r="BF55" s="7">
        <f ca="1">Sheet2!K$15+('RNG HERE'!I55-'RNG HERE'!AG$32)*Sheet2!K$16/'RNG HERE'!AG$33</f>
        <v>23.637976406797616</v>
      </c>
      <c r="BG55" s="7">
        <f ca="1">Sheet2!L$15+('RNG HERE'!J55-'RNG HERE'!AH$32)*Sheet2!L$16/'RNG HERE'!AH$33</f>
        <v>23.705965916846363</v>
      </c>
      <c r="BH55" s="7">
        <f ca="1">Sheet2!M$15+('RNG HERE'!K55-'RNG HERE'!AI$32)*Sheet2!M$16/'RNG HERE'!AI$33</f>
        <v>16.092404342584196</v>
      </c>
      <c r="BI55" s="7">
        <f ca="1">Sheet2!N$15+('RNG HERE'!L55-'RNG HERE'!AJ$32)*Sheet2!N$16/'RNG HERE'!AJ$33</f>
        <v>9.3775614707984296</v>
      </c>
      <c r="BJ55" s="7">
        <f ca="1">Sheet2!O$15+('RNG HERE'!M55-'RNG HERE'!AK$32)*Sheet2!O$16/'RNG HERE'!AK$33</f>
        <v>6.3216055928434551</v>
      </c>
      <c r="BK55" s="7">
        <f ca="1">Sheet2!P$15+('RNG HERE'!N55-'RNG HERE'!AL$32)*Sheet2!P$16/'RNG HERE'!AL$33</f>
        <v>25.008615999981622</v>
      </c>
      <c r="BL55" s="7">
        <f ca="1">Sheet2!Q$15+('RNG HERE'!O55-'RNG HERE'!AM$32)*Sheet2!Q$16/'RNG HERE'!AM$33</f>
        <v>7.8125572244854764</v>
      </c>
      <c r="BM55" s="7">
        <f ca="1">Sheet2!R$15+('RNG HERE'!P55-'RNG HERE'!AN$32)*Sheet2!R$16/'RNG HERE'!AN$33</f>
        <v>7.4593174992196207</v>
      </c>
      <c r="BN55" s="7">
        <f ca="1">Sheet2!S$15+('RNG HERE'!Q55-'RNG HERE'!AO$32)*Sheet2!S$16/'RNG HERE'!AO$33</f>
        <v>2.8303627771011883</v>
      </c>
      <c r="BO55" s="7">
        <f ca="1">Sheet2!T$15+('RNG HERE'!R55-'RNG HERE'!AP$32)*Sheet2!T$16/'RNG HERE'!AP$33</f>
        <v>16.48407571850413</v>
      </c>
      <c r="BP55" s="7">
        <f ca="1">Sheet2!U$15+('RNG HERE'!S55-'RNG HERE'!AQ$32)*Sheet2!U$16/'RNG HERE'!AQ$33</f>
        <v>24.405121412005549</v>
      </c>
      <c r="BQ55" s="7">
        <f ca="1">Sheet2!V$15+('RNG HERE'!T55-'RNG HERE'!AR$32)*Sheet2!V$16/'RNG HERE'!AR$33</f>
        <v>20.223203552863776</v>
      </c>
      <c r="BR55" s="7">
        <f ca="1">Sheet2!W$15+('RNG HERE'!U55-'RNG HERE'!AS$32)*Sheet2!W$16/'RNG HERE'!AS$33</f>
        <v>26.683550073602436</v>
      </c>
      <c r="BS55" s="7">
        <f ca="1">Sheet2!X$15+('RNG HERE'!V55-'RNG HERE'!AT$32)*Sheet2!X$16/'RNG HERE'!AT$33</f>
        <v>19.978719247995969</v>
      </c>
      <c r="BT55" s="7">
        <f ca="1">Sheet2!Y$15+('RNG HERE'!W55-'RNG HERE'!AU$32)*Sheet2!Y$16/'RNG HERE'!AU$33</f>
        <v>20.918485561124527</v>
      </c>
      <c r="BU55" s="7">
        <f ca="1">Sheet2!Z$15+('RNG HERE'!X55-'RNG HERE'!AV$32)*Sheet2!Z$16/'RNG HERE'!AV$33</f>
        <v>8.9009699373606743</v>
      </c>
    </row>
    <row r="56" spans="1:97" x14ac:dyDescent="0.3">
      <c r="A56" s="8" cm="1">
        <f t="array" aca="1" ref="A56" ca="1">[1]!UNIFORM_INV(RAND(),Sheet2!C$15-SQRT(3)*Sheet2!C$16,Sheet2!C$15+SQRT(3)*Sheet2!C$16)</f>
        <v>6.0949134309563346</v>
      </c>
      <c r="B56" s="8" cm="1">
        <f t="array" aca="1" ref="B56" ca="1">[1]!UNIFORM_INV(RAND(),Sheet2!D$15-SQRT(3)*Sheet2!D$16,Sheet2!D$15+SQRT(3)*Sheet2!D$16)</f>
        <v>6.9343458839277261</v>
      </c>
      <c r="C56" s="8" cm="1">
        <f t="array" aca="1" ref="C56" ca="1">[1]!UNIFORM_INV(RAND(),Sheet2!E$15-SQRT(3)*Sheet2!E$16,Sheet2!E$15+SQRT(3)*Sheet2!E$16)</f>
        <v>15.724452747324143</v>
      </c>
      <c r="D56" s="8" cm="1">
        <f t="array" aca="1" ref="D56" ca="1">[1]!UNIFORM_INV(RAND(),Sheet2!F$15-SQRT(3)*Sheet2!F$16,Sheet2!F$15+SQRT(3)*Sheet2!F$16)</f>
        <v>15.032766052651029</v>
      </c>
      <c r="E56" s="8" cm="1">
        <f t="array" aca="1" ref="E56" ca="1">[1]!UNIFORM_INV(RAND(),Sheet2!G$15-SQRT(3)*Sheet2!G$16,Sheet2!G$15+SQRT(3)*Sheet2!G$16)</f>
        <v>19.928174327798747</v>
      </c>
      <c r="F56" s="8" cm="1">
        <f t="array" aca="1" ref="F56" ca="1">[1]!UNIFORM_INV(RAND(),Sheet2!H$15-SQRT(3)*Sheet2!H$16,Sheet2!H$15+SQRT(3)*Sheet2!H$16)</f>
        <v>34.121508936704672</v>
      </c>
      <c r="G56" s="8" cm="1">
        <f t="array" aca="1" ref="G56" ca="1">[1]!UNIFORM_INV(RAND(),Sheet2!I$15-SQRT(3)*Sheet2!I$16,Sheet2!I$15+SQRT(3)*Sheet2!I$16)</f>
        <v>12.012872256175326</v>
      </c>
      <c r="H56" s="8" cm="1">
        <f t="array" aca="1" ref="H56" ca="1">[1]!UNIFORM_INV(RAND(),Sheet2!J$15-SQRT(3)*Sheet2!J$16,Sheet2!J$15+SQRT(3)*Sheet2!J$16)</f>
        <v>21.010239107474696</v>
      </c>
      <c r="I56" s="8" cm="1">
        <f t="array" aca="1" ref="I56" ca="1">[1]!UNIFORM_INV(RAND(),Sheet2!K$15-SQRT(3)*Sheet2!K$16,Sheet2!K$15+SQRT(3)*Sheet2!K$16)</f>
        <v>25.608617980311276</v>
      </c>
      <c r="J56" s="8" cm="1">
        <f t="array" aca="1" ref="J56" ca="1">[1]!UNIFORM_INV(RAND(),Sheet2!L$15-SQRT(3)*Sheet2!L$16,Sheet2!L$15+SQRT(3)*Sheet2!L$16)</f>
        <v>21.334270753688223</v>
      </c>
      <c r="K56" s="8" cm="1">
        <f t="array" aca="1" ref="K56" ca="1">[1]!UNIFORM_INV(RAND(),Sheet2!M$15-SQRT(3)*Sheet2!M$16,Sheet2!M$15+SQRT(3)*Sheet2!M$16)</f>
        <v>17.774487930706243</v>
      </c>
      <c r="L56" s="8" cm="1">
        <f t="array" aca="1" ref="L56" ca="1">[1]!UNIFORM_INV(RAND(),Sheet2!N$15-SQRT(3)*Sheet2!N$16,Sheet2!N$15+SQRT(3)*Sheet2!N$16)</f>
        <v>8.3173599359807895</v>
      </c>
      <c r="M56" s="8" cm="1">
        <f t="array" aca="1" ref="M56" ca="1">[1]!UNIFORM_INV(RAND(),Sheet2!O$15-SQRT(3)*Sheet2!O$16,Sheet2!O$15+SQRT(3)*Sheet2!O$16)</f>
        <v>5.6330990377761383</v>
      </c>
      <c r="N56" s="8" cm="1">
        <f t="array" aca="1" ref="N56" ca="1">[1]!UNIFORM_INV(RAND(),Sheet2!P$15-SQRT(3)*Sheet2!P$16,Sheet2!P$15+SQRT(3)*Sheet2!P$16)</f>
        <v>23.521174775356595</v>
      </c>
      <c r="O56" s="8" cm="1">
        <f t="array" aca="1" ref="O56" ca="1">[1]!UNIFORM_INV(RAND(),Sheet2!Q$15-SQRT(3)*Sheet2!Q$16,Sheet2!Q$15+SQRT(3)*Sheet2!Q$16)</f>
        <v>8.3101592249549139</v>
      </c>
      <c r="P56" s="8" cm="1">
        <f t="array" aca="1" ref="P56" ca="1">[1]!UNIFORM_INV(RAND(),Sheet2!R$15-SQRT(3)*Sheet2!R$16,Sheet2!R$15+SQRT(3)*Sheet2!R$16)</f>
        <v>8.3508723319013072</v>
      </c>
      <c r="Q56" s="8" cm="1">
        <f t="array" aca="1" ref="Q56" ca="1">[1]!UNIFORM_INV(RAND(),Sheet2!S$15-SQRT(3)*Sheet2!S$16,Sheet2!S$15+SQRT(3)*Sheet2!S$16)</f>
        <v>2.9505597936169439</v>
      </c>
      <c r="R56" s="8" cm="1">
        <f t="array" aca="1" ref="R56" ca="1">[1]!UNIFORM_INV(RAND(),Sheet2!T$15-SQRT(3)*Sheet2!T$16,Sheet2!T$15+SQRT(3)*Sheet2!T$16)</f>
        <v>18.78206793024183</v>
      </c>
      <c r="S56" s="8" cm="1">
        <f t="array" aca="1" ref="S56" ca="1">[1]!UNIFORM_INV(RAND(),Sheet2!U$15-SQRT(3)*Sheet2!U$16,Sheet2!U$15+SQRT(3)*Sheet2!U$16)</f>
        <v>23.877843594523878</v>
      </c>
      <c r="T56" s="8" cm="1">
        <f t="array" aca="1" ref="T56" ca="1">[1]!UNIFORM_INV(RAND(),Sheet2!V$15-SQRT(3)*Sheet2!V$16,Sheet2!V$15+SQRT(3)*Sheet2!V$16)</f>
        <v>23.22942232345595</v>
      </c>
      <c r="U56" s="8" cm="1">
        <f t="array" aca="1" ref="U56" ca="1">[1]!UNIFORM_INV(RAND(),Sheet2!W$15-SQRT(3)*Sheet2!W$16,Sheet2!W$15+SQRT(3)*Sheet2!W$16)</f>
        <v>27.420871760374606</v>
      </c>
      <c r="V56" s="8" cm="1">
        <f t="array" aca="1" ref="V56" ca="1">[1]!UNIFORM_INV(RAND(),Sheet2!X$15-SQRT(3)*Sheet2!X$16,Sheet2!X$15+SQRT(3)*Sheet2!X$16)</f>
        <v>19.871996082399743</v>
      </c>
      <c r="W56" s="8" cm="1">
        <f t="array" aca="1" ref="W56" ca="1">[1]!UNIFORM_INV(RAND(),Sheet2!Y$15-SQRT(3)*Sheet2!Y$16,Sheet2!Y$15+SQRT(3)*Sheet2!Y$16)</f>
        <v>22.663041931477455</v>
      </c>
      <c r="X56" s="8" cm="1">
        <f t="array" aca="1" ref="X56" ca="1">[1]!UNIFORM_INV(RAND(),Sheet2!Z$15-SQRT(3)*Sheet2!Z$16,Sheet2!Z$15+SQRT(3)*Sheet2!Z$16)</f>
        <v>7.660306620052677</v>
      </c>
      <c r="AX56" s="7">
        <f ca="1">Sheet2!C$15+('RNG HERE'!A56-'RNG HERE'!Y$32)*Sheet2!C$16/'RNG HERE'!Y$33</f>
        <v>5.9957434442280944</v>
      </c>
      <c r="AY56" s="7">
        <f ca="1">Sheet2!D$15+('RNG HERE'!B56-'RNG HERE'!Z$32)*Sheet2!D$16/'RNG HERE'!Z$33</f>
        <v>5.9806662745634949</v>
      </c>
      <c r="AZ56" s="7">
        <f ca="1">Sheet2!E$15+('RNG HERE'!C56-'RNG HERE'!AA$32)*Sheet2!E$16/'RNG HERE'!AA$33</f>
        <v>15.708280195175197</v>
      </c>
      <c r="BA56" s="7">
        <f ca="1">Sheet2!F$15+('RNG HERE'!D56-'RNG HERE'!AB$32)*Sheet2!F$16/'RNG HERE'!AB$33</f>
        <v>15.272746058751816</v>
      </c>
      <c r="BB56" s="7">
        <f ca="1">Sheet2!G$15+('RNG HERE'!E56-'RNG HERE'!AC$32)*Sheet2!G$16/'RNG HERE'!AC$33</f>
        <v>19.489108099988577</v>
      </c>
      <c r="BC56" s="7">
        <f ca="1">Sheet2!H$15+('RNG HERE'!F56-'RNG HERE'!AD$32)*Sheet2!H$16/'RNG HERE'!AD$33</f>
        <v>32.65072889031142</v>
      </c>
      <c r="BD56" s="7">
        <f ca="1">Sheet2!I$15+('RNG HERE'!G56-'RNG HERE'!AE$32)*Sheet2!I$16/'RNG HERE'!AE$33</f>
        <v>11.928524778923032</v>
      </c>
      <c r="BE56" s="7">
        <f ca="1">Sheet2!J$15+('RNG HERE'!H56-'RNG HERE'!AF$32)*Sheet2!J$16/'RNG HERE'!AF$33</f>
        <v>21.092712703219728</v>
      </c>
      <c r="BF56" s="7">
        <f ca="1">Sheet2!K$15+('RNG HERE'!I56-'RNG HERE'!AG$32)*Sheet2!K$16/'RNG HERE'!AG$33</f>
        <v>26.173634519118135</v>
      </c>
      <c r="BG56" s="7">
        <f ca="1">Sheet2!L$15+('RNG HERE'!J56-'RNG HERE'!AH$32)*Sheet2!L$16/'RNG HERE'!AH$33</f>
        <v>20.887040676284037</v>
      </c>
      <c r="BH56" s="7">
        <f ca="1">Sheet2!M$15+('RNG HERE'!K56-'RNG HERE'!AI$32)*Sheet2!M$16/'RNG HERE'!AI$33</f>
        <v>17.833782978738597</v>
      </c>
      <c r="BI56" s="7">
        <f ca="1">Sheet2!N$15+('RNG HERE'!L56-'RNG HERE'!AJ$32)*Sheet2!N$16/'RNG HERE'!AJ$33</f>
        <v>8.1734565403908039</v>
      </c>
      <c r="BJ56" s="7">
        <f ca="1">Sheet2!O$15+('RNG HERE'!M56-'RNG HERE'!AK$32)*Sheet2!O$16/'RNG HERE'!AK$33</f>
        <v>5.8506791492281387</v>
      </c>
      <c r="BK56" s="7">
        <f ca="1">Sheet2!P$15+('RNG HERE'!N56-'RNG HERE'!AL$32)*Sheet2!P$16/'RNG HERE'!AL$33</f>
        <v>23.269761693308517</v>
      </c>
      <c r="BL56" s="7">
        <f ca="1">Sheet2!Q$15+('RNG HERE'!O56-'RNG HERE'!AM$32)*Sheet2!Q$16/'RNG HERE'!AM$33</f>
        <v>8.1575701487334999</v>
      </c>
      <c r="BM56" s="7">
        <f ca="1">Sheet2!R$15+('RNG HERE'!P56-'RNG HERE'!AN$32)*Sheet2!R$16/'RNG HERE'!AN$33</f>
        <v>8.1647688763794193</v>
      </c>
      <c r="BN56" s="7">
        <f ca="1">Sheet2!S$15+('RNG HERE'!Q56-'RNG HERE'!AO$32)*Sheet2!S$16/'RNG HERE'!AO$33</f>
        <v>3.1131296980923455</v>
      </c>
      <c r="BO56" s="7">
        <f ca="1">Sheet2!T$15+('RNG HERE'!R56-'RNG HERE'!AP$32)*Sheet2!T$16/'RNG HERE'!AP$33</f>
        <v>18.458902200927149</v>
      </c>
      <c r="BP56" s="7">
        <f ca="1">Sheet2!U$15+('RNG HERE'!S56-'RNG HERE'!AQ$32)*Sheet2!U$16/'RNG HERE'!AQ$33</f>
        <v>23.897211877297018</v>
      </c>
      <c r="BQ56" s="7">
        <f ca="1">Sheet2!V$15+('RNG HERE'!T56-'RNG HERE'!AR$32)*Sheet2!V$16/'RNG HERE'!AR$33</f>
        <v>23.03921736534226</v>
      </c>
      <c r="BR56" s="7">
        <f ca="1">Sheet2!W$15+('RNG HERE'!U56-'RNG HERE'!AS$32)*Sheet2!W$16/'RNG HERE'!AS$33</f>
        <v>27.697594855317057</v>
      </c>
      <c r="BS56" s="7">
        <f ca="1">Sheet2!X$15+('RNG HERE'!V56-'RNG HERE'!AT$32)*Sheet2!X$16/'RNG HERE'!AT$33</f>
        <v>20.073199881018819</v>
      </c>
      <c r="BT56" s="7">
        <f ca="1">Sheet2!Y$15+('RNG HERE'!W56-'RNG HERE'!AU$32)*Sheet2!Y$16/'RNG HERE'!AU$33</f>
        <v>22.762525297693475</v>
      </c>
      <c r="BU56" s="7">
        <f ca="1">Sheet2!Z$15+('RNG HERE'!X56-'RNG HERE'!AV$32)*Sheet2!Z$16/'RNG HERE'!AV$33</f>
        <v>7.7955937167805631</v>
      </c>
    </row>
    <row r="57" spans="1:97" x14ac:dyDescent="0.3">
      <c r="A57" s="8" cm="1">
        <f t="array" aca="1" ref="A57" ca="1">[1]!UNIFORM_INV(RAND(),Sheet2!C$15-SQRT(3)*Sheet2!C$16,Sheet2!C$15+SQRT(3)*Sheet2!C$16)</f>
        <v>3.6944270143708553</v>
      </c>
      <c r="B57" s="8" cm="1">
        <f t="array" aca="1" ref="B57" ca="1">[1]!UNIFORM_INV(RAND(),Sheet2!D$15-SQRT(3)*Sheet2!D$16,Sheet2!D$15+SQRT(3)*Sheet2!D$16)</f>
        <v>11.058895467187924</v>
      </c>
      <c r="C57" s="8" cm="1">
        <f t="array" aca="1" ref="C57" ca="1">[1]!UNIFORM_INV(RAND(),Sheet2!E$15-SQRT(3)*Sheet2!E$16,Sheet2!E$15+SQRT(3)*Sheet2!E$16)</f>
        <v>16.745466392226295</v>
      </c>
      <c r="D57" s="8" cm="1">
        <f t="array" aca="1" ref="D57" ca="1">[1]!UNIFORM_INV(RAND(),Sheet2!F$15-SQRT(3)*Sheet2!F$16,Sheet2!F$15+SQRT(3)*Sheet2!F$16)</f>
        <v>13.134761123140201</v>
      </c>
      <c r="E57" s="8" cm="1">
        <f t="array" aca="1" ref="E57" ca="1">[1]!UNIFORM_INV(RAND(),Sheet2!G$15-SQRT(3)*Sheet2!G$16,Sheet2!G$15+SQRT(3)*Sheet2!G$16)</f>
        <v>26.193779821894854</v>
      </c>
      <c r="F57" s="8" cm="1">
        <f t="array" aca="1" ref="F57" ca="1">[1]!UNIFORM_INV(RAND(),Sheet2!H$15-SQRT(3)*Sheet2!H$16,Sheet2!H$15+SQRT(3)*Sheet2!H$16)</f>
        <v>25.944251545208349</v>
      </c>
      <c r="G57" s="8" cm="1">
        <f t="array" aca="1" ref="G57" ca="1">[1]!UNIFORM_INV(RAND(),Sheet2!I$15-SQRT(3)*Sheet2!I$16,Sheet2!I$15+SQRT(3)*Sheet2!I$16)</f>
        <v>12.256012111340297</v>
      </c>
      <c r="H57" s="8" cm="1">
        <f t="array" aca="1" ref="H57" ca="1">[1]!UNIFORM_INV(RAND(),Sheet2!J$15-SQRT(3)*Sheet2!J$16,Sheet2!J$15+SQRT(3)*Sheet2!J$16)</f>
        <v>20.743158412610548</v>
      </c>
      <c r="I57" s="8" cm="1">
        <f t="array" aca="1" ref="I57" ca="1">[1]!UNIFORM_INV(RAND(),Sheet2!K$15-SQRT(3)*Sheet2!K$16,Sheet2!K$15+SQRT(3)*Sheet2!K$16)</f>
        <v>26.651518810260907</v>
      </c>
      <c r="J57" s="8" cm="1">
        <f t="array" aca="1" ref="J57" ca="1">[1]!UNIFORM_INV(RAND(),Sheet2!L$15-SQRT(3)*Sheet2!L$16,Sheet2!L$15+SQRT(3)*Sheet2!L$16)</f>
        <v>22.217891697131488</v>
      </c>
      <c r="K57" s="8" cm="1">
        <f t="array" aca="1" ref="K57" ca="1">[1]!UNIFORM_INV(RAND(),Sheet2!M$15-SQRT(3)*Sheet2!M$16,Sheet2!M$15+SQRT(3)*Sheet2!M$16)</f>
        <v>16.145541862348701</v>
      </c>
      <c r="L57" s="8" cm="1">
        <f t="array" aca="1" ref="L57" ca="1">[1]!UNIFORM_INV(RAND(),Sheet2!N$15-SQRT(3)*Sheet2!N$16,Sheet2!N$15+SQRT(3)*Sheet2!N$16)</f>
        <v>8.5214358058201736</v>
      </c>
      <c r="M57" s="8" cm="1">
        <f t="array" aca="1" ref="M57" ca="1">[1]!UNIFORM_INV(RAND(),Sheet2!O$15-SQRT(3)*Sheet2!O$16,Sheet2!O$15+SQRT(3)*Sheet2!O$16)</f>
        <v>3.2549272789004546</v>
      </c>
      <c r="N57" s="8" cm="1">
        <f t="array" aca="1" ref="N57" ca="1">[1]!UNIFORM_INV(RAND(),Sheet2!P$15-SQRT(3)*Sheet2!P$16,Sheet2!P$15+SQRT(3)*Sheet2!P$16)</f>
        <v>23.930243778536443</v>
      </c>
      <c r="O57" s="8" cm="1">
        <f t="array" aca="1" ref="O57" ca="1">[1]!UNIFORM_INV(RAND(),Sheet2!Q$15-SQRT(3)*Sheet2!Q$16,Sheet2!Q$15+SQRT(3)*Sheet2!Q$16)</f>
        <v>8.7476938325567399</v>
      </c>
      <c r="P57" s="8" cm="1">
        <f t="array" aca="1" ref="P57" ca="1">[1]!UNIFORM_INV(RAND(),Sheet2!R$15-SQRT(3)*Sheet2!R$16,Sheet2!R$15+SQRT(3)*Sheet2!R$16)</f>
        <v>9.6233505954774561</v>
      </c>
      <c r="Q57" s="8" cm="1">
        <f t="array" aca="1" ref="Q57" ca="1">[1]!UNIFORM_INV(RAND(),Sheet2!S$15-SQRT(3)*Sheet2!S$16,Sheet2!S$15+SQRT(3)*Sheet2!S$16)</f>
        <v>3.6116882075740229</v>
      </c>
      <c r="R57" s="8" cm="1">
        <f t="array" aca="1" ref="R57" ca="1">[1]!UNIFORM_INV(RAND(),Sheet2!T$15-SQRT(3)*Sheet2!T$16,Sheet2!T$15+SQRT(3)*Sheet2!T$16)</f>
        <v>15.871850856539304</v>
      </c>
      <c r="S57" s="8" cm="1">
        <f t="array" aca="1" ref="S57" ca="1">[1]!UNIFORM_INV(RAND(),Sheet2!U$15-SQRT(3)*Sheet2!U$16,Sheet2!U$15+SQRT(3)*Sheet2!U$16)</f>
        <v>23.915628523963939</v>
      </c>
      <c r="T57" s="8" cm="1">
        <f t="array" aca="1" ref="T57" ca="1">[1]!UNIFORM_INV(RAND(),Sheet2!V$15-SQRT(3)*Sheet2!V$16,Sheet2!V$15+SQRT(3)*Sheet2!V$16)</f>
        <v>21.07934028354564</v>
      </c>
      <c r="U57" s="8" cm="1">
        <f t="array" aca="1" ref="U57" ca="1">[1]!UNIFORM_INV(RAND(),Sheet2!W$15-SQRT(3)*Sheet2!W$16,Sheet2!W$15+SQRT(3)*Sheet2!W$16)</f>
        <v>24.946467022113737</v>
      </c>
      <c r="V57" s="8" cm="1">
        <f t="array" aca="1" ref="V57" ca="1">[1]!UNIFORM_INV(RAND(),Sheet2!X$15-SQRT(3)*Sheet2!X$16,Sheet2!X$15+SQRT(3)*Sheet2!X$16)</f>
        <v>19.896959433925293</v>
      </c>
      <c r="W57" s="8" cm="1">
        <f t="array" aca="1" ref="W57" ca="1">[1]!UNIFORM_INV(RAND(),Sheet2!Y$15-SQRT(3)*Sheet2!Y$16,Sheet2!Y$15+SQRT(3)*Sheet2!Y$16)</f>
        <v>21.666686532306919</v>
      </c>
      <c r="X57" s="8" cm="1">
        <f t="array" aca="1" ref="X57" ca="1">[1]!UNIFORM_INV(RAND(),Sheet2!Z$15-SQRT(3)*Sheet2!Z$16,Sheet2!Z$15+SQRT(3)*Sheet2!Z$16)</f>
        <v>8.8277993032355138</v>
      </c>
      <c r="AX57" s="7">
        <f ca="1">Sheet2!C$15+('RNG HERE'!A57-'RNG HERE'!Y$32)*Sheet2!C$16/'RNG HERE'!Y$33</f>
        <v>3.5601629470451051</v>
      </c>
      <c r="AY57" s="7">
        <f ca="1">Sheet2!D$15+('RNG HERE'!B57-'RNG HERE'!Z$32)*Sheet2!D$16/'RNG HERE'!Z$33</f>
        <v>10.881336605737303</v>
      </c>
      <c r="AZ57" s="7">
        <f ca="1">Sheet2!E$15+('RNG HERE'!C57-'RNG HERE'!AA$32)*Sheet2!E$16/'RNG HERE'!AA$33</f>
        <v>16.789983293096991</v>
      </c>
      <c r="BA57" s="7">
        <f ca="1">Sheet2!F$15+('RNG HERE'!D57-'RNG HERE'!AB$32)*Sheet2!F$16/'RNG HERE'!AB$33</f>
        <v>13.513973710250291</v>
      </c>
      <c r="BB57" s="7">
        <f ca="1">Sheet2!G$15+('RNG HERE'!E57-'RNG HERE'!AC$32)*Sheet2!G$16/'RNG HERE'!AC$33</f>
        <v>26.689304926370355</v>
      </c>
      <c r="BC57" s="7">
        <f ca="1">Sheet2!H$15+('RNG HERE'!F57-'RNG HERE'!AD$32)*Sheet2!H$16/'RNG HERE'!AD$33</f>
        <v>24.059718295965798</v>
      </c>
      <c r="BD57" s="7">
        <f ca="1">Sheet2!I$15+('RNG HERE'!G57-'RNG HERE'!AE$32)*Sheet2!I$16/'RNG HERE'!AE$33</f>
        <v>12.20643157267507</v>
      </c>
      <c r="BE57" s="7">
        <f ca="1">Sheet2!J$15+('RNG HERE'!H57-'RNG HERE'!AF$32)*Sheet2!J$16/'RNG HERE'!AF$33</f>
        <v>20.829004104737137</v>
      </c>
      <c r="BF57" s="7">
        <f ca="1">Sheet2!K$15+('RNG HERE'!I57-'RNG HERE'!AG$32)*Sheet2!K$16/'RNG HERE'!AG$33</f>
        <v>27.337251563529708</v>
      </c>
      <c r="BG57" s="7">
        <f ca="1">Sheet2!L$15+('RNG HERE'!J57-'RNG HERE'!AH$32)*Sheet2!L$16/'RNG HERE'!AH$33</f>
        <v>21.838535804103156</v>
      </c>
      <c r="BH57" s="7">
        <f ca="1">Sheet2!M$15+('RNG HERE'!K57-'RNG HERE'!AI$32)*Sheet2!M$16/'RNG HERE'!AI$33</f>
        <v>16.177015224507905</v>
      </c>
      <c r="BI57" s="7">
        <f ca="1">Sheet2!N$15+('RNG HERE'!L57-'RNG HERE'!AJ$32)*Sheet2!N$16/'RNG HERE'!AJ$33</f>
        <v>8.3860784065953045</v>
      </c>
      <c r="BJ57" s="7">
        <f ca="1">Sheet2!O$15+('RNG HERE'!M57-'RNG HERE'!AK$32)*Sheet2!O$16/'RNG HERE'!AK$33</f>
        <v>3.3949522381896613</v>
      </c>
      <c r="BK57" s="7">
        <f ca="1">Sheet2!P$15+('RNG HERE'!N57-'RNG HERE'!AL$32)*Sheet2!P$16/'RNG HERE'!AL$33</f>
        <v>23.727969136872012</v>
      </c>
      <c r="BL57" s="7">
        <f ca="1">Sheet2!Q$15+('RNG HERE'!O57-'RNG HERE'!AM$32)*Sheet2!Q$16/'RNG HERE'!AM$33</f>
        <v>8.6095829903247516</v>
      </c>
      <c r="BM57" s="7">
        <f ca="1">Sheet2!R$15+('RNG HERE'!P57-'RNG HERE'!AN$32)*Sheet2!R$16/'RNG HERE'!AN$33</f>
        <v>9.5020982599045745</v>
      </c>
      <c r="BN57" s="7">
        <f ca="1">Sheet2!S$15+('RNG HERE'!Q57-'RNG HERE'!AO$32)*Sheet2!S$16/'RNG HERE'!AO$33</f>
        <v>3.7946750353456986</v>
      </c>
      <c r="BO57" s="7">
        <f ca="1">Sheet2!T$15+('RNG HERE'!R57-'RNG HERE'!AP$32)*Sheet2!T$16/'RNG HERE'!AP$33</f>
        <v>15.159552072049511</v>
      </c>
      <c r="BP57" s="7">
        <f ca="1">Sheet2!U$15+('RNG HERE'!S57-'RNG HERE'!AQ$32)*Sheet2!U$16/'RNG HERE'!AQ$33</f>
        <v>23.93889913643428</v>
      </c>
      <c r="BQ57" s="7">
        <f ca="1">Sheet2!V$15+('RNG HERE'!T57-'RNG HERE'!AR$32)*Sheet2!V$16/'RNG HERE'!AR$33</f>
        <v>20.834554427915119</v>
      </c>
      <c r="BR57" s="7">
        <f ca="1">Sheet2!W$15+('RNG HERE'!U57-'RNG HERE'!AS$32)*Sheet2!W$16/'RNG HERE'!AS$33</f>
        <v>24.825199353371627</v>
      </c>
      <c r="BS57" s="7">
        <f ca="1">Sheet2!X$15+('RNG HERE'!V57-'RNG HERE'!AT$32)*Sheet2!X$16/'RNG HERE'!AT$33</f>
        <v>20.09634314368024</v>
      </c>
      <c r="BT57" s="7">
        <f ca="1">Sheet2!Y$15+('RNG HERE'!W57-'RNG HERE'!AU$32)*Sheet2!Y$16/'RNG HERE'!AU$33</f>
        <v>21.628870277730698</v>
      </c>
      <c r="BU57" s="7">
        <f ca="1">Sheet2!Z$15+('RNG HERE'!X57-'RNG HERE'!AV$32)*Sheet2!Z$16/'RNG HERE'!AV$33</f>
        <v>8.9824106809375248</v>
      </c>
    </row>
    <row r="58" spans="1:97" x14ac:dyDescent="0.3">
      <c r="A58" s="8" cm="1">
        <f t="array" aca="1" ref="A58" ca="1">[1]!UNIFORM_INV(RAND(),Sheet2!C$15-SQRT(3)*Sheet2!C$16,Sheet2!C$15+SQRT(3)*Sheet2!C$16)</f>
        <v>3.1346734591291097</v>
      </c>
      <c r="B58" s="8" cm="1">
        <f t="array" aca="1" ref="B58" ca="1">[1]!UNIFORM_INV(RAND(),Sheet2!D$15-SQRT(3)*Sheet2!D$16,Sheet2!D$15+SQRT(3)*Sheet2!D$16)</f>
        <v>9.4818525753948322</v>
      </c>
      <c r="C58" s="8" cm="1">
        <f t="array" aca="1" ref="C58" ca="1">[1]!UNIFORM_INV(RAND(),Sheet2!E$15-SQRT(3)*Sheet2!E$16,Sheet2!E$15+SQRT(3)*Sheet2!E$16)</f>
        <v>17.81084760456239</v>
      </c>
      <c r="D58" s="8" cm="1">
        <f t="array" aca="1" ref="D58" ca="1">[1]!UNIFORM_INV(RAND(),Sheet2!F$15-SQRT(3)*Sheet2!F$16,Sheet2!F$15+SQRT(3)*Sheet2!F$16)</f>
        <v>19.333605792751904</v>
      </c>
      <c r="E58" s="8" cm="1">
        <f t="array" aca="1" ref="E58" ca="1">[1]!UNIFORM_INV(RAND(),Sheet2!G$15-SQRT(3)*Sheet2!G$16,Sheet2!G$15+SQRT(3)*Sheet2!G$16)</f>
        <v>15.051090063896037</v>
      </c>
      <c r="F58" s="8" cm="1">
        <f t="array" aca="1" ref="F58" ca="1">[1]!UNIFORM_INV(RAND(),Sheet2!H$15-SQRT(3)*Sheet2!H$16,Sheet2!H$15+SQRT(3)*Sheet2!H$16)</f>
        <v>32.932397259960624</v>
      </c>
      <c r="G58" s="8" cm="1">
        <f t="array" aca="1" ref="G58" ca="1">[1]!UNIFORM_INV(RAND(),Sheet2!I$15-SQRT(3)*Sheet2!I$16,Sheet2!I$15+SQRT(3)*Sheet2!I$16)</f>
        <v>12.153928722519229</v>
      </c>
      <c r="H58" s="8" cm="1">
        <f t="array" aca="1" ref="H58" ca="1">[1]!UNIFORM_INV(RAND(),Sheet2!J$15-SQRT(3)*Sheet2!J$16,Sheet2!J$15+SQRT(3)*Sheet2!J$16)</f>
        <v>20.790051609551053</v>
      </c>
      <c r="I58" s="8" cm="1">
        <f t="array" aca="1" ref="I58" ca="1">[1]!UNIFORM_INV(RAND(),Sheet2!K$15-SQRT(3)*Sheet2!K$16,Sheet2!K$15+SQRT(3)*Sheet2!K$16)</f>
        <v>24.958777053225958</v>
      </c>
      <c r="J58" s="8" cm="1">
        <f t="array" aca="1" ref="J58" ca="1">[1]!UNIFORM_INV(RAND(),Sheet2!L$15-SQRT(3)*Sheet2!L$16,Sheet2!L$15+SQRT(3)*Sheet2!L$16)</f>
        <v>22.211860092905507</v>
      </c>
      <c r="K58" s="8" cm="1">
        <f t="array" aca="1" ref="K58" ca="1">[1]!UNIFORM_INV(RAND(),Sheet2!M$15-SQRT(3)*Sheet2!M$16,Sheet2!M$15+SQRT(3)*Sheet2!M$16)</f>
        <v>17.137038576686255</v>
      </c>
      <c r="L58" s="8" cm="1">
        <f t="array" aca="1" ref="L58" ca="1">[1]!UNIFORM_INV(RAND(),Sheet2!N$15-SQRT(3)*Sheet2!N$16,Sheet2!N$15+SQRT(3)*Sheet2!N$16)</f>
        <v>8.4424397379839125</v>
      </c>
      <c r="M58" s="8" cm="1">
        <f t="array" aca="1" ref="M58" ca="1">[1]!UNIFORM_INV(RAND(),Sheet2!O$15-SQRT(3)*Sheet2!O$16,Sheet2!O$15+SQRT(3)*Sheet2!O$16)</f>
        <v>6.019944316134759</v>
      </c>
      <c r="N58" s="8" cm="1">
        <f t="array" aca="1" ref="N58" ca="1">[1]!UNIFORM_INV(RAND(),Sheet2!P$15-SQRT(3)*Sheet2!P$16,Sheet2!P$15+SQRT(3)*Sheet2!P$16)</f>
        <v>25.298205244652472</v>
      </c>
      <c r="O58" s="8" cm="1">
        <f t="array" aca="1" ref="O58" ca="1">[1]!UNIFORM_INV(RAND(),Sheet2!Q$15-SQRT(3)*Sheet2!Q$16,Sheet2!Q$15+SQRT(3)*Sheet2!Q$16)</f>
        <v>7.6280371277814911</v>
      </c>
      <c r="P58" s="8" cm="1">
        <f t="array" aca="1" ref="P58" ca="1">[1]!UNIFORM_INV(RAND(),Sheet2!R$15-SQRT(3)*Sheet2!R$16,Sheet2!R$15+SQRT(3)*Sheet2!R$16)</f>
        <v>10.277106080404836</v>
      </c>
      <c r="Q58" s="8" cm="1">
        <f t="array" aca="1" ref="Q58" ca="1">[1]!UNIFORM_INV(RAND(),Sheet2!S$15-SQRT(3)*Sheet2!S$16,Sheet2!S$15+SQRT(3)*Sheet2!S$16)</f>
        <v>3.7366589551404745</v>
      </c>
      <c r="R58" s="8" cm="1">
        <f t="array" aca="1" ref="R58" ca="1">[1]!UNIFORM_INV(RAND(),Sheet2!T$15-SQRT(3)*Sheet2!T$16,Sheet2!T$15+SQRT(3)*Sheet2!T$16)</f>
        <v>19.252789579331484</v>
      </c>
      <c r="S58" s="8" cm="1">
        <f t="array" aca="1" ref="S58" ca="1">[1]!UNIFORM_INV(RAND(),Sheet2!U$15-SQRT(3)*Sheet2!U$16,Sheet2!U$15+SQRT(3)*Sheet2!U$16)</f>
        <v>25.078380083855524</v>
      </c>
      <c r="T58" s="8" cm="1">
        <f t="array" aca="1" ref="T58" ca="1">[1]!UNIFORM_INV(RAND(),Sheet2!V$15-SQRT(3)*Sheet2!V$16,Sheet2!V$15+SQRT(3)*Sheet2!V$16)</f>
        <v>20.551624513892932</v>
      </c>
      <c r="U58" s="8" cm="1">
        <f t="array" aca="1" ref="U58" ca="1">[1]!UNIFORM_INV(RAND(),Sheet2!W$15-SQRT(3)*Sheet2!W$16,Sheet2!W$15+SQRT(3)*Sheet2!W$16)</f>
        <v>25.855962311608582</v>
      </c>
      <c r="V58" s="8" cm="1">
        <f t="array" aca="1" ref="V58" ca="1">[1]!UNIFORM_INV(RAND(),Sheet2!X$15-SQRT(3)*Sheet2!X$16,Sheet2!X$15+SQRT(3)*Sheet2!X$16)</f>
        <v>20.60605372066432</v>
      </c>
      <c r="W58" s="8" cm="1">
        <f t="array" aca="1" ref="W58" ca="1">[1]!UNIFORM_INV(RAND(),Sheet2!Y$15-SQRT(3)*Sheet2!Y$16,Sheet2!Y$15+SQRT(3)*Sheet2!Y$16)</f>
        <v>22.353388667344511</v>
      </c>
      <c r="X58" s="8" cm="1">
        <f t="array" aca="1" ref="X58" ca="1">[1]!UNIFORM_INV(RAND(),Sheet2!Z$15-SQRT(3)*Sheet2!Z$16,Sheet2!Z$15+SQRT(3)*Sheet2!Z$16)</f>
        <v>7.770896977696097</v>
      </c>
      <c r="AX58" s="7">
        <f ca="1">Sheet2!C$15+('RNG HERE'!A58-'RNG HERE'!Y$32)*Sheet2!C$16/'RNG HERE'!Y$33</f>
        <v>2.9922260351941858</v>
      </c>
      <c r="AY58" s="7">
        <f ca="1">Sheet2!D$15+('RNG HERE'!B58-'RNG HERE'!Z$32)*Sheet2!D$16/'RNG HERE'!Z$33</f>
        <v>9.0075399269033447</v>
      </c>
      <c r="AZ58" s="7">
        <f ca="1">Sheet2!E$15+('RNG HERE'!C58-'RNG HERE'!AA$32)*Sheet2!E$16/'RNG HERE'!AA$33</f>
        <v>17.918691184128235</v>
      </c>
      <c r="BA58" s="7">
        <f ca="1">Sheet2!F$15+('RNG HERE'!D58-'RNG HERE'!AB$32)*Sheet2!F$16/'RNG HERE'!AB$33</f>
        <v>19.2580876627778</v>
      </c>
      <c r="BB58" s="7">
        <f ca="1">Sheet2!G$15+('RNG HERE'!E58-'RNG HERE'!AC$32)*Sheet2!G$16/'RNG HERE'!AC$33</f>
        <v>13.884547348112715</v>
      </c>
      <c r="BC58" s="7">
        <f ca="1">Sheet2!H$15+('RNG HERE'!F58-'RNG HERE'!AD$32)*Sheet2!H$16/'RNG HERE'!AD$33</f>
        <v>31.401450492472108</v>
      </c>
      <c r="BD58" s="7">
        <f ca="1">Sheet2!I$15+('RNG HERE'!G58-'RNG HERE'!AE$32)*Sheet2!I$16/'RNG HERE'!AE$33</f>
        <v>12.089751124447622</v>
      </c>
      <c r="BE58" s="7">
        <f ca="1">Sheet2!J$15+('RNG HERE'!H58-'RNG HERE'!AF$32)*Sheet2!J$16/'RNG HERE'!AF$33</f>
        <v>20.875305239492828</v>
      </c>
      <c r="BF58" s="7">
        <f ca="1">Sheet2!K$15+('RNG HERE'!I58-'RNG HERE'!AG$32)*Sheet2!K$16/'RNG HERE'!AG$33</f>
        <v>25.448574228439092</v>
      </c>
      <c r="BG58" s="7">
        <f ca="1">Sheet2!L$15+('RNG HERE'!J58-'RNG HERE'!AH$32)*Sheet2!L$16/'RNG HERE'!AH$33</f>
        <v>21.83204089010577</v>
      </c>
      <c r="BH58" s="7">
        <f ca="1">Sheet2!M$15+('RNG HERE'!K58-'RNG HERE'!AI$32)*Sheet2!M$16/'RNG HERE'!AI$33</f>
        <v>17.185446268757545</v>
      </c>
      <c r="BI58" s="7">
        <f ca="1">Sheet2!N$15+('RNG HERE'!L58-'RNG HERE'!AJ$32)*Sheet2!N$16/'RNG HERE'!AJ$33</f>
        <v>8.3037742548139963</v>
      </c>
      <c r="BJ58" s="7">
        <f ca="1">Sheet2!O$15+('RNG HERE'!M58-'RNG HERE'!AK$32)*Sheet2!O$16/'RNG HERE'!AK$33</f>
        <v>6.2501399354089298</v>
      </c>
      <c r="BK58" s="7">
        <f ca="1">Sheet2!P$15+('RNG HERE'!N58-'RNG HERE'!AL$32)*Sheet2!P$16/'RNG HERE'!AL$33</f>
        <v>25.260253718226178</v>
      </c>
      <c r="BL58" s="7">
        <f ca="1">Sheet2!Q$15+('RNG HERE'!O58-'RNG HERE'!AM$32)*Sheet2!Q$16/'RNG HERE'!AM$33</f>
        <v>7.4528762980104197</v>
      </c>
      <c r="BM58" s="7">
        <f ca="1">Sheet2!R$15+('RNG HERE'!P58-'RNG HERE'!AN$32)*Sheet2!R$16/'RNG HERE'!AN$33</f>
        <v>10.189172015629914</v>
      </c>
      <c r="BN58" s="7">
        <f ca="1">Sheet2!S$15+('RNG HERE'!Q58-'RNG HERE'!AO$32)*Sheet2!S$16/'RNG HERE'!AO$33</f>
        <v>3.9235051211488337</v>
      </c>
      <c r="BO58" s="7">
        <f ca="1">Sheet2!T$15+('RNG HERE'!R58-'RNG HERE'!AP$32)*Sheet2!T$16/'RNG HERE'!AP$33</f>
        <v>18.992565324418329</v>
      </c>
      <c r="BP58" s="7">
        <f ca="1">Sheet2!U$15+('RNG HERE'!S58-'RNG HERE'!AQ$32)*Sheet2!U$16/'RNG HERE'!AQ$33</f>
        <v>25.221736667369655</v>
      </c>
      <c r="BQ58" s="7">
        <f ca="1">Sheet2!V$15+('RNG HERE'!T58-'RNG HERE'!AR$32)*Sheet2!V$16/'RNG HERE'!AR$33</f>
        <v>20.29344233207263</v>
      </c>
      <c r="BR58" s="7">
        <f ca="1">Sheet2!W$15+('RNG HERE'!U58-'RNG HERE'!AS$32)*Sheet2!W$16/'RNG HERE'!AS$33</f>
        <v>25.880980623990151</v>
      </c>
      <c r="BS58" s="7">
        <f ca="1">Sheet2!X$15+('RNG HERE'!V58-'RNG HERE'!AT$32)*Sheet2!X$16/'RNG HERE'!AT$33</f>
        <v>20.75373705622906</v>
      </c>
      <c r="BT58" s="7">
        <f ca="1">Sheet2!Y$15+('RNG HERE'!W58-'RNG HERE'!AU$32)*Sheet2!Y$16/'RNG HERE'!AU$33</f>
        <v>22.410201239807694</v>
      </c>
      <c r="BU58" s="7">
        <f ca="1">Sheet2!Z$15+('RNG HERE'!X58-'RNG HERE'!AV$32)*Sheet2!Z$16/'RNG HERE'!AV$33</f>
        <v>7.9080145605374419</v>
      </c>
    </row>
    <row r="59" spans="1:97" x14ac:dyDescent="0.3">
      <c r="A59" s="8" cm="1">
        <f t="array" aca="1" ref="A59" ca="1">[1]!UNIFORM_INV(RAND(),Sheet2!C$15-SQRT(3)*Sheet2!C$16,Sheet2!C$15+SQRT(3)*Sheet2!C$16)</f>
        <v>6.0254570253976052</v>
      </c>
      <c r="B59" s="8" cm="1">
        <f t="array" aca="1" ref="B59" ca="1">[1]!UNIFORM_INV(RAND(),Sheet2!D$15-SQRT(3)*Sheet2!D$16,Sheet2!D$15+SQRT(3)*Sheet2!D$16)</f>
        <v>11.053547768965295</v>
      </c>
      <c r="C59" s="8" cm="1">
        <f t="array" aca="1" ref="C59" ca="1">[1]!UNIFORM_INV(RAND(),Sheet2!E$15-SQRT(3)*Sheet2!E$16,Sheet2!E$15+SQRT(3)*Sheet2!E$16)</f>
        <v>15.025702339980944</v>
      </c>
      <c r="D59" s="8" cm="1">
        <f t="array" aca="1" ref="D59" ca="1">[1]!UNIFORM_INV(RAND(),Sheet2!F$15-SQRT(3)*Sheet2!F$16,Sheet2!F$15+SQRT(3)*Sheet2!F$16)</f>
        <v>15.376204346586112</v>
      </c>
      <c r="E59" s="8" cm="1">
        <f t="array" aca="1" ref="E59" ca="1">[1]!UNIFORM_INV(RAND(),Sheet2!G$15-SQRT(3)*Sheet2!G$16,Sheet2!G$15+SQRT(3)*Sheet2!G$16)</f>
        <v>17.29856708036926</v>
      </c>
      <c r="F59" s="8" cm="1">
        <f t="array" aca="1" ref="F59" ca="1">[1]!UNIFORM_INV(RAND(),Sheet2!H$15-SQRT(3)*Sheet2!H$16,Sheet2!H$15+SQRT(3)*Sheet2!H$16)</f>
        <v>32.901601582923114</v>
      </c>
      <c r="G59" s="8" cm="1">
        <f t="array" aca="1" ref="G59" ca="1">[1]!UNIFORM_INV(RAND(),Sheet2!I$15-SQRT(3)*Sheet2!I$16,Sheet2!I$15+SQRT(3)*Sheet2!I$16)</f>
        <v>12.129242122921651</v>
      </c>
      <c r="H59" s="8" cm="1">
        <f t="array" aca="1" ref="H59" ca="1">[1]!UNIFORM_INV(RAND(),Sheet2!J$15-SQRT(3)*Sheet2!J$16,Sheet2!J$15+SQRT(3)*Sheet2!J$16)</f>
        <v>21.847954259143059</v>
      </c>
      <c r="I59" s="8" cm="1">
        <f t="array" aca="1" ref="I59" ca="1">[1]!UNIFORM_INV(RAND(),Sheet2!K$15-SQRT(3)*Sheet2!K$16,Sheet2!K$15+SQRT(3)*Sheet2!K$16)</f>
        <v>22.603677245812733</v>
      </c>
      <c r="J59" s="8" cm="1">
        <f t="array" aca="1" ref="J59" ca="1">[1]!UNIFORM_INV(RAND(),Sheet2!L$15-SQRT(3)*Sheet2!L$16,Sheet2!L$15+SQRT(3)*Sheet2!L$16)</f>
        <v>23.541592625427626</v>
      </c>
      <c r="K59" s="8" cm="1">
        <f t="array" aca="1" ref="K59" ca="1">[1]!UNIFORM_INV(RAND(),Sheet2!M$15-SQRT(3)*Sheet2!M$16,Sheet2!M$15+SQRT(3)*Sheet2!M$16)</f>
        <v>16.455838389495238</v>
      </c>
      <c r="L59" s="8" cm="1">
        <f t="array" aca="1" ref="L59" ca="1">[1]!UNIFORM_INV(RAND(),Sheet2!N$15-SQRT(3)*Sheet2!N$16,Sheet2!N$15+SQRT(3)*Sheet2!N$16)</f>
        <v>7.8279328625753184</v>
      </c>
      <c r="M59" s="8" cm="1">
        <f t="array" aca="1" ref="M59" ca="1">[1]!UNIFORM_INV(RAND(),Sheet2!O$15-SQRT(3)*Sheet2!O$16,Sheet2!O$15+SQRT(3)*Sheet2!O$16)</f>
        <v>4.0695793577746864</v>
      </c>
      <c r="N59" s="8" cm="1">
        <f t="array" aca="1" ref="N59" ca="1">[1]!UNIFORM_INV(RAND(),Sheet2!P$15-SQRT(3)*Sheet2!P$16,Sheet2!P$15+SQRT(3)*Sheet2!P$16)</f>
        <v>21.461590840908734</v>
      </c>
      <c r="O59" s="8" cm="1">
        <f t="array" aca="1" ref="O59" ca="1">[1]!UNIFORM_INV(RAND(),Sheet2!Q$15-SQRT(3)*Sheet2!Q$16,Sheet2!Q$15+SQRT(3)*Sheet2!Q$16)</f>
        <v>8.8723073629393578</v>
      </c>
      <c r="P59" s="8" cm="1">
        <f t="array" aca="1" ref="P59" ca="1">[1]!UNIFORM_INV(RAND(),Sheet2!R$15-SQRT(3)*Sheet2!R$16,Sheet2!R$15+SQRT(3)*Sheet2!R$16)</f>
        <v>8.5801237682186375</v>
      </c>
      <c r="Q59" s="8" cm="1">
        <f t="array" aca="1" ref="Q59" ca="1">[1]!UNIFORM_INV(RAND(),Sheet2!S$15-SQRT(3)*Sheet2!S$16,Sheet2!S$15+SQRT(3)*Sheet2!S$16)</f>
        <v>4.5320850834992843</v>
      </c>
      <c r="R59" s="8" cm="1">
        <f t="array" aca="1" ref="R59" ca="1">[1]!UNIFORM_INV(RAND(),Sheet2!T$15-SQRT(3)*Sheet2!T$16,Sheet2!T$15+SQRT(3)*Sheet2!T$16)</f>
        <v>20.466710833287681</v>
      </c>
      <c r="S59" s="8" cm="1">
        <f t="array" aca="1" ref="S59" ca="1">[1]!UNIFORM_INV(RAND(),Sheet2!U$15-SQRT(3)*Sheet2!U$16,Sheet2!U$15+SQRT(3)*Sheet2!U$16)</f>
        <v>22.967151407214317</v>
      </c>
      <c r="T59" s="8" cm="1">
        <f t="array" aca="1" ref="T59" ca="1">[1]!UNIFORM_INV(RAND(),Sheet2!V$15-SQRT(3)*Sheet2!V$16,Sheet2!V$15+SQRT(3)*Sheet2!V$16)</f>
        <v>24.160409480193099</v>
      </c>
      <c r="U59" s="8" cm="1">
        <f t="array" aca="1" ref="U59" ca="1">[1]!UNIFORM_INV(RAND(),Sheet2!W$15-SQRT(3)*Sheet2!W$16,Sheet2!W$15+SQRT(3)*Sheet2!W$16)</f>
        <v>28.403649409634966</v>
      </c>
      <c r="V59" s="8" cm="1">
        <f t="array" aca="1" ref="V59" ca="1">[1]!UNIFORM_INV(RAND(),Sheet2!X$15-SQRT(3)*Sheet2!X$16,Sheet2!X$15+SQRT(3)*Sheet2!X$16)</f>
        <v>23.671794983421428</v>
      </c>
      <c r="W59" s="8" cm="1">
        <f t="array" aca="1" ref="W59" ca="1">[1]!UNIFORM_INV(RAND(),Sheet2!Y$15-SQRT(3)*Sheet2!Y$16,Sheet2!Y$15+SQRT(3)*Sheet2!Y$16)</f>
        <v>21.699422405983576</v>
      </c>
      <c r="X59" s="8" cm="1">
        <f t="array" aca="1" ref="X59" ca="1">[1]!UNIFORM_INV(RAND(),Sheet2!Z$15-SQRT(3)*Sheet2!Z$16,Sheet2!Z$15+SQRT(3)*Sheet2!Z$16)</f>
        <v>7.6867695318629536</v>
      </c>
      <c r="AX59" s="7">
        <f ca="1">Sheet2!C$15+('RNG HERE'!A59-'RNG HERE'!Y$32)*Sheet2!C$16/'RNG HERE'!Y$33</f>
        <v>5.9252716158459524</v>
      </c>
      <c r="AY59" s="7">
        <f ca="1">Sheet2!D$15+('RNG HERE'!B59-'RNG HERE'!Z$32)*Sheet2!D$16/'RNG HERE'!Z$33</f>
        <v>10.874982625626101</v>
      </c>
      <c r="AZ59" s="7">
        <f ca="1">Sheet2!E$15+('RNG HERE'!C59-'RNG HERE'!AA$32)*Sheet2!E$16/'RNG HERE'!AA$33</f>
        <v>14.967995788525871</v>
      </c>
      <c r="BA59" s="7">
        <f ca="1">Sheet2!F$15+('RNG HERE'!D59-'RNG HERE'!AB$32)*Sheet2!F$16/'RNG HERE'!AB$33</f>
        <v>15.590990635147747</v>
      </c>
      <c r="BB59" s="7">
        <f ca="1">Sheet2!G$15+('RNG HERE'!E59-'RNG HERE'!AC$32)*Sheet2!G$16/'RNG HERE'!AC$33</f>
        <v>16.467262920713729</v>
      </c>
      <c r="BC59" s="7">
        <f ca="1">Sheet2!H$15+('RNG HERE'!F59-'RNG HERE'!AD$32)*Sheet2!H$16/'RNG HERE'!AD$33</f>
        <v>31.369096614512436</v>
      </c>
      <c r="BD59" s="7">
        <f ca="1">Sheet2!I$15+('RNG HERE'!G59-'RNG HERE'!AE$32)*Sheet2!I$16/'RNG HERE'!AE$33</f>
        <v>12.061534550335788</v>
      </c>
      <c r="BE59" s="7">
        <f ca="1">Sheet2!J$15+('RNG HERE'!H59-'RNG HERE'!AF$32)*Sheet2!J$16/'RNG HERE'!AF$33</f>
        <v>21.919851065602924</v>
      </c>
      <c r="BF59" s="7">
        <f ca="1">Sheet2!K$15+('RNG HERE'!I59-'RNG HERE'!AG$32)*Sheet2!K$16/'RNG HERE'!AG$33</f>
        <v>22.820870617033592</v>
      </c>
      <c r="BG59" s="7">
        <f ca="1">Sheet2!L$15+('RNG HERE'!J59-'RNG HERE'!AH$32)*Sheet2!L$16/'RNG HERE'!AH$33</f>
        <v>23.263915083882857</v>
      </c>
      <c r="BH59" s="7">
        <f ca="1">Sheet2!M$15+('RNG HERE'!K59-'RNG HERE'!AI$32)*Sheet2!M$16/'RNG HERE'!AI$33</f>
        <v>16.492611480524229</v>
      </c>
      <c r="BI59" s="7">
        <f ca="1">Sheet2!N$15+('RNG HERE'!L59-'RNG HERE'!AJ$32)*Sheet2!N$16/'RNG HERE'!AJ$33</f>
        <v>7.6635339424845466</v>
      </c>
      <c r="BJ59" s="7">
        <f ca="1">Sheet2!O$15+('RNG HERE'!M59-'RNG HERE'!AK$32)*Sheet2!O$16/'RNG HERE'!AK$33</f>
        <v>4.2361711391199659</v>
      </c>
      <c r="BK59" s="7">
        <f ca="1">Sheet2!P$15+('RNG HERE'!N59-'RNG HERE'!AL$32)*Sheet2!P$16/'RNG HERE'!AL$33</f>
        <v>20.962775140741748</v>
      </c>
      <c r="BL59" s="7">
        <f ca="1">Sheet2!Q$15+('RNG HERE'!O59-'RNG HERE'!AM$32)*Sheet2!Q$16/'RNG HERE'!AM$33</f>
        <v>8.7383200433265671</v>
      </c>
      <c r="BM59" s="7">
        <f ca="1">Sheet2!R$15+('RNG HERE'!P59-'RNG HERE'!AN$32)*Sheet2!R$16/'RNG HERE'!AN$33</f>
        <v>8.4057039797743425</v>
      </c>
      <c r="BN59" s="7">
        <f ca="1">Sheet2!S$15+('RNG HERE'!Q59-'RNG HERE'!AO$32)*Sheet2!S$16/'RNG HERE'!AO$33</f>
        <v>4.7434955458042598</v>
      </c>
      <c r="BO59" s="7">
        <f ca="1">Sheet2!T$15+('RNG HERE'!R59-'RNG HERE'!AP$32)*Sheet2!T$16/'RNG HERE'!AP$33</f>
        <v>20.368803297138395</v>
      </c>
      <c r="BP59" s="7">
        <f ca="1">Sheet2!U$15+('RNG HERE'!S59-'RNG HERE'!AQ$32)*Sheet2!U$16/'RNG HERE'!AQ$33</f>
        <v>22.892465758427686</v>
      </c>
      <c r="BQ59" s="7">
        <f ca="1">Sheet2!V$15+('RNG HERE'!T59-'RNG HERE'!AR$32)*Sheet2!V$16/'RNG HERE'!AR$33</f>
        <v>23.993838092170289</v>
      </c>
      <c r="BR59" s="7">
        <f ca="1">Sheet2!W$15+('RNG HERE'!U59-'RNG HERE'!AS$32)*Sheet2!W$16/'RNG HERE'!AS$33</f>
        <v>28.838445442732294</v>
      </c>
      <c r="BS59" s="7">
        <f ca="1">Sheet2!X$15+('RNG HERE'!V59-'RNG HERE'!AT$32)*Sheet2!X$16/'RNG HERE'!AT$33</f>
        <v>23.595953784352265</v>
      </c>
      <c r="BT59" s="7">
        <f ca="1">Sheet2!Y$15+('RNG HERE'!W59-'RNG HERE'!AU$32)*Sheet2!Y$16/'RNG HERE'!AU$33</f>
        <v>21.666117215477314</v>
      </c>
      <c r="BU59" s="7">
        <f ca="1">Sheet2!Z$15+('RNG HERE'!X59-'RNG HERE'!AV$32)*Sheet2!Z$16/'RNG HERE'!AV$33</f>
        <v>7.8224946413943304</v>
      </c>
    </row>
    <row r="60" spans="1:97" x14ac:dyDescent="0.3">
      <c r="A60" s="8" cm="1">
        <f t="array" aca="1" ref="A60" ca="1">[1]!UNIFORM_INV(RAND(),Sheet2!C$15-SQRT(3)*Sheet2!C$16,Sheet2!C$15+SQRT(3)*Sheet2!C$16)</f>
        <v>4.3277431227725165</v>
      </c>
      <c r="B60" s="8" cm="1">
        <f t="array" aca="1" ref="B60" ca="1">[1]!UNIFORM_INV(RAND(),Sheet2!D$15-SQRT(3)*Sheet2!D$16,Sheet2!D$15+SQRT(3)*Sheet2!D$16)</f>
        <v>8.1265708355163682</v>
      </c>
      <c r="C60" s="8" cm="1">
        <f t="array" aca="1" ref="C60" ca="1">[1]!UNIFORM_INV(RAND(),Sheet2!E$15-SQRT(3)*Sheet2!E$16,Sheet2!E$15+SQRT(3)*Sheet2!E$16)</f>
        <v>19.972094890169647</v>
      </c>
      <c r="D60" s="8" cm="1">
        <f t="array" aca="1" ref="D60" ca="1">[1]!UNIFORM_INV(RAND(),Sheet2!F$15-SQRT(3)*Sheet2!F$16,Sheet2!F$15+SQRT(3)*Sheet2!F$16)</f>
        <v>17.750563938222264</v>
      </c>
      <c r="E60" s="8" cm="1">
        <f t="array" aca="1" ref="E60" ca="1">[1]!UNIFORM_INV(RAND(),Sheet2!G$15-SQRT(3)*Sheet2!G$16,Sheet2!G$15+SQRT(3)*Sheet2!G$16)</f>
        <v>20.86745275551036</v>
      </c>
      <c r="F60" s="8" cm="1">
        <f t="array" aca="1" ref="F60" ca="1">[1]!UNIFORM_INV(RAND(),Sheet2!H$15-SQRT(3)*Sheet2!H$16,Sheet2!H$15+SQRT(3)*Sheet2!H$16)</f>
        <v>32.430109617618946</v>
      </c>
      <c r="G60" s="8" cm="1">
        <f t="array" aca="1" ref="G60" ca="1">[1]!UNIFORM_INV(RAND(),Sheet2!I$15-SQRT(3)*Sheet2!I$16,Sheet2!I$15+SQRT(3)*Sheet2!I$16)</f>
        <v>12.402484671189711</v>
      </c>
      <c r="H60" s="8" cm="1">
        <f t="array" aca="1" ref="H60" ca="1">[1]!UNIFORM_INV(RAND(),Sheet2!J$15-SQRT(3)*Sheet2!J$16,Sheet2!J$15+SQRT(3)*Sheet2!J$16)</f>
        <v>21.567247210739854</v>
      </c>
      <c r="I60" s="8" cm="1">
        <f t="array" aca="1" ref="I60" ca="1">[1]!UNIFORM_INV(RAND(),Sheet2!K$15-SQRT(3)*Sheet2!K$16,Sheet2!K$15+SQRT(3)*Sheet2!K$16)</f>
        <v>23.215066377473804</v>
      </c>
      <c r="J60" s="8" cm="1">
        <f t="array" aca="1" ref="J60" ca="1">[1]!UNIFORM_INV(RAND(),Sheet2!L$15-SQRT(3)*Sheet2!L$16,Sheet2!L$15+SQRT(3)*Sheet2!L$16)</f>
        <v>25.343165999309566</v>
      </c>
      <c r="K60" s="8" cm="1">
        <f t="array" aca="1" ref="K60" ca="1">[1]!UNIFORM_INV(RAND(),Sheet2!M$15-SQRT(3)*Sheet2!M$16,Sheet2!M$15+SQRT(3)*Sheet2!M$16)</f>
        <v>15.962147402422056</v>
      </c>
      <c r="L60" s="8" cm="1">
        <f t="array" aca="1" ref="L60" ca="1">[1]!UNIFORM_INV(RAND(),Sheet2!N$15-SQRT(3)*Sheet2!N$16,Sheet2!N$15+SQRT(3)*Sheet2!N$16)</f>
        <v>7.8309186316579913</v>
      </c>
      <c r="M60" s="8" cm="1">
        <f t="array" aca="1" ref="M60" ca="1">[1]!UNIFORM_INV(RAND(),Sheet2!O$15-SQRT(3)*Sheet2!O$16,Sheet2!O$15+SQRT(3)*Sheet2!O$16)</f>
        <v>3.7261469412156853</v>
      </c>
      <c r="N60" s="8" cm="1">
        <f t="array" aca="1" ref="N60" ca="1">[1]!UNIFORM_INV(RAND(),Sheet2!P$15-SQRT(3)*Sheet2!P$16,Sheet2!P$15+SQRT(3)*Sheet2!P$16)</f>
        <v>20.516270589895502</v>
      </c>
      <c r="O60" s="8" cm="1">
        <f t="array" aca="1" ref="O60" ca="1">[1]!UNIFORM_INV(RAND(),Sheet2!Q$15-SQRT(3)*Sheet2!Q$16,Sheet2!Q$15+SQRT(3)*Sheet2!Q$16)</f>
        <v>10.891435503794174</v>
      </c>
      <c r="P60" s="8" cm="1">
        <f t="array" aca="1" ref="P60" ca="1">[1]!UNIFORM_INV(RAND(),Sheet2!R$15-SQRT(3)*Sheet2!R$16,Sheet2!R$15+SQRT(3)*Sheet2!R$16)</f>
        <v>9.6173937752786305</v>
      </c>
      <c r="Q60" s="8" cm="1">
        <f t="array" aca="1" ref="Q60" ca="1">[1]!UNIFORM_INV(RAND(),Sheet2!S$15-SQRT(3)*Sheet2!S$16,Sheet2!S$15+SQRT(3)*Sheet2!S$16)</f>
        <v>4.7922072536441238</v>
      </c>
      <c r="R60" s="8" cm="1">
        <f t="array" aca="1" ref="R60" ca="1">[1]!UNIFORM_INV(RAND(),Sheet2!T$15-SQRT(3)*Sheet2!T$16,Sheet2!T$15+SQRT(3)*Sheet2!T$16)</f>
        <v>19.663101712258985</v>
      </c>
      <c r="S60" s="8" cm="1">
        <f t="array" aca="1" ref="S60" ca="1">[1]!UNIFORM_INV(RAND(),Sheet2!U$15-SQRT(3)*Sheet2!U$16,Sheet2!U$15+SQRT(3)*Sheet2!U$16)</f>
        <v>24.317047799189723</v>
      </c>
      <c r="T60" s="8" cm="1">
        <f t="array" aca="1" ref="T60" ca="1">[1]!UNIFORM_INV(RAND(),Sheet2!V$15-SQRT(3)*Sheet2!V$16,Sheet2!V$15+SQRT(3)*Sheet2!V$16)</f>
        <v>23.4499558813208</v>
      </c>
      <c r="U60" s="8" cm="1">
        <f t="array" aca="1" ref="U60" ca="1">[1]!UNIFORM_INV(RAND(),Sheet2!W$15-SQRT(3)*Sheet2!W$16,Sheet2!W$15+SQRT(3)*Sheet2!W$16)</f>
        <v>27.45092520408134</v>
      </c>
      <c r="V60" s="8" cm="1">
        <f t="array" aca="1" ref="V60" ca="1">[1]!UNIFORM_INV(RAND(),Sheet2!X$15-SQRT(3)*Sheet2!X$16,Sheet2!X$15+SQRT(3)*Sheet2!X$16)</f>
        <v>21.958842778846595</v>
      </c>
      <c r="W60" s="8" cm="1">
        <f t="array" aca="1" ref="W60" ca="1">[1]!UNIFORM_INV(RAND(),Sheet2!Y$15-SQRT(3)*Sheet2!Y$16,Sheet2!Y$15+SQRT(3)*Sheet2!Y$16)</f>
        <v>21.493378563146777</v>
      </c>
      <c r="X60" s="8" cm="1">
        <f t="array" aca="1" ref="X60" ca="1">[1]!UNIFORM_INV(RAND(),Sheet2!Z$15-SQRT(3)*Sheet2!Z$16,Sheet2!Z$15+SQRT(3)*Sheet2!Z$16)</f>
        <v>7.3847679904433736</v>
      </c>
      <c r="AX60" s="7">
        <f ca="1">Sheet2!C$15+('RNG HERE'!A60-'RNG HERE'!Y$32)*Sheet2!C$16/'RNG HERE'!Y$33</f>
        <v>4.2027378649940257</v>
      </c>
      <c r="AY60" s="7">
        <f ca="1">Sheet2!D$15+('RNG HERE'!B60-'RNG HERE'!Z$32)*Sheet2!D$16/'RNG HERE'!Z$33</f>
        <v>7.3972334245981664</v>
      </c>
      <c r="AZ60" s="7">
        <f ca="1">Sheet2!E$15+('RNG HERE'!C60-'RNG HERE'!AA$32)*Sheet2!E$16/'RNG HERE'!AA$33</f>
        <v>20.20840385926147</v>
      </c>
      <c r="BA60" s="7">
        <f ca="1">Sheet2!F$15+('RNG HERE'!D60-'RNG HERE'!AB$32)*Sheet2!F$16/'RNG HERE'!AB$33</f>
        <v>17.791173537857755</v>
      </c>
      <c r="BB60" s="7">
        <f ca="1">Sheet2!G$15+('RNG HERE'!E60-'RNG HERE'!AC$32)*Sheet2!G$16/'RNG HERE'!AC$33</f>
        <v>20.568491339273365</v>
      </c>
      <c r="BC60" s="7">
        <f ca="1">Sheet2!H$15+('RNG HERE'!F60-'RNG HERE'!AD$32)*Sheet2!H$16/'RNG HERE'!AD$33</f>
        <v>30.873748079526948</v>
      </c>
      <c r="BD60" s="7">
        <f ca="1">Sheet2!I$15+('RNG HERE'!G60-'RNG HERE'!AE$32)*Sheet2!I$16/'RNG HERE'!AE$33</f>
        <v>12.373848467173035</v>
      </c>
      <c r="BE60" s="7">
        <f ca="1">Sheet2!J$15+('RNG HERE'!H60-'RNG HERE'!AF$32)*Sheet2!J$16/'RNG HERE'!AF$33</f>
        <v>21.642688156631731</v>
      </c>
      <c r="BF60" s="7">
        <f ca="1">Sheet2!K$15+('RNG HERE'!I60-'RNG HERE'!AG$32)*Sheet2!K$16/'RNG HERE'!AG$33</f>
        <v>23.503028300620027</v>
      </c>
      <c r="BG60" s="7">
        <f ca="1">Sheet2!L$15+('RNG HERE'!J60-'RNG HERE'!AH$32)*Sheet2!L$16/'RNG HERE'!AH$33</f>
        <v>25.203873954682731</v>
      </c>
      <c r="BH60" s="7">
        <f ca="1">Sheet2!M$15+('RNG HERE'!K60-'RNG HERE'!AI$32)*Sheet2!M$16/'RNG HERE'!AI$33</f>
        <v>15.990488467475744</v>
      </c>
      <c r="BI60" s="7">
        <f ca="1">Sheet2!N$15+('RNG HERE'!L60-'RNG HERE'!AJ$32)*Sheet2!N$16/'RNG HERE'!AJ$33</f>
        <v>7.6666447453193616</v>
      </c>
      <c r="BJ60" s="7">
        <f ca="1">Sheet2!O$15+('RNG HERE'!M60-'RNG HERE'!AK$32)*Sheet2!O$16/'RNG HERE'!AK$33</f>
        <v>3.8815389623987882</v>
      </c>
      <c r="BK60" s="7">
        <f ca="1">Sheet2!P$15+('RNG HERE'!N60-'RNG HERE'!AL$32)*Sheet2!P$16/'RNG HERE'!AL$33</f>
        <v>19.90390054452811</v>
      </c>
      <c r="BL60" s="7">
        <f ca="1">Sheet2!Q$15+('RNG HERE'!O60-'RNG HERE'!AM$32)*Sheet2!Q$16/'RNG HERE'!AM$33</f>
        <v>10.824262121113504</v>
      </c>
      <c r="BM60" s="7">
        <f ca="1">Sheet2!R$15+('RNG HERE'!P60-'RNG HERE'!AN$32)*Sheet2!R$16/'RNG HERE'!AN$33</f>
        <v>9.4958378538039021</v>
      </c>
      <c r="BN60" s="7">
        <f ca="1">Sheet2!S$15+('RNG HERE'!Q60-'RNG HERE'!AO$32)*Sheet2!S$16/'RNG HERE'!AO$33</f>
        <v>5.0116507913447252</v>
      </c>
      <c r="BO60" s="7">
        <f ca="1">Sheet2!T$15+('RNG HERE'!R60-'RNG HERE'!AP$32)*Sheet2!T$16/'RNG HERE'!AP$33</f>
        <v>19.457741410727273</v>
      </c>
      <c r="BP60" s="7">
        <f ca="1">Sheet2!U$15+('RNG HERE'!S60-'RNG HERE'!AQ$32)*Sheet2!U$16/'RNG HERE'!AQ$33</f>
        <v>24.381775955235131</v>
      </c>
      <c r="BQ60" s="7">
        <f ca="1">Sheet2!V$15+('RNG HERE'!T60-'RNG HERE'!AR$32)*Sheet2!V$16/'RNG HERE'!AR$33</f>
        <v>23.265349276803587</v>
      </c>
      <c r="BR60" s="7">
        <f ca="1">Sheet2!W$15+('RNG HERE'!U60-'RNG HERE'!AS$32)*Sheet2!W$16/'RNG HERE'!AS$33</f>
        <v>27.732482186070339</v>
      </c>
      <c r="BS60" s="7">
        <f ca="1">Sheet2!X$15+('RNG HERE'!V60-'RNG HERE'!AT$32)*Sheet2!X$16/'RNG HERE'!AT$33</f>
        <v>22.007893673258721</v>
      </c>
      <c r="BT60" s="7">
        <f ca="1">Sheet2!Y$15+('RNG HERE'!W60-'RNG HERE'!AU$32)*Sheet2!Y$16/'RNG HERE'!AU$33</f>
        <v>21.431680149186697</v>
      </c>
      <c r="BU60" s="7">
        <f ca="1">Sheet2!Z$15+('RNG HERE'!X60-'RNG HERE'!AV$32)*Sheet2!Z$16/'RNG HERE'!AV$33</f>
        <v>7.5154943854431089</v>
      </c>
    </row>
    <row r="61" spans="1:97" x14ac:dyDescent="0.3">
      <c r="A61" s="8" cm="1">
        <f t="array" aca="1" ref="A61" ca="1">[1]!UNIFORM_INV(RAND(),Sheet2!C$15-SQRT(3)*Sheet2!C$16,Sheet2!C$15+SQRT(3)*Sheet2!C$16)</f>
        <v>4.2281752659849454</v>
      </c>
      <c r="B61" s="8" cm="1">
        <f t="array" aca="1" ref="B61" ca="1">[1]!UNIFORM_INV(RAND(),Sheet2!D$15-SQRT(3)*Sheet2!D$16,Sheet2!D$15+SQRT(3)*Sheet2!D$16)</f>
        <v>9.7288266483394352</v>
      </c>
      <c r="C61" s="8" cm="1">
        <f t="array" aca="1" ref="C61" ca="1">[1]!UNIFORM_INV(RAND(),Sheet2!E$15-SQRT(3)*Sheet2!E$16,Sheet2!E$15+SQRT(3)*Sheet2!E$16)</f>
        <v>18.893112116353461</v>
      </c>
      <c r="D61" s="8" cm="1">
        <f t="array" aca="1" ref="D61" ca="1">[1]!UNIFORM_INV(RAND(),Sheet2!F$15-SQRT(3)*Sheet2!F$16,Sheet2!F$15+SQRT(3)*Sheet2!F$16)</f>
        <v>20.006633175062536</v>
      </c>
      <c r="E61" s="8" cm="1">
        <f t="array" aca="1" ref="E61" ca="1">[1]!UNIFORM_INV(RAND(),Sheet2!G$15-SQRT(3)*Sheet2!G$16,Sheet2!G$15+SQRT(3)*Sheet2!G$16)</f>
        <v>26.190121468939747</v>
      </c>
      <c r="F61" s="8" cm="1">
        <f t="array" aca="1" ref="F61" ca="1">[1]!UNIFORM_INV(RAND(),Sheet2!H$15-SQRT(3)*Sheet2!H$16,Sheet2!H$15+SQRT(3)*Sheet2!H$16)</f>
        <v>33.704174054545881</v>
      </c>
      <c r="G61" s="8" cm="1">
        <f t="array" aca="1" ref="G61" ca="1">[1]!UNIFORM_INV(RAND(),Sheet2!I$15-SQRT(3)*Sheet2!I$16,Sheet2!I$15+SQRT(3)*Sheet2!I$16)</f>
        <v>12.016855582481236</v>
      </c>
      <c r="H61" s="8" cm="1">
        <f t="array" aca="1" ref="H61" ca="1">[1]!UNIFORM_INV(RAND(),Sheet2!J$15-SQRT(3)*Sheet2!J$16,Sheet2!J$15+SQRT(3)*Sheet2!J$16)</f>
        <v>23.676812277420023</v>
      </c>
      <c r="I61" s="8" cm="1">
        <f t="array" aca="1" ref="I61" ca="1">[1]!UNIFORM_INV(RAND(),Sheet2!K$15-SQRT(3)*Sheet2!K$16,Sheet2!K$15+SQRT(3)*Sheet2!K$16)</f>
        <v>24.392132731577988</v>
      </c>
      <c r="J61" s="8" cm="1">
        <f t="array" aca="1" ref="J61" ca="1">[1]!UNIFORM_INV(RAND(),Sheet2!L$15-SQRT(3)*Sheet2!L$16,Sheet2!L$15+SQRT(3)*Sheet2!L$16)</f>
        <v>24.431105157749752</v>
      </c>
      <c r="K61" s="8" cm="1">
        <f t="array" aca="1" ref="K61" ca="1">[1]!UNIFORM_INV(RAND(),Sheet2!M$15-SQRT(3)*Sheet2!M$16,Sheet2!M$15+SQRT(3)*Sheet2!M$16)</f>
        <v>16.00736008500693</v>
      </c>
      <c r="L61" s="8" cm="1">
        <f t="array" aca="1" ref="L61" ca="1">[1]!UNIFORM_INV(RAND(),Sheet2!N$15-SQRT(3)*Sheet2!N$16,Sheet2!N$15+SQRT(3)*Sheet2!N$16)</f>
        <v>9.0930253861262269</v>
      </c>
      <c r="M61" s="8" cm="1">
        <f t="array" aca="1" ref="M61" ca="1">[1]!UNIFORM_INV(RAND(),Sheet2!O$15-SQRT(3)*Sheet2!O$16,Sheet2!O$15+SQRT(3)*Sheet2!O$16)</f>
        <v>4.2647574200103673</v>
      </c>
      <c r="N61" s="8" cm="1">
        <f t="array" aca="1" ref="N61" ca="1">[1]!UNIFORM_INV(RAND(),Sheet2!P$15-SQRT(3)*Sheet2!P$16,Sheet2!P$15+SQRT(3)*Sheet2!P$16)</f>
        <v>24.824895312497176</v>
      </c>
      <c r="O61" s="8" cm="1">
        <f t="array" aca="1" ref="O61" ca="1">[1]!UNIFORM_INV(RAND(),Sheet2!Q$15-SQRT(3)*Sheet2!Q$16,Sheet2!Q$15+SQRT(3)*Sheet2!Q$16)</f>
        <v>8.4845489022358773</v>
      </c>
      <c r="P61" s="8" cm="1">
        <f t="array" aca="1" ref="P61" ca="1">[1]!UNIFORM_INV(RAND(),Sheet2!R$15-SQRT(3)*Sheet2!R$16,Sheet2!R$15+SQRT(3)*Sheet2!R$16)</f>
        <v>9.166011450829167</v>
      </c>
      <c r="Q61" s="8" cm="1">
        <f t="array" aca="1" ref="Q61" ca="1">[1]!UNIFORM_INV(RAND(),Sheet2!S$15-SQRT(3)*Sheet2!S$16,Sheet2!S$15+SQRT(3)*Sheet2!S$16)</f>
        <v>2.9899389907607645</v>
      </c>
      <c r="R61" s="8" cm="1">
        <f t="array" aca="1" ref="R61" ca="1">[1]!UNIFORM_INV(RAND(),Sheet2!T$15-SQRT(3)*Sheet2!T$16,Sheet2!T$15+SQRT(3)*Sheet2!T$16)</f>
        <v>18.152523281103814</v>
      </c>
      <c r="S61" s="8" cm="1">
        <f t="array" aca="1" ref="S61" ca="1">[1]!UNIFORM_INV(RAND(),Sheet2!U$15-SQRT(3)*Sheet2!U$16,Sheet2!U$15+SQRT(3)*Sheet2!U$16)</f>
        <v>23.673797090630366</v>
      </c>
      <c r="T61" s="8" cm="1">
        <f t="array" aca="1" ref="T61" ca="1">[1]!UNIFORM_INV(RAND(),Sheet2!V$15-SQRT(3)*Sheet2!V$16,Sheet2!V$15+SQRT(3)*Sheet2!V$16)</f>
        <v>21.169854659920208</v>
      </c>
      <c r="U61" s="8" cm="1">
        <f t="array" aca="1" ref="U61" ca="1">[1]!UNIFORM_INV(RAND(),Sheet2!W$15-SQRT(3)*Sheet2!W$16,Sheet2!W$15+SQRT(3)*Sheet2!W$16)</f>
        <v>26.998653109738097</v>
      </c>
      <c r="V61" s="8" cm="1">
        <f t="array" aca="1" ref="V61" ca="1">[1]!UNIFORM_INV(RAND(),Sheet2!X$15-SQRT(3)*Sheet2!X$16,Sheet2!X$15+SQRT(3)*Sheet2!X$16)</f>
        <v>22.340712177201432</v>
      </c>
      <c r="W61" s="8" cm="1">
        <f t="array" aca="1" ref="W61" ca="1">[1]!UNIFORM_INV(RAND(),Sheet2!Y$15-SQRT(3)*Sheet2!Y$16,Sheet2!Y$15+SQRT(3)*Sheet2!Y$16)</f>
        <v>22.550919602857878</v>
      </c>
      <c r="X61" s="8" cm="1">
        <f t="array" aca="1" ref="X61" ca="1">[1]!UNIFORM_INV(RAND(),Sheet2!Z$15-SQRT(3)*Sheet2!Z$16,Sheet2!Z$15+SQRT(3)*Sheet2!Z$16)</f>
        <v>7.3459016767306808</v>
      </c>
      <c r="AX61" s="7">
        <f ca="1">Sheet2!C$15+('RNG HERE'!A61-'RNG HERE'!Y$32)*Sheet2!C$16/'RNG HERE'!Y$33</f>
        <v>4.1017143688964879</v>
      </c>
      <c r="AY61" s="7">
        <f ca="1">Sheet2!D$15+('RNG HERE'!B61-'RNG HERE'!Z$32)*Sheet2!D$16/'RNG HERE'!Z$33</f>
        <v>9.3009873658094069</v>
      </c>
      <c r="AZ61" s="7">
        <f ca="1">Sheet2!E$15+('RNG HERE'!C61-'RNG HERE'!AA$32)*Sheet2!E$16/'RNG HERE'!AA$33</f>
        <v>19.065285924580909</v>
      </c>
      <c r="BA61" s="7">
        <f ca="1">Sheet2!F$15+('RNG HERE'!D61-'RNG HERE'!AB$32)*Sheet2!F$16/'RNG HERE'!AB$33</f>
        <v>19.881743550804064</v>
      </c>
      <c r="BB61" s="7">
        <f ca="1">Sheet2!G$15+('RNG HERE'!E61-'RNG HERE'!AC$32)*Sheet2!G$16/'RNG HERE'!AC$33</f>
        <v>26.685100885537913</v>
      </c>
      <c r="BC61" s="7">
        <f ca="1">Sheet2!H$15+('RNG HERE'!F61-'RNG HERE'!AD$32)*Sheet2!H$16/'RNG HERE'!AD$33</f>
        <v>32.212277680772068</v>
      </c>
      <c r="BD61" s="7">
        <f ca="1">Sheet2!I$15+('RNG HERE'!G61-'RNG HERE'!AE$32)*Sheet2!I$16/'RNG HERE'!AE$33</f>
        <v>11.933077687130503</v>
      </c>
      <c r="BE61" s="7">
        <f ca="1">Sheet2!J$15+('RNG HERE'!H61-'RNG HERE'!AF$32)*Sheet2!J$16/'RNG HERE'!AF$33</f>
        <v>23.725618364017311</v>
      </c>
      <c r="BF61" s="7">
        <f ca="1">Sheet2!K$15+('RNG HERE'!I61-'RNG HERE'!AG$32)*Sheet2!K$16/'RNG HERE'!AG$33</f>
        <v>24.816340585648287</v>
      </c>
      <c r="BG61" s="7">
        <f ca="1">Sheet2!L$15+('RNG HERE'!J61-'RNG HERE'!AH$32)*Sheet2!L$16/'RNG HERE'!AH$33</f>
        <v>24.221754355256909</v>
      </c>
      <c r="BH61" s="7">
        <f ca="1">Sheet2!M$15+('RNG HERE'!K61-'RNG HERE'!AI$32)*Sheet2!M$16/'RNG HERE'!AI$33</f>
        <v>16.03647336289</v>
      </c>
      <c r="BI61" s="7">
        <f ca="1">Sheet2!N$15+('RNG HERE'!L61-'RNG HERE'!AJ$32)*Sheet2!N$16/'RNG HERE'!AJ$33</f>
        <v>8.9816041949375069</v>
      </c>
      <c r="BJ61" s="7">
        <f ca="1">Sheet2!O$15+('RNG HERE'!M61-'RNG HERE'!AK$32)*Sheet2!O$16/'RNG HERE'!AK$33</f>
        <v>4.437714201805691</v>
      </c>
      <c r="BK61" s="7">
        <f ca="1">Sheet2!P$15+('RNG HERE'!N61-'RNG HERE'!AL$32)*Sheet2!P$16/'RNG HERE'!AL$33</f>
        <v>24.730088556993607</v>
      </c>
      <c r="BL61" s="7">
        <f ca="1">Sheet2!Q$15+('RNG HERE'!O61-'RNG HERE'!AM$32)*Sheet2!Q$16/'RNG HERE'!AM$33</f>
        <v>8.3377304656602114</v>
      </c>
      <c r="BM61" s="7">
        <f ca="1">Sheet2!R$15+('RNG HERE'!P61-'RNG HERE'!AN$32)*Sheet2!R$16/'RNG HERE'!AN$33</f>
        <v>9.0214510898259661</v>
      </c>
      <c r="BN61" s="7">
        <f ca="1">Sheet2!S$15+('RNG HERE'!Q61-'RNG HERE'!AO$32)*Sheet2!S$16/'RNG HERE'!AO$33</f>
        <v>3.1537250009587172</v>
      </c>
      <c r="BO61" s="7">
        <f ca="1">Sheet2!T$15+('RNG HERE'!R61-'RNG HERE'!AP$32)*Sheet2!T$16/'RNG HERE'!AP$33</f>
        <v>17.745179421263444</v>
      </c>
      <c r="BP61" s="7">
        <f ca="1">Sheet2!U$15+('RNG HERE'!S61-'RNG HERE'!AQ$32)*Sheet2!U$16/'RNG HERE'!AQ$33</f>
        <v>23.672091978704792</v>
      </c>
      <c r="BQ61" s="7">
        <f ca="1">Sheet2!V$15+('RNG HERE'!T61-'RNG HERE'!AR$32)*Sheet2!V$16/'RNG HERE'!AR$33</f>
        <v>20.927366556565644</v>
      </c>
      <c r="BR61" s="7">
        <f ca="1">Sheet2!W$15+('RNG HERE'!U61-'RNG HERE'!AS$32)*Sheet2!W$16/'RNG HERE'!AS$33</f>
        <v>27.207465276201322</v>
      </c>
      <c r="BS61" s="7">
        <f ca="1">Sheet2!X$15+('RNG HERE'!V61-'RNG HERE'!AT$32)*Sheet2!X$16/'RNG HERE'!AT$33</f>
        <v>22.361920806972666</v>
      </c>
      <c r="BT61" s="7">
        <f ca="1">Sheet2!Y$15+('RNG HERE'!W61-'RNG HERE'!AU$32)*Sheet2!Y$16/'RNG HERE'!AU$33</f>
        <v>22.634952304366678</v>
      </c>
      <c r="BU61" s="7">
        <f ca="1">Sheet2!Z$15+('RNG HERE'!X61-'RNG HERE'!AV$32)*Sheet2!Z$16/'RNG HERE'!AV$33</f>
        <v>7.4759847584339552</v>
      </c>
    </row>
    <row r="62" spans="1:97" x14ac:dyDescent="0.3">
      <c r="A62" s="8" cm="1">
        <f t="array" aca="1" ref="A62" ca="1">[1]!UNIFORM_INV(RAND(),Sheet2!C$17-SQRT(3)*Sheet2!C$18,Sheet2!C$17+SQRT(3)*Sheet2!C$18)</f>
        <v>4.7100596347321364</v>
      </c>
      <c r="B62" s="8" cm="1">
        <f t="array" aca="1" ref="B62" ca="1">[1]!UNIFORM_INV(RAND(),Sheet2!D$17-SQRT(3)*Sheet2!D$18,Sheet2!D$17+SQRT(3)*Sheet2!D$18)</f>
        <v>5.5261347736219983</v>
      </c>
      <c r="C62" s="8" cm="1">
        <f t="array" aca="1" ref="C62" ca="1">[1]!UNIFORM_INV(RAND(),Sheet2!E$17-SQRT(3)*Sheet2!E$18,Sheet2!E$17+SQRT(3)*Sheet2!E$18)</f>
        <v>28.976102732161547</v>
      </c>
      <c r="D62" s="8" cm="1">
        <f t="array" aca="1" ref="D62" ca="1">[1]!UNIFORM_INV(RAND(),Sheet2!F$17-SQRT(3)*Sheet2!F$18,Sheet2!F$17+SQRT(3)*Sheet2!F$18)</f>
        <v>-1.8913225307790658</v>
      </c>
      <c r="E62" s="8" cm="1">
        <f t="array" aca="1" ref="E62" ca="1">[1]!UNIFORM_INV(RAND(),Sheet2!G$17-SQRT(3)*Sheet2!G$18,Sheet2!G$17+SQRT(3)*Sheet2!G$18)</f>
        <v>33.415742001035852</v>
      </c>
      <c r="F62" s="8" cm="1">
        <f t="array" aca="1" ref="F62" ca="1">[1]!UNIFORM_INV(RAND(),Sheet2!H$17-SQRT(3)*Sheet2!H$18,Sheet2!H$17+SQRT(3)*Sheet2!H$18)</f>
        <v>20.164395771318311</v>
      </c>
      <c r="G62" s="8" cm="1">
        <f t="array" aca="1" ref="G62" ca="1">[1]!UNIFORM_INV(RAND(),Sheet2!I$17-SQRT(3)*Sheet2!I$18,Sheet2!I$17+SQRT(3)*Sheet2!I$18)</f>
        <v>11.488164782979561</v>
      </c>
      <c r="H62" s="8" cm="1">
        <f t="array" aca="1" ref="H62" ca="1">[1]!UNIFORM_INV(RAND(),Sheet2!J$17-SQRT(3)*Sheet2!J$18,Sheet2!J$17+SQRT(3)*Sheet2!J$18)</f>
        <v>22.415522493481706</v>
      </c>
      <c r="I62" s="8" cm="1">
        <f t="array" aca="1" ref="I62" ca="1">[1]!UNIFORM_INV(RAND(),Sheet2!K$17-SQRT(3)*Sheet2!K$18,Sheet2!K$17+SQRT(3)*Sheet2!K$18)</f>
        <v>23.081446345761414</v>
      </c>
      <c r="J62" s="8" cm="1">
        <f t="array" aca="1" ref="J62" ca="1">[1]!UNIFORM_INV(RAND(),Sheet2!L$17-SQRT(3)*Sheet2!L$18,Sheet2!L$17+SQRT(3)*Sheet2!L$18)</f>
        <v>29.299743627697588</v>
      </c>
      <c r="K62" s="8" cm="1">
        <f t="array" aca="1" ref="K62" ca="1">[1]!UNIFORM_INV(RAND(),Sheet2!M$17-SQRT(3)*Sheet2!M$18,Sheet2!M$17+SQRT(3)*Sheet2!M$18)</f>
        <v>16.640963998561507</v>
      </c>
      <c r="L62" s="8" cm="1">
        <f t="array" aca="1" ref="L62" ca="1">[1]!UNIFORM_INV(RAND(),Sheet2!N$17-SQRT(3)*Sheet2!N$18,Sheet2!N$17+SQRT(3)*Sheet2!N$18)</f>
        <v>15.782173933518113</v>
      </c>
      <c r="M62" s="8" cm="1">
        <f t="array" aca="1" ref="M62" ca="1">[1]!UNIFORM_INV(RAND(),Sheet2!O$17-SQRT(3)*Sheet2!O$18,Sheet2!O$17+SQRT(3)*Sheet2!O$18)</f>
        <v>6.1025436272702756</v>
      </c>
      <c r="N62" s="8" cm="1">
        <f t="array" aca="1" ref="N62" ca="1">[1]!UNIFORM_INV(RAND(),Sheet2!P$17-SQRT(3)*Sheet2!P$18,Sheet2!P$17+SQRT(3)*Sheet2!P$18)</f>
        <v>17.865194029590278</v>
      </c>
      <c r="O62" s="8" cm="1">
        <f t="array" aca="1" ref="O62" ca="1">[1]!UNIFORM_INV(RAND(),Sheet2!Q$17-SQRT(3)*Sheet2!Q$18,Sheet2!Q$17+SQRT(3)*Sheet2!Q$18)</f>
        <v>9.9981570212413455</v>
      </c>
      <c r="P62" s="8" cm="1">
        <f t="array" aca="1" ref="P62" ca="1">[1]!UNIFORM_INV(RAND(),Sheet2!R$17-SQRT(3)*Sheet2!R$18,Sheet2!R$17+SQRT(3)*Sheet2!R$18)</f>
        <v>12.008708450009216</v>
      </c>
      <c r="Q62" s="8" cm="1">
        <f t="array" aca="1" ref="Q62" ca="1">[1]!UNIFORM_INV(RAND(),Sheet2!S$17-SQRT(3)*Sheet2!S$18,Sheet2!S$17+SQRT(3)*Sheet2!S$18)</f>
        <v>3.3286518900426429</v>
      </c>
      <c r="R62" s="8" cm="1">
        <f t="array" aca="1" ref="R62" ca="1">[1]!UNIFORM_INV(RAND(),Sheet2!T$17-SQRT(3)*Sheet2!T$18,Sheet2!T$17+SQRT(3)*Sheet2!T$18)</f>
        <v>14.627303055092179</v>
      </c>
      <c r="S62" s="8" cm="1">
        <f t="array" aca="1" ref="S62" ca="1">[1]!UNIFORM_INV(RAND(),Sheet2!U$17-SQRT(3)*Sheet2!U$18,Sheet2!U$17+SQRT(3)*Sheet2!U$18)</f>
        <v>21.823799209168119</v>
      </c>
      <c r="T62" s="8" cm="1">
        <f t="array" aca="1" ref="T62" ca="1">[1]!UNIFORM_INV(RAND(),Sheet2!V$17-SQRT(3)*Sheet2!V$18,Sheet2!V$17+SQRT(3)*Sheet2!V$18)</f>
        <v>22.136781563293333</v>
      </c>
      <c r="U62" s="8" cm="1">
        <f t="array" aca="1" ref="U62" ca="1">[1]!UNIFORM_INV(RAND(),Sheet2!W$17-SQRT(3)*Sheet2!W$18,Sheet2!W$17+SQRT(3)*Sheet2!W$18)</f>
        <v>27.769260536632803</v>
      </c>
      <c r="V62" s="8" cm="1">
        <f t="array" aca="1" ref="V62" ca="1">[1]!UNIFORM_INV(RAND(),Sheet2!X$17-SQRT(3)*Sheet2!X$18,Sheet2!X$17+SQRT(3)*Sheet2!X$18)</f>
        <v>24.806485571520021</v>
      </c>
      <c r="W62" s="8" cm="1">
        <f t="array" aca="1" ref="W62" ca="1">[1]!UNIFORM_INV(RAND(),Sheet2!Y$17-SQRT(3)*Sheet2!Y$18,Sheet2!Y$17+SQRT(3)*Sheet2!Y$18)</f>
        <v>21.129151155437395</v>
      </c>
      <c r="X62" s="8" cm="1">
        <f t="array" aca="1" ref="X62" ca="1">[1]!UNIFORM_INV(RAND(),Sheet2!Z$17-SQRT(3)*Sheet2!Z$18,Sheet2!Z$17+SQRT(3)*Sheet2!Z$18)</f>
        <v>10.106620577490876</v>
      </c>
      <c r="Y62" s="5">
        <f ca="1">AVERAGE(A62:A91)</f>
        <v>5.4894018035118641</v>
      </c>
      <c r="Z62" s="5">
        <f t="shared" ref="Z62:AQ62" ca="1" si="52">AVERAGE(B62:B91)</f>
        <v>4.8972207321438157</v>
      </c>
      <c r="AA62" s="5">
        <f t="shared" ca="1" si="52"/>
        <v>27.210139247912174</v>
      </c>
      <c r="AB62" s="5">
        <f t="shared" ca="1" si="52"/>
        <v>4.1586466833415221</v>
      </c>
      <c r="AC62" s="5">
        <f t="shared" ca="1" si="52"/>
        <v>33.159159433105806</v>
      </c>
      <c r="AD62" s="5">
        <f t="shared" ca="1" si="52"/>
        <v>20.426444120312105</v>
      </c>
      <c r="AE62" s="5">
        <f t="shared" ca="1" si="52"/>
        <v>10.008684651924183</v>
      </c>
      <c r="AF62" s="5">
        <f t="shared" ca="1" si="52"/>
        <v>25.142084340312334</v>
      </c>
      <c r="AG62" s="5">
        <f t="shared" ca="1" si="52"/>
        <v>21.137887963992693</v>
      </c>
      <c r="AH62" s="5">
        <f t="shared" ca="1" si="52"/>
        <v>24.990966466420886</v>
      </c>
      <c r="AI62" s="5">
        <f t="shared" ca="1" si="52"/>
        <v>16.984918246259429</v>
      </c>
      <c r="AJ62" s="5">
        <f t="shared" ca="1" si="52"/>
        <v>16.94501785188606</v>
      </c>
      <c r="AK62" s="5">
        <f t="shared" ca="1" si="52"/>
        <v>4.2221329708667898</v>
      </c>
      <c r="AL62" s="5">
        <f t="shared" ca="1" si="52"/>
        <v>17.515356196319598</v>
      </c>
      <c r="AM62" s="5">
        <f t="shared" ca="1" si="52"/>
        <v>10.848836294670008</v>
      </c>
      <c r="AN62" s="5">
        <f t="shared" ca="1" si="52"/>
        <v>10.921938882201191</v>
      </c>
      <c r="AO62" s="5">
        <f t="shared" ca="1" si="52"/>
        <v>4.2213539909030589</v>
      </c>
      <c r="AP62" s="5">
        <f t="shared" ca="1" si="52"/>
        <v>13.796384338129762</v>
      </c>
      <c r="AQ62" s="5">
        <f t="shared" ca="1" si="52"/>
        <v>21.385517733022912</v>
      </c>
      <c r="AR62" s="5">
        <f ca="1">AVERAGE(T62:T91)</f>
        <v>20.852410011053543</v>
      </c>
      <c r="AS62" s="5">
        <f ca="1">AVERAGE(U62:U91)</f>
        <v>27.972160275099032</v>
      </c>
      <c r="AT62" s="5">
        <f t="shared" ref="AT62" ca="1" si="53">AVERAGE(V62:V91)</f>
        <v>22.486734394539273</v>
      </c>
      <c r="AU62" s="5">
        <f ca="1">AVERAGE(W62:W91)</f>
        <v>18.959006076352704</v>
      </c>
      <c r="AV62" s="5">
        <f t="shared" ref="AV62" ca="1" si="54">AVERAGE(X62:X91)</f>
        <v>9.8556948847601245</v>
      </c>
      <c r="AX62" s="7">
        <f ca="1">Sheet2!C$17+('RNG HERE'!A62-'RNG HERE'!Y$62)*Sheet2!C$18/'RNG HERE'!Y$63</f>
        <v>4.8227381618990481</v>
      </c>
      <c r="AY62" s="7">
        <f ca="1">Sheet2!D$17+('RNG HERE'!B62-'RNG HERE'!Z$62)*Sheet2!D$18/'RNG HERE'!Z$63</f>
        <v>5.7192102963034328</v>
      </c>
      <c r="AZ62" s="7">
        <f ca="1">Sheet2!E$17+('RNG HERE'!C62-'RNG HERE'!AA$62)*Sheet2!E$18/'RNG HERE'!AA$63</f>
        <v>29.180662374322299</v>
      </c>
      <c r="BA62" s="7">
        <f ca="1">Sheet2!F$17+('RNG HERE'!D62-'RNG HERE'!AB$62)*Sheet2!F$18/'RNG HERE'!AB$63</f>
        <v>-2.0725073874749924</v>
      </c>
      <c r="BB62" s="7">
        <f ca="1">Sheet2!G$17+('RNG HERE'!E62-'RNG HERE'!AC$62)*Sheet2!G$18/'RNG HERE'!AC$63</f>
        <v>34.643781175767778</v>
      </c>
      <c r="BC62" s="7">
        <f ca="1">Sheet2!H$17+('RNG HERE'!F62-'RNG HERE'!AD$62)*Sheet2!H$18/'RNG HERE'!AD$63</f>
        <v>20.83948992026189</v>
      </c>
      <c r="BD62" s="7">
        <f ca="1">Sheet2!I$17+('RNG HERE'!G62-'RNG HERE'!AE$62)*Sheet2!I$18/'RNG HERE'!AE$63</f>
        <v>11.651200252046728</v>
      </c>
      <c r="BE62" s="7">
        <f ca="1">Sheet2!J$17+('RNG HERE'!H62-'RNG HERE'!AF$62)*Sheet2!J$18/'RNG HERE'!AF$63</f>
        <v>22.59846707313632</v>
      </c>
      <c r="BF62" s="7">
        <f ca="1">Sheet2!K$17+('RNG HERE'!I62-'RNG HERE'!AG$62)*Sheet2!K$18/'RNG HERE'!AG$63</f>
        <v>22.975358266530012</v>
      </c>
      <c r="BG62" s="7">
        <f ca="1">Sheet2!L$17+('RNG HERE'!J62-'RNG HERE'!AH$62)*Sheet2!L$18/'RNG HERE'!AH$63</f>
        <v>29.934519668122739</v>
      </c>
      <c r="BH62" s="7">
        <f ca="1">Sheet2!M$17+('RNG HERE'!K62-'RNG HERE'!AI$62)*Sheet2!M$18/'RNG HERE'!AI$63</f>
        <v>17.61737622228668</v>
      </c>
      <c r="BI62" s="7">
        <f ca="1">Sheet2!N$17+('RNG HERE'!L62-'RNG HERE'!AJ$62)*Sheet2!N$18/'RNG HERE'!AJ$63</f>
        <v>15.668360942534584</v>
      </c>
      <c r="BJ62" s="7">
        <f ca="1">Sheet2!O$17+('RNG HERE'!M62-'RNG HERE'!AK$62)*Sheet2!O$18/'RNG HERE'!AK$63</f>
        <v>5.9551134679273376</v>
      </c>
      <c r="BK62" s="7">
        <f ca="1">Sheet2!P$17+('RNG HERE'!N62-'RNG HERE'!AL$62)*Sheet2!P$18/'RNG HERE'!AL$63</f>
        <v>18.296224079185475</v>
      </c>
      <c r="BL62" s="7">
        <f ca="1">Sheet2!Q$17+('RNG HERE'!O62-'RNG HERE'!AM$62)*Sheet2!Q$18/'RNG HERE'!AM$63</f>
        <v>10.011110578518791</v>
      </c>
      <c r="BM62" s="7">
        <f ca="1">Sheet2!R$17+('RNG HERE'!P62-'RNG HERE'!AN$62)*Sheet2!R$18/'RNG HERE'!AN$63</f>
        <v>11.933514869317985</v>
      </c>
      <c r="BN62" s="7">
        <f ca="1">Sheet2!S$17+('RNG HERE'!Q62-'RNG HERE'!AO$62)*Sheet2!S$18/'RNG HERE'!AO$63</f>
        <v>3.3074484908170456</v>
      </c>
      <c r="BO62" s="7">
        <f ca="1">Sheet2!T$17+('RNG HERE'!R62-'RNG HERE'!AP$62)*Sheet2!T$18/'RNG HERE'!AP$63</f>
        <v>14.461572266303614</v>
      </c>
      <c r="BP62" s="7">
        <f ca="1">Sheet2!U$17+('RNG HERE'!S62-'RNG HERE'!AQ$62)*Sheet2!U$18/'RNG HERE'!AQ$63</f>
        <v>22.118912055049755</v>
      </c>
      <c r="BQ62" s="7">
        <f ca="1">Sheet2!V$17+('RNG HERE'!T62-'RNG HERE'!AR$62)*Sheet2!V$18/'RNG HERE'!AR$63</f>
        <v>22.422315394563302</v>
      </c>
      <c r="BR62" s="7">
        <f ca="1">Sheet2!W$17+('RNG HERE'!U62-'RNG HERE'!AS$62)*Sheet2!W$18/'RNG HERE'!AS$63</f>
        <v>27.861811095344187</v>
      </c>
      <c r="BS62" s="7">
        <f ca="1">Sheet2!X$17+('RNG HERE'!V62-'RNG HERE'!AT$62)*Sheet2!X$18/'RNG HERE'!AT$63</f>
        <v>24.074865725134305</v>
      </c>
      <c r="BT62" s="7">
        <f ca="1">Sheet2!Y$17+('RNG HERE'!W62-'RNG HERE'!AU$62)*Sheet2!Y$18/'RNG HERE'!AU$63</f>
        <v>21.363137554959405</v>
      </c>
      <c r="BU62" s="7">
        <f ca="1">Sheet2!Z$17+('RNG HERE'!X62-'RNG HERE'!AV$62)*Sheet2!Z$18/'RNG HERE'!AV$63</f>
        <v>10.046315362501385</v>
      </c>
      <c r="BV62" s="5">
        <f ca="1">AVERAGE(AX62:AX91)</f>
        <v>5.700000000000002</v>
      </c>
      <c r="BW62" s="5">
        <f t="shared" ref="BW62" ca="1" si="55">AVERAGE(AY62:AY91)</f>
        <v>5.0999999999999988</v>
      </c>
      <c r="BX62" s="5">
        <f t="shared" ref="BX62" ca="1" si="56">AVERAGE(AZ62:AZ91)</f>
        <v>27.200000000000006</v>
      </c>
      <c r="BY62" s="5">
        <f t="shared" ref="BY62" ca="1" si="57">AVERAGE(BA62:BA91)</f>
        <v>3.5</v>
      </c>
      <c r="BZ62" s="5">
        <f t="shared" ref="BZ62" ca="1" si="58">AVERAGE(BB62:BB91)</f>
        <v>34.4</v>
      </c>
      <c r="CA62" s="5">
        <f t="shared" ref="CA62" ca="1" si="59">AVERAGE(BC62:BC91)</f>
        <v>21.1</v>
      </c>
      <c r="CB62" s="5">
        <f t="shared" ref="CB62" ca="1" si="60">AVERAGE(BD62:BD91)</f>
        <v>10.199999999999996</v>
      </c>
      <c r="CC62" s="5">
        <f t="shared" ref="CC62" ca="1" si="61">AVERAGE(BE62:BE91)</f>
        <v>25.299999999999994</v>
      </c>
      <c r="CD62" s="5">
        <f t="shared" ref="CD62" ca="1" si="62">AVERAGE(BF62:BF91)</f>
        <v>21.199999999999992</v>
      </c>
      <c r="CE62" s="5">
        <f t="shared" ref="CE62" ca="1" si="63">AVERAGE(BG62:BG91)</f>
        <v>25.299999999999997</v>
      </c>
      <c r="CF62" s="5">
        <f t="shared" ref="CF62" ca="1" si="64">AVERAGE(BH62:BH91)</f>
        <v>18</v>
      </c>
      <c r="CG62" s="5">
        <f t="shared" ref="CG62" ca="1" si="65">AVERAGE(BI62:BI91)</f>
        <v>17.000000000000004</v>
      </c>
      <c r="CH62" s="5">
        <f t="shared" ref="CH62" ca="1" si="66">AVERAGE(BJ62:BJ91)</f>
        <v>4.0000000000000009</v>
      </c>
      <c r="CI62" s="5">
        <f t="shared" ref="CI62" ca="1" si="67">AVERAGE(BK62:BK91)</f>
        <v>17.899999999999999</v>
      </c>
      <c r="CJ62" s="5">
        <f t="shared" ref="CJ62" ca="1" si="68">AVERAGE(BL62:BL91)</f>
        <v>10.900000000000002</v>
      </c>
      <c r="CK62" s="5">
        <f t="shared" ref="CK62" ca="1" si="69">AVERAGE(BM62:BM91)</f>
        <v>10.899999999999999</v>
      </c>
      <c r="CL62" s="5">
        <f t="shared" ref="CL62" ca="1" si="70">AVERAGE(BN62:BN91)</f>
        <v>4.3</v>
      </c>
      <c r="CM62" s="5">
        <f t="shared" ref="CM62" ca="1" si="71">AVERAGE(BO62:BO91)</f>
        <v>13.500000000000004</v>
      </c>
      <c r="CN62" s="5">
        <f t="shared" ref="CN62" ca="1" si="72">AVERAGE(BP62:BP91)</f>
        <v>21.599999999999998</v>
      </c>
      <c r="CO62" s="5">
        <f ca="1">AVERAGE(BQ62:BQ91)</f>
        <v>21.099999999999998</v>
      </c>
      <c r="CP62" s="5">
        <f ca="1">AVERAGE(BR62:BR91)</f>
        <v>28.100000000000005</v>
      </c>
      <c r="CQ62" s="5">
        <f t="shared" ref="CQ62" ca="1" si="73">AVERAGE(BS62:BS91)</f>
        <v>21.900000000000002</v>
      </c>
      <c r="CR62" s="5">
        <f ca="1">AVERAGE(BT62:BT91)</f>
        <v>19.099999999999998</v>
      </c>
      <c r="CS62" s="5">
        <f t="shared" ref="CS62" ca="1" si="74">AVERAGE(BU62:BU91)</f>
        <v>9.800000000000006</v>
      </c>
    </row>
    <row r="63" spans="1:97" x14ac:dyDescent="0.3">
      <c r="A63" s="8" cm="1">
        <f t="array" aca="1" ref="A63" ca="1">[1]!UNIFORM_INV(RAND(),Sheet2!C$17-SQRT(3)*Sheet2!C$18,Sheet2!C$17+SQRT(3)*Sheet2!C$18)</f>
        <v>4.9807073533093682</v>
      </c>
      <c r="B63" s="8" cm="1">
        <f t="array" aca="1" ref="B63" ca="1">[1]!UNIFORM_INV(RAND(),Sheet2!D$17-SQRT(3)*Sheet2!D$18,Sheet2!D$17+SQRT(3)*Sheet2!D$18)</f>
        <v>5.5388472845149801</v>
      </c>
      <c r="C63" s="8" cm="1">
        <f t="array" aca="1" ref="C63" ca="1">[1]!UNIFORM_INV(RAND(),Sheet2!E$17-SQRT(3)*Sheet2!E$18,Sheet2!E$17+SQRT(3)*Sheet2!E$18)</f>
        <v>28.506623673297739</v>
      </c>
      <c r="D63" s="8" cm="1">
        <f t="array" aca="1" ref="D63" ca="1">[1]!UNIFORM_INV(RAND(),Sheet2!F$17-SQRT(3)*Sheet2!F$18,Sheet2!F$17+SQRT(3)*Sheet2!F$18)</f>
        <v>7.2061555816496963</v>
      </c>
      <c r="E63" s="8" cm="1">
        <f t="array" aca="1" ref="E63" ca="1">[1]!UNIFORM_INV(RAND(),Sheet2!G$17-SQRT(3)*Sheet2!G$18,Sheet2!G$17+SQRT(3)*Sheet2!G$18)</f>
        <v>23.827079093697701</v>
      </c>
      <c r="F63" s="8" cm="1">
        <f t="array" aca="1" ref="F63" ca="1">[1]!UNIFORM_INV(RAND(),Sheet2!H$17-SQRT(3)*Sheet2!H$18,Sheet2!H$17+SQRT(3)*Sheet2!H$18)</f>
        <v>16.403420099610528</v>
      </c>
      <c r="G63" s="8" cm="1">
        <f t="array" aca="1" ref="G63" ca="1">[1]!UNIFORM_INV(RAND(),Sheet2!I$17-SQRT(3)*Sheet2!I$18,Sheet2!I$17+SQRT(3)*Sheet2!I$18)</f>
        <v>10.415188943764271</v>
      </c>
      <c r="H63" s="8" cm="1">
        <f t="array" aca="1" ref="H63" ca="1">[1]!UNIFORM_INV(RAND(),Sheet2!J$17-SQRT(3)*Sheet2!J$18,Sheet2!J$17+SQRT(3)*Sheet2!J$18)</f>
        <v>23.566419113767456</v>
      </c>
      <c r="I63" s="8" cm="1">
        <f t="array" aca="1" ref="I63" ca="1">[1]!UNIFORM_INV(RAND(),Sheet2!K$17-SQRT(3)*Sheet2!K$18,Sheet2!K$17+SQRT(3)*Sheet2!K$18)</f>
        <v>22.304390593636811</v>
      </c>
      <c r="J63" s="8" cm="1">
        <f t="array" aca="1" ref="J63" ca="1">[1]!UNIFORM_INV(RAND(),Sheet2!L$17-SQRT(3)*Sheet2!L$18,Sheet2!L$17+SQRT(3)*Sheet2!L$18)</f>
        <v>21.466335075217792</v>
      </c>
      <c r="K63" s="8" cm="1">
        <f t="array" aca="1" ref="K63" ca="1">[1]!UNIFORM_INV(RAND(),Sheet2!M$17-SQRT(3)*Sheet2!M$18,Sheet2!M$17+SQRT(3)*Sheet2!M$18)</f>
        <v>15.518191039279653</v>
      </c>
      <c r="L63" s="8" cm="1">
        <f t="array" aca="1" ref="L63" ca="1">[1]!UNIFORM_INV(RAND(),Sheet2!N$17-SQRT(3)*Sheet2!N$18,Sheet2!N$17+SQRT(3)*Sheet2!N$18)</f>
        <v>16.460769800687611</v>
      </c>
      <c r="M63" s="8" cm="1">
        <f t="array" aca="1" ref="M63" ca="1">[1]!UNIFORM_INV(RAND(),Sheet2!O$17-SQRT(3)*Sheet2!O$18,Sheet2!O$17+SQRT(3)*Sheet2!O$18)</f>
        <v>2.7643466416271618</v>
      </c>
      <c r="N63" s="8" cm="1">
        <f t="array" aca="1" ref="N63" ca="1">[1]!UNIFORM_INV(RAND(),Sheet2!P$17-SQRT(3)*Sheet2!P$18,Sheet2!P$17+SQRT(3)*Sheet2!P$18)</f>
        <v>17.351588808892256</v>
      </c>
      <c r="O63" s="8" cm="1">
        <f t="array" aca="1" ref="O63" ca="1">[1]!UNIFORM_INV(RAND(),Sheet2!Q$17-SQRT(3)*Sheet2!Q$18,Sheet2!Q$17+SQRT(3)*Sheet2!Q$18)</f>
        <v>10.948887574109154</v>
      </c>
      <c r="P63" s="8" cm="1">
        <f t="array" aca="1" ref="P63" ca="1">[1]!UNIFORM_INV(RAND(),Sheet2!R$17-SQRT(3)*Sheet2!R$18,Sheet2!R$17+SQRT(3)*Sheet2!R$18)</f>
        <v>10.547624598978667</v>
      </c>
      <c r="Q63" s="8" cm="1">
        <f t="array" aca="1" ref="Q63" ca="1">[1]!UNIFORM_INV(RAND(),Sheet2!S$17-SQRT(3)*Sheet2!S$18,Sheet2!S$17+SQRT(3)*Sheet2!S$18)</f>
        <v>5.2796828758565102</v>
      </c>
      <c r="R63" s="8" cm="1">
        <f t="array" aca="1" ref="R63" ca="1">[1]!UNIFORM_INV(RAND(),Sheet2!T$17-SQRT(3)*Sheet2!T$18,Sheet2!T$17+SQRT(3)*Sheet2!T$18)</f>
        <v>15.431612335499173</v>
      </c>
      <c r="S63" s="8" cm="1">
        <f t="array" aca="1" ref="S63" ca="1">[1]!UNIFORM_INV(RAND(),Sheet2!U$17-SQRT(3)*Sheet2!U$18,Sheet2!U$17+SQRT(3)*Sheet2!U$18)</f>
        <v>20.577920107131376</v>
      </c>
      <c r="T63" s="8" cm="1">
        <f t="array" aca="1" ref="T63" ca="1">[1]!UNIFORM_INV(RAND(),Sheet2!V$17-SQRT(3)*Sheet2!V$18,Sheet2!V$17+SQRT(3)*Sheet2!V$18)</f>
        <v>21.317972051388399</v>
      </c>
      <c r="U63" s="8" cm="1">
        <f t="array" aca="1" ref="U63" ca="1">[1]!UNIFORM_INV(RAND(),Sheet2!W$17-SQRT(3)*Sheet2!W$18,Sheet2!W$17+SQRT(3)*Sheet2!W$18)</f>
        <v>28.650368356585247</v>
      </c>
      <c r="V63" s="8" cm="1">
        <f t="array" aca="1" ref="V63" ca="1">[1]!UNIFORM_INV(RAND(),Sheet2!X$17-SQRT(3)*Sheet2!X$18,Sheet2!X$17+SQRT(3)*Sheet2!X$18)</f>
        <v>23.959723374101138</v>
      </c>
      <c r="W63" s="8" cm="1">
        <f t="array" aca="1" ref="W63" ca="1">[1]!UNIFORM_INV(RAND(),Sheet2!Y$17-SQRT(3)*Sheet2!Y$18,Sheet2!Y$17+SQRT(3)*Sheet2!Y$18)</f>
        <v>19.852278229229288</v>
      </c>
      <c r="X63" s="8" cm="1">
        <f t="array" aca="1" ref="X63" ca="1">[1]!UNIFORM_INV(RAND(),Sheet2!Z$17-SQRT(3)*Sheet2!Z$18,Sheet2!Z$17+SQRT(3)*Sheet2!Z$18)</f>
        <v>10.082320839841872</v>
      </c>
      <c r="Y63" s="5">
        <f ca="1">_xlfn.STDEV.P(A62:A91)</f>
        <v>0.7995423047469209</v>
      </c>
      <c r="Z63" s="5">
        <f t="shared" ref="Z63:AQ63" ca="1" si="75">_xlfn.STDEV.P(B62:B91)</f>
        <v>0.71096981374966661</v>
      </c>
      <c r="AA63" s="5">
        <f t="shared" ca="1" si="75"/>
        <v>1.0699229755522237</v>
      </c>
      <c r="AB63" s="5">
        <f t="shared" ca="1" si="75"/>
        <v>3.5827495628757542</v>
      </c>
      <c r="AC63" s="5">
        <f t="shared" ca="1" si="75"/>
        <v>6.7360756201968934</v>
      </c>
      <c r="AD63" s="5">
        <f t="shared" ca="1" si="75"/>
        <v>4.2248003105306351</v>
      </c>
      <c r="AE63" s="5">
        <f t="shared" ca="1" si="75"/>
        <v>0.91753851067203807</v>
      </c>
      <c r="AF63" s="5">
        <f t="shared" ca="1" si="75"/>
        <v>1.8166764785624168</v>
      </c>
      <c r="AG63" s="5">
        <f t="shared" ca="1" si="75"/>
        <v>2.4084313124293577</v>
      </c>
      <c r="AH63" s="5">
        <f t="shared" ca="1" si="75"/>
        <v>2.3242846453503221</v>
      </c>
      <c r="AI63" s="5">
        <f t="shared" ca="1" si="75"/>
        <v>1.528191019860166</v>
      </c>
      <c r="AJ63" s="5">
        <f t="shared" ca="1" si="75"/>
        <v>2.0084579205245641</v>
      </c>
      <c r="AK63" s="5">
        <f t="shared" ca="1" si="75"/>
        <v>1.2503283791073467</v>
      </c>
      <c r="AL63" s="5">
        <f t="shared" ca="1" si="75"/>
        <v>2.1190302254613869</v>
      </c>
      <c r="AM63" s="5">
        <f t="shared" ca="1" si="75"/>
        <v>1.6269231356347005</v>
      </c>
      <c r="AN63" s="5">
        <f t="shared" ca="1" si="75"/>
        <v>0.84122220207644005</v>
      </c>
      <c r="AO63" s="5">
        <f t="shared" ca="1" si="75"/>
        <v>0.53964076983486797</v>
      </c>
      <c r="AP63" s="5">
        <f t="shared" ca="1" si="75"/>
        <v>1.382600137013613</v>
      </c>
      <c r="AQ63" s="5">
        <f t="shared" ca="1" si="75"/>
        <v>1.0980009299150679</v>
      </c>
      <c r="AR63" s="5">
        <f ca="1">_xlfn.STDEV.P(T62:T91)</f>
        <v>1.0684354982725994</v>
      </c>
      <c r="AS63" s="5">
        <f ca="1">_xlfn.STDEV.P(U62:U91)</f>
        <v>1.2777656798881238</v>
      </c>
      <c r="AT63" s="5">
        <f t="shared" ref="AT63" ca="1" si="76">_xlfn.STDEV.P(V62:V91)</f>
        <v>1.9199126044011239</v>
      </c>
      <c r="AU63" s="5">
        <f ca="1">_xlfn.STDEV.P(W62:W91)</f>
        <v>1.5342558913074078</v>
      </c>
      <c r="AV63" s="5">
        <f t="shared" ref="AV63" ca="1" si="77">_xlfn.STDEV.P(X62:X91)</f>
        <v>0.91684546657704813</v>
      </c>
      <c r="AX63" s="7">
        <f ca="1">Sheet2!C$17+('RNG HERE'!A63-'RNG HERE'!Y$62)*Sheet2!C$18/'RNG HERE'!Y$63</f>
        <v>5.1273911430775865</v>
      </c>
      <c r="AY63" s="7">
        <f ca="1">Sheet2!D$17+('RNG HERE'!B63-'RNG HERE'!Z$62)*Sheet2!D$18/'RNG HERE'!Z$63</f>
        <v>5.7317266612080902</v>
      </c>
      <c r="AZ63" s="7">
        <f ca="1">Sheet2!E$17+('RNG HERE'!C63-'RNG HERE'!AA$62)*Sheet2!E$18/'RNG HERE'!AA$63</f>
        <v>28.654105899221097</v>
      </c>
      <c r="BA63" s="7">
        <f ca="1">Sheet2!F$17+('RNG HERE'!D63-'RNG HERE'!AB$62)*Sheet2!F$18/'RNG HERE'!AB$63</f>
        <v>6.3070003744120839</v>
      </c>
      <c r="BB63" s="7">
        <f ca="1">Sheet2!G$17+('RNG HERE'!E63-'RNG HERE'!AC$62)*Sheet2!G$18/'RNG HERE'!AC$63</f>
        <v>25.533514892092896</v>
      </c>
      <c r="BC63" s="7">
        <f ca="1">Sheet2!H$17+('RNG HERE'!F63-'RNG HERE'!AD$62)*Sheet2!H$18/'RNG HERE'!AD$63</f>
        <v>17.10059182801367</v>
      </c>
      <c r="BD63" s="7">
        <f ca="1">Sheet2!I$17+('RNG HERE'!G63-'RNG HERE'!AE$62)*Sheet2!I$18/'RNG HERE'!AE$63</f>
        <v>10.598734067726612</v>
      </c>
      <c r="BE63" s="7">
        <f ca="1">Sheet2!J$17+('RNG HERE'!H63-'RNG HERE'!AF$62)*Sheet2!J$18/'RNG HERE'!AF$63</f>
        <v>23.738798849850724</v>
      </c>
      <c r="BF63" s="7">
        <f ca="1">Sheet2!K$17+('RNG HERE'!I63-'RNG HERE'!AG$62)*Sheet2!K$18/'RNG HERE'!AG$63</f>
        <v>22.265550747481544</v>
      </c>
      <c r="BG63" s="7">
        <f ca="1">Sheet2!L$17+('RNG HERE'!J63-'RNG HERE'!AH$62)*Sheet2!L$18/'RNG HERE'!AH$63</f>
        <v>21.508907331709523</v>
      </c>
      <c r="BH63" s="7">
        <f ca="1">Sheet2!M$17+('RNG HERE'!K63-'RNG HERE'!AI$62)*Sheet2!M$18/'RNG HERE'!AI$63</f>
        <v>16.368373966695749</v>
      </c>
      <c r="BI63" s="7">
        <f ca="1">Sheet2!N$17+('RNG HERE'!L63-'RNG HERE'!AJ$62)*Sheet2!N$18/'RNG HERE'!AJ$63</f>
        <v>16.445459869298361</v>
      </c>
      <c r="BJ63" s="7">
        <f ca="1">Sheet2!O$17+('RNG HERE'!M63-'RNG HERE'!AK$62)*Sheet2!O$18/'RNG HERE'!AK$63</f>
        <v>2.4843003968569355</v>
      </c>
      <c r="BK63" s="7">
        <f ca="1">Sheet2!P$17+('RNG HERE'!N63-'RNG HERE'!AL$62)*Sheet2!P$18/'RNG HERE'!AL$63</f>
        <v>17.714518110641841</v>
      </c>
      <c r="BL63" s="7">
        <f ca="1">Sheet2!Q$17+('RNG HERE'!O63-'RNG HERE'!AM$62)*Sheet2!Q$18/'RNG HERE'!AM$63</f>
        <v>11.004545304766468</v>
      </c>
      <c r="BM63" s="7">
        <f ca="1">Sheet2!R$17+('RNG HERE'!P63-'RNG HERE'!AN$62)*Sheet2!R$18/'RNG HERE'!AN$63</f>
        <v>10.544028146381699</v>
      </c>
      <c r="BN63" s="7">
        <f ca="1">Sheet2!S$17+('RNG HERE'!Q63-'RNG HERE'!AO$62)*Sheet2!S$18/'RNG HERE'!AO$63</f>
        <v>5.4767037749323171</v>
      </c>
      <c r="BO63" s="7">
        <f ca="1">Sheet2!T$17+('RNG HERE'!R63-'RNG HERE'!AP$62)*Sheet2!T$18/'RNG HERE'!AP$63</f>
        <v>15.392351031761322</v>
      </c>
      <c r="BP63" s="7">
        <f ca="1">Sheet2!U$17+('RNG HERE'!S63-'RNG HERE'!AQ$62)*Sheet2!U$18/'RNG HERE'!AQ$63</f>
        <v>20.64382875728511</v>
      </c>
      <c r="BQ63" s="7">
        <f ca="1">Sheet2!V$17+('RNG HERE'!T63-'RNG HERE'!AR$62)*Sheet2!V$18/'RNG HERE'!AR$63</f>
        <v>21.579316014112518</v>
      </c>
      <c r="BR63" s="7">
        <f ca="1">Sheet2!W$17+('RNG HERE'!U63-'RNG HERE'!AS$62)*Sheet2!W$18/'RNG HERE'!AS$63</f>
        <v>28.896164851069091</v>
      </c>
      <c r="BS63" s="7">
        <f ca="1">Sheet2!X$17+('RNG HERE'!V63-'RNG HERE'!AT$62)*Sheet2!X$18/'RNG HERE'!AT$63</f>
        <v>23.280990028990615</v>
      </c>
      <c r="BT63" s="7">
        <f ca="1">Sheet2!Y$17+('RNG HERE'!W63-'RNG HERE'!AU$62)*Sheet2!Y$18/'RNG HERE'!AU$63</f>
        <v>20.031549588761639</v>
      </c>
      <c r="BU63" s="7">
        <f ca="1">Sheet2!Z$17+('RNG HERE'!X63-'RNG HERE'!AV$62)*Sheet2!Z$18/'RNG HERE'!AV$63</f>
        <v>10.022462090950889</v>
      </c>
      <c r="BV63" s="5">
        <f ca="1">_xlfn.STDEV.P(AX62:AX91)</f>
        <v>0.89999999999999103</v>
      </c>
      <c r="BW63" s="5">
        <f t="shared" ref="BW63" ca="1" si="78">_xlfn.STDEV.P(AY62:AY91)</f>
        <v>0.7</v>
      </c>
      <c r="BX63" s="5">
        <f t="shared" ref="BX63" ca="1" si="79">_xlfn.STDEV.P(AZ62:AZ91)</f>
        <v>1.2000000000000004</v>
      </c>
      <c r="BY63" s="5">
        <f t="shared" ref="BY63" ca="1" si="80">_xlfn.STDEV.P(BA62:BA91)</f>
        <v>3.3000000000000003</v>
      </c>
      <c r="BZ63" s="5">
        <f t="shared" ref="BZ63" ca="1" si="81">_xlfn.STDEV.P(BB62:BB91)</f>
        <v>6.3999999999999799</v>
      </c>
      <c r="CA63" s="5">
        <f t="shared" ref="CA63" ca="1" si="82">_xlfn.STDEV.P(BC62:BC91)</f>
        <v>4.2000000000000153</v>
      </c>
      <c r="CB63" s="5">
        <f t="shared" ref="CB63" ca="1" si="83">_xlfn.STDEV.P(BD62:BD91)</f>
        <v>0.9</v>
      </c>
      <c r="CC63" s="5">
        <f t="shared" ref="CC63" ca="1" si="84">_xlfn.STDEV.P(BE62:BE91)</f>
        <v>1.7999999999999998</v>
      </c>
      <c r="CD63" s="5">
        <f t="shared" ref="CD63" ca="1" si="85">_xlfn.STDEV.P(BF62:BF91)</f>
        <v>2.2000000000000441</v>
      </c>
      <c r="CE63" s="5">
        <f t="shared" ref="CE63" ca="1" si="86">_xlfn.STDEV.P(BG62:BG91)</f>
        <v>2.4999999999999991</v>
      </c>
      <c r="CF63" s="5">
        <f t="shared" ref="CF63" ca="1" si="87">_xlfn.STDEV.P(BH62:BH91)</f>
        <v>1.6999999999999997</v>
      </c>
      <c r="CG63" s="5">
        <f t="shared" ref="CG63" ca="1" si="88">_xlfn.STDEV.P(BI62:BI91)</f>
        <v>2.2999999999999581</v>
      </c>
      <c r="CH63" s="5">
        <f t="shared" ref="CH63" ca="1" si="89">_xlfn.STDEV.P(BJ62:BJ91)</f>
        <v>1.299999999999996</v>
      </c>
      <c r="CI63" s="5">
        <f t="shared" ref="CI63" ca="1" si="90">_xlfn.STDEV.P(BK62:BK91)</f>
        <v>2.3999999999999733</v>
      </c>
      <c r="CJ63" s="5">
        <f t="shared" ref="CJ63" ca="1" si="91">_xlfn.STDEV.P(BL62:BL91)</f>
        <v>1.6999999999999904</v>
      </c>
      <c r="CK63" s="5">
        <f t="shared" ref="CK63" ca="1" si="92">_xlfn.STDEV.P(BM62:BM91)</f>
        <v>0.8</v>
      </c>
      <c r="CL63" s="5">
        <f t="shared" ref="CL63" ca="1" si="93">_xlfn.STDEV.P(BN62:BN91)</f>
        <v>0.60000000000001008</v>
      </c>
      <c r="CM63" s="5">
        <f t="shared" ref="CM63" ca="1" si="94">_xlfn.STDEV.P(BO62:BO91)</f>
        <v>1.5999999999999899</v>
      </c>
      <c r="CN63" s="5">
        <f t="shared" ref="CN63" ca="1" si="95">_xlfn.STDEV.P(BP62:BP91)</f>
        <v>1.3000000000000005</v>
      </c>
      <c r="CO63" s="5">
        <f ca="1">_xlfn.STDEV.P(BQ62:BQ91)</f>
        <v>1.1000000000000005</v>
      </c>
      <c r="CP63" s="5">
        <f ca="1">_xlfn.STDEV.P(BR62:BR91)</f>
        <v>1.5000000000000002</v>
      </c>
      <c r="CQ63" s="5">
        <f t="shared" ref="CQ63" ca="1" si="96">_xlfn.STDEV.P(BS62:BS91)</f>
        <v>1.7999999999999994</v>
      </c>
      <c r="CR63" s="5">
        <f ca="1">_xlfn.STDEV.P(BT62:BT91)</f>
        <v>1.6000000000000005</v>
      </c>
      <c r="CS63" s="5">
        <f t="shared" ref="CS63" ca="1" si="97">_xlfn.STDEV.P(BU62:BU91)</f>
        <v>0.9</v>
      </c>
    </row>
    <row r="64" spans="1:97" x14ac:dyDescent="0.3">
      <c r="A64" s="8" cm="1">
        <f t="array" aca="1" ref="A64" ca="1">[1]!UNIFORM_INV(RAND(),Sheet2!C$17-SQRT(3)*Sheet2!C$18,Sheet2!C$17+SQRT(3)*Sheet2!C$18)</f>
        <v>4.8692375213481958</v>
      </c>
      <c r="B64" s="8" cm="1">
        <f t="array" aca="1" ref="B64" ca="1">[1]!UNIFORM_INV(RAND(),Sheet2!D$17-SQRT(3)*Sheet2!D$18,Sheet2!D$17+SQRT(3)*Sheet2!D$18)</f>
        <v>6.1192426541994225</v>
      </c>
      <c r="C64" s="8" cm="1">
        <f t="array" aca="1" ref="C64" ca="1">[1]!UNIFORM_INV(RAND(),Sheet2!E$17-SQRT(3)*Sheet2!E$18,Sheet2!E$17+SQRT(3)*Sheet2!E$18)</f>
        <v>27.955107285710927</v>
      </c>
      <c r="D64" s="8" cm="1">
        <f t="array" aca="1" ref="D64" ca="1">[1]!UNIFORM_INV(RAND(),Sheet2!F$17-SQRT(3)*Sheet2!F$18,Sheet2!F$17+SQRT(3)*Sheet2!F$18)</f>
        <v>5.9979242823235364</v>
      </c>
      <c r="E64" s="8" cm="1">
        <f t="array" aca="1" ref="E64" ca="1">[1]!UNIFORM_INV(RAND(),Sheet2!G$17-SQRT(3)*Sheet2!G$18,Sheet2!G$17+SQRT(3)*Sheet2!G$18)</f>
        <v>32.716328297175863</v>
      </c>
      <c r="F64" s="8" cm="1">
        <f t="array" aca="1" ref="F64" ca="1">[1]!UNIFORM_INV(RAND(),Sheet2!H$17-SQRT(3)*Sheet2!H$18,Sheet2!H$17+SQRT(3)*Sheet2!H$18)</f>
        <v>14.757569292279621</v>
      </c>
      <c r="G64" s="8" cm="1">
        <f t="array" aca="1" ref="G64" ca="1">[1]!UNIFORM_INV(RAND(),Sheet2!I$17-SQRT(3)*Sheet2!I$18,Sheet2!I$17+SQRT(3)*Sheet2!I$18)</f>
        <v>8.8086145681216586</v>
      </c>
      <c r="H64" s="8" cm="1">
        <f t="array" aca="1" ref="H64" ca="1">[1]!UNIFORM_INV(RAND(),Sheet2!J$17-SQRT(3)*Sheet2!J$18,Sheet2!J$17+SQRT(3)*Sheet2!J$18)</f>
        <v>25.211107406534328</v>
      </c>
      <c r="I64" s="8" cm="1">
        <f t="array" aca="1" ref="I64" ca="1">[1]!UNIFORM_INV(RAND(),Sheet2!K$17-SQRT(3)*Sheet2!K$18,Sheet2!K$17+SQRT(3)*Sheet2!K$18)</f>
        <v>19.905628440365415</v>
      </c>
      <c r="J64" s="8" cm="1">
        <f t="array" aca="1" ref="J64" ca="1">[1]!UNIFORM_INV(RAND(),Sheet2!L$17-SQRT(3)*Sheet2!L$18,Sheet2!L$17+SQRT(3)*Sheet2!L$18)</f>
        <v>22.163791162267554</v>
      </c>
      <c r="K64" s="8" cm="1">
        <f t="array" aca="1" ref="K64" ca="1">[1]!UNIFORM_INV(RAND(),Sheet2!M$17-SQRT(3)*Sheet2!M$18,Sheet2!M$17+SQRT(3)*Sheet2!M$18)</f>
        <v>16.146230485730928</v>
      </c>
      <c r="L64" s="8" cm="1">
        <f t="array" aca="1" ref="L64" ca="1">[1]!UNIFORM_INV(RAND(),Sheet2!N$17-SQRT(3)*Sheet2!N$18,Sheet2!N$17+SQRT(3)*Sheet2!N$18)</f>
        <v>19.933960005719122</v>
      </c>
      <c r="M64" s="8" cm="1">
        <f t="array" aca="1" ref="M64" ca="1">[1]!UNIFORM_INV(RAND(),Sheet2!O$17-SQRT(3)*Sheet2!O$18,Sheet2!O$17+SQRT(3)*Sheet2!O$18)</f>
        <v>2.6422950214061585</v>
      </c>
      <c r="N64" s="8" cm="1">
        <f t="array" aca="1" ref="N64" ca="1">[1]!UNIFORM_INV(RAND(),Sheet2!P$17-SQRT(3)*Sheet2!P$18,Sheet2!P$17+SQRT(3)*Sheet2!P$18)</f>
        <v>18.703781810949788</v>
      </c>
      <c r="O64" s="8" cm="1">
        <f t="array" aca="1" ref="O64" ca="1">[1]!UNIFORM_INV(RAND(),Sheet2!Q$17-SQRT(3)*Sheet2!Q$18,Sheet2!Q$17+SQRT(3)*Sheet2!Q$18)</f>
        <v>9.6740271227570815</v>
      </c>
      <c r="P64" s="8" cm="1">
        <f t="array" aca="1" ref="P64" ca="1">[1]!UNIFORM_INV(RAND(),Sheet2!R$17-SQRT(3)*Sheet2!R$18,Sheet2!R$17+SQRT(3)*Sheet2!R$18)</f>
        <v>11.336925141948283</v>
      </c>
      <c r="Q64" s="8" cm="1">
        <f t="array" aca="1" ref="Q64" ca="1">[1]!UNIFORM_INV(RAND(),Sheet2!S$17-SQRT(3)*Sheet2!S$18,Sheet2!S$17+SQRT(3)*Sheet2!S$18)</f>
        <v>3.593543040080708</v>
      </c>
      <c r="R64" s="8" cm="1">
        <f t="array" aca="1" ref="R64" ca="1">[1]!UNIFORM_INV(RAND(),Sheet2!T$17-SQRT(3)*Sheet2!T$18,Sheet2!T$17+SQRT(3)*Sheet2!T$18)</f>
        <v>14.625520756003986</v>
      </c>
      <c r="S64" s="8" cm="1">
        <f t="array" aca="1" ref="S64" ca="1">[1]!UNIFORM_INV(RAND(),Sheet2!U$17-SQRT(3)*Sheet2!U$18,Sheet2!U$17+SQRT(3)*Sheet2!U$18)</f>
        <v>21.281808642632214</v>
      </c>
      <c r="T64" s="8" cm="1">
        <f t="array" aca="1" ref="T64" ca="1">[1]!UNIFORM_INV(RAND(),Sheet2!V$17-SQRT(3)*Sheet2!V$18,Sheet2!V$17+SQRT(3)*Sheet2!V$18)</f>
        <v>22.257255995092351</v>
      </c>
      <c r="U64" s="8" cm="1">
        <f t="array" aca="1" ref="U64" ca="1">[1]!UNIFORM_INV(RAND(),Sheet2!W$17-SQRT(3)*Sheet2!W$18,Sheet2!W$17+SQRT(3)*Sheet2!W$18)</f>
        <v>29.003217240172706</v>
      </c>
      <c r="V64" s="8" cm="1">
        <f t="array" aca="1" ref="V64" ca="1">[1]!UNIFORM_INV(RAND(),Sheet2!X$17-SQRT(3)*Sheet2!X$18,Sheet2!X$17+SQRT(3)*Sheet2!X$18)</f>
        <v>20.153452712914824</v>
      </c>
      <c r="W64" s="8" cm="1">
        <f t="array" aca="1" ref="W64" ca="1">[1]!UNIFORM_INV(RAND(),Sheet2!Y$17-SQRT(3)*Sheet2!Y$18,Sheet2!Y$17+SQRT(3)*Sheet2!Y$18)</f>
        <v>19.390325416634706</v>
      </c>
      <c r="X64" s="8" cm="1">
        <f t="array" aca="1" ref="X64" ca="1">[1]!UNIFORM_INV(RAND(),Sheet2!Z$17-SQRT(3)*Sheet2!Z$18,Sheet2!Z$17+SQRT(3)*Sheet2!Z$18)</f>
        <v>11.14219870278197</v>
      </c>
      <c r="AX64" s="7">
        <f ca="1">Sheet2!C$17+('RNG HERE'!A64-'RNG HERE'!Y$62)*Sheet2!C$18/'RNG HERE'!Y$63</f>
        <v>5.0019157952824376</v>
      </c>
      <c r="AY64" s="7">
        <f ca="1">Sheet2!D$17+('RNG HERE'!B64-'RNG HERE'!Z$62)*Sheet2!D$18/'RNG HERE'!Z$63</f>
        <v>6.3031668980817201</v>
      </c>
      <c r="AZ64" s="7">
        <f ca="1">Sheet2!E$17+('RNG HERE'!C64-'RNG HERE'!AA$62)*Sheet2!E$18/'RNG HERE'!AA$63</f>
        <v>28.0355383198469</v>
      </c>
      <c r="BA64" s="7">
        <f ca="1">Sheet2!F$17+('RNG HERE'!D64-'RNG HERE'!AB$62)*Sheet2!F$18/'RNG HERE'!AB$63</f>
        <v>5.1941223409901882</v>
      </c>
      <c r="BB64" s="7">
        <f ca="1">Sheet2!G$17+('RNG HERE'!E64-'RNG HERE'!AC$62)*Sheet2!G$18/'RNG HERE'!AC$63</f>
        <v>33.979262551409896</v>
      </c>
      <c r="BC64" s="7">
        <f ca="1">Sheet2!H$17+('RNG HERE'!F64-'RNG HERE'!AD$62)*Sheet2!H$18/'RNG HERE'!AD$63</f>
        <v>15.464402450361971</v>
      </c>
      <c r="BD64" s="7">
        <f ca="1">Sheet2!I$17+('RNG HERE'!G64-'RNG HERE'!AE$62)*Sheet2!I$18/'RNG HERE'!AE$63</f>
        <v>9.0228689446166186</v>
      </c>
      <c r="BE64" s="7">
        <f ca="1">Sheet2!J$17+('RNG HERE'!H64-'RNG HERE'!AF$62)*Sheet2!J$18/'RNG HERE'!AF$63</f>
        <v>25.368389457707906</v>
      </c>
      <c r="BF64" s="7">
        <f ca="1">Sheet2!K$17+('RNG HERE'!I64-'RNG HERE'!AG$62)*Sheet2!K$18/'RNG HERE'!AG$63</f>
        <v>20.074383114855998</v>
      </c>
      <c r="BG64" s="7">
        <f ca="1">Sheet2!L$17+('RNG HERE'!J64-'RNG HERE'!AH$62)*Sheet2!L$18/'RNG HERE'!AH$63</f>
        <v>22.259090929537148</v>
      </c>
      <c r="BH64" s="7">
        <f ca="1">Sheet2!M$17+('RNG HERE'!K64-'RNG HERE'!AI$62)*Sheet2!M$18/'RNG HERE'!AI$63</f>
        <v>17.067021612894365</v>
      </c>
      <c r="BI64" s="7">
        <f ca="1">Sheet2!N$17+('RNG HERE'!L64-'RNG HERE'!AJ$62)*Sheet2!N$18/'RNG HERE'!AJ$63</f>
        <v>20.422808555541238</v>
      </c>
      <c r="BJ64" s="7">
        <f ca="1">Sheet2!O$17+('RNG HERE'!M64-'RNG HERE'!AK$62)*Sheet2!O$18/'RNG HERE'!AK$63</f>
        <v>2.3574000489654621</v>
      </c>
      <c r="BK64" s="7">
        <f ca="1">Sheet2!P$17+('RNG HERE'!N64-'RNG HERE'!AL$62)*Sheet2!P$18/'RNG HERE'!AL$63</f>
        <v>19.246003205070579</v>
      </c>
      <c r="BL64" s="7">
        <f ca="1">Sheet2!Q$17+('RNG HERE'!O64-'RNG HERE'!AM$62)*Sheet2!Q$18/'RNG HERE'!AM$63</f>
        <v>9.6724216660839168</v>
      </c>
      <c r="BM64" s="7">
        <f ca="1">Sheet2!R$17+('RNG HERE'!P64-'RNG HERE'!AN$62)*Sheet2!R$18/'RNG HERE'!AN$63</f>
        <v>11.294650791405891</v>
      </c>
      <c r="BN64" s="7">
        <f ca="1">Sheet2!S$17+('RNG HERE'!Q64-'RNG HERE'!AO$62)*Sheet2!S$18/'RNG HERE'!AO$63</f>
        <v>3.6019679172708208</v>
      </c>
      <c r="BO64" s="7">
        <f ca="1">Sheet2!T$17+('RNG HERE'!R64-'RNG HERE'!AP$62)*Sheet2!T$18/'RNG HERE'!AP$63</f>
        <v>14.459509718742128</v>
      </c>
      <c r="BP64" s="7">
        <f ca="1">Sheet2!U$17+('RNG HERE'!S64-'RNG HERE'!AQ$62)*Sheet2!U$18/'RNG HERE'!AQ$63</f>
        <v>21.477211563456205</v>
      </c>
      <c r="BQ64" s="7">
        <f ca="1">Sheet2!V$17+('RNG HERE'!T64-'RNG HERE'!AR$62)*Sheet2!V$18/'RNG HERE'!AR$63</f>
        <v>22.546348970004381</v>
      </c>
      <c r="BR64" s="7">
        <f ca="1">Sheet2!W$17+('RNG HERE'!U64-'RNG HERE'!AS$62)*Sheet2!W$18/'RNG HERE'!AS$63</f>
        <v>29.310382679667782</v>
      </c>
      <c r="BS64" s="7">
        <f ca="1">Sheet2!X$17+('RNG HERE'!V64-'RNG HERE'!AT$62)*Sheet2!X$18/'RNG HERE'!AT$63</f>
        <v>19.712448849340159</v>
      </c>
      <c r="BT64" s="7">
        <f ca="1">Sheet2!Y$17+('RNG HERE'!W64-'RNG HERE'!AU$62)*Sheet2!Y$18/'RNG HERE'!AU$63</f>
        <v>19.549801723663666</v>
      </c>
      <c r="BU64" s="7">
        <f ca="1">Sheet2!Z$17+('RNG HERE'!X64-'RNG HERE'!AV$62)*Sheet2!Z$18/'RNG HERE'!AV$63</f>
        <v>11.062866511782397</v>
      </c>
    </row>
    <row r="65" spans="1:73" x14ac:dyDescent="0.3">
      <c r="A65" s="8" cm="1">
        <f t="array" aca="1" ref="A65" ca="1">[1]!UNIFORM_INV(RAND(),Sheet2!C$17-SQRT(3)*Sheet2!C$18,Sheet2!C$17+SQRT(3)*Sheet2!C$18)</f>
        <v>5.2648621568216702</v>
      </c>
      <c r="B65" s="8" cm="1">
        <f t="array" aca="1" ref="B65" ca="1">[1]!UNIFORM_INV(RAND(),Sheet2!D$17-SQRT(3)*Sheet2!D$18,Sheet2!D$17+SQRT(3)*Sheet2!D$18)</f>
        <v>5.3866763320618185</v>
      </c>
      <c r="C65" s="8" cm="1">
        <f t="array" aca="1" ref="C65" ca="1">[1]!UNIFORM_INV(RAND(),Sheet2!E$17-SQRT(3)*Sheet2!E$18,Sheet2!E$17+SQRT(3)*Sheet2!E$18)</f>
        <v>28.681354369566243</v>
      </c>
      <c r="D65" s="8" cm="1">
        <f t="array" aca="1" ref="D65" ca="1">[1]!UNIFORM_INV(RAND(),Sheet2!F$17-SQRT(3)*Sheet2!F$18,Sheet2!F$17+SQRT(3)*Sheet2!F$18)</f>
        <v>5.4153801027428132</v>
      </c>
      <c r="E65" s="8" cm="1">
        <f t="array" aca="1" ref="E65" ca="1">[1]!UNIFORM_INV(RAND(),Sheet2!G$17-SQRT(3)*Sheet2!G$18,Sheet2!G$17+SQRT(3)*Sheet2!G$18)</f>
        <v>36.275710638427398</v>
      </c>
      <c r="F65" s="8" cm="1">
        <f t="array" aca="1" ref="F65" ca="1">[1]!UNIFORM_INV(RAND(),Sheet2!H$17-SQRT(3)*Sheet2!H$18,Sheet2!H$17+SQRT(3)*Sheet2!H$18)</f>
        <v>25.49563357929345</v>
      </c>
      <c r="G65" s="8" cm="1">
        <f t="array" aca="1" ref="G65" ca="1">[1]!UNIFORM_INV(RAND(),Sheet2!I$17-SQRT(3)*Sheet2!I$18,Sheet2!I$17+SQRT(3)*Sheet2!I$18)</f>
        <v>10.087283617420228</v>
      </c>
      <c r="H65" s="8" cm="1">
        <f t="array" aca="1" ref="H65" ca="1">[1]!UNIFORM_INV(RAND(),Sheet2!J$17-SQRT(3)*Sheet2!J$18,Sheet2!J$17+SQRT(3)*Sheet2!J$18)</f>
        <v>27.330529857373037</v>
      </c>
      <c r="I65" s="8" cm="1">
        <f t="array" aca="1" ref="I65" ca="1">[1]!UNIFORM_INV(RAND(),Sheet2!K$17-SQRT(3)*Sheet2!K$18,Sheet2!K$17+SQRT(3)*Sheet2!K$18)</f>
        <v>20.372462934519607</v>
      </c>
      <c r="J65" s="8" cm="1">
        <f t="array" aca="1" ref="J65" ca="1">[1]!UNIFORM_INV(RAND(),Sheet2!L$17-SQRT(3)*Sheet2!L$18,Sheet2!L$17+SQRT(3)*Sheet2!L$18)</f>
        <v>24.923358503983899</v>
      </c>
      <c r="K65" s="8" cm="1">
        <f t="array" aca="1" ref="K65" ca="1">[1]!UNIFORM_INV(RAND(),Sheet2!M$17-SQRT(3)*Sheet2!M$18,Sheet2!M$17+SQRT(3)*Sheet2!M$18)</f>
        <v>17.461471177688562</v>
      </c>
      <c r="L65" s="8" cm="1">
        <f t="array" aca="1" ref="L65" ca="1">[1]!UNIFORM_INV(RAND(),Sheet2!N$17-SQRT(3)*Sheet2!N$18,Sheet2!N$17+SQRT(3)*Sheet2!N$18)</f>
        <v>17.683694470944598</v>
      </c>
      <c r="M65" s="8" cm="1">
        <f t="array" aca="1" ref="M65" ca="1">[1]!UNIFORM_INV(RAND(),Sheet2!O$17-SQRT(3)*Sheet2!O$18,Sheet2!O$17+SQRT(3)*Sheet2!O$18)</f>
        <v>4.6540478230260378</v>
      </c>
      <c r="N65" s="8" cm="1">
        <f t="array" aca="1" ref="N65" ca="1">[1]!UNIFORM_INV(RAND(),Sheet2!P$17-SQRT(3)*Sheet2!P$18,Sheet2!P$17+SQRT(3)*Sheet2!P$18)</f>
        <v>18.185960584356277</v>
      </c>
      <c r="O65" s="8" cm="1">
        <f t="array" aca="1" ref="O65" ca="1">[1]!UNIFORM_INV(RAND(),Sheet2!Q$17-SQRT(3)*Sheet2!Q$18,Sheet2!Q$17+SQRT(3)*Sheet2!Q$18)</f>
        <v>12.32651284355064</v>
      </c>
      <c r="P65" s="8" cm="1">
        <f t="array" aca="1" ref="P65" ca="1">[1]!UNIFORM_INV(RAND(),Sheet2!R$17-SQRT(3)*Sheet2!R$18,Sheet2!R$17+SQRT(3)*Sheet2!R$18)</f>
        <v>10.824866124465547</v>
      </c>
      <c r="Q65" s="8" cm="1">
        <f t="array" aca="1" ref="Q65" ca="1">[1]!UNIFORM_INV(RAND(),Sheet2!S$17-SQRT(3)*Sheet2!S$18,Sheet2!S$17+SQRT(3)*Sheet2!S$18)</f>
        <v>3.9577280497823737</v>
      </c>
      <c r="R65" s="8" cm="1">
        <f t="array" aca="1" ref="R65" ca="1">[1]!UNIFORM_INV(RAND(),Sheet2!T$17-SQRT(3)*Sheet2!T$18,Sheet2!T$17+SQRT(3)*Sheet2!T$18)</f>
        <v>13.551202012131016</v>
      </c>
      <c r="S65" s="8" cm="1">
        <f t="array" aca="1" ref="S65" ca="1">[1]!UNIFORM_INV(RAND(),Sheet2!U$17-SQRT(3)*Sheet2!U$18,Sheet2!U$17+SQRT(3)*Sheet2!U$18)</f>
        <v>22.133843134395907</v>
      </c>
      <c r="T65" s="8" cm="1">
        <f t="array" aca="1" ref="T65" ca="1">[1]!UNIFORM_INV(RAND(),Sheet2!V$17-SQRT(3)*Sheet2!V$18,Sheet2!V$17+SQRT(3)*Sheet2!V$18)</f>
        <v>20.266703723656605</v>
      </c>
      <c r="U65" s="8" cm="1">
        <f t="array" aca="1" ref="U65" ca="1">[1]!UNIFORM_INV(RAND(),Sheet2!W$17-SQRT(3)*Sheet2!W$18,Sheet2!W$17+SQRT(3)*Sheet2!W$18)</f>
        <v>26.773951464778239</v>
      </c>
      <c r="V65" s="8" cm="1">
        <f t="array" aca="1" ref="V65" ca="1">[1]!UNIFORM_INV(RAND(),Sheet2!X$17-SQRT(3)*Sheet2!X$18,Sheet2!X$17+SQRT(3)*Sheet2!X$18)</f>
        <v>19.783952837770268</v>
      </c>
      <c r="W65" s="8" cm="1">
        <f t="array" aca="1" ref="W65" ca="1">[1]!UNIFORM_INV(RAND(),Sheet2!Y$17-SQRT(3)*Sheet2!Y$18,Sheet2!Y$17+SQRT(3)*Sheet2!Y$18)</f>
        <v>21.310240135309588</v>
      </c>
      <c r="X65" s="8" cm="1">
        <f t="array" aca="1" ref="X65" ca="1">[1]!UNIFORM_INV(RAND(),Sheet2!Z$17-SQRT(3)*Sheet2!Z$18,Sheet2!Z$17+SQRT(3)*Sheet2!Z$18)</f>
        <v>9.5273984706902173</v>
      </c>
      <c r="AX65" s="7">
        <f ca="1">Sheet2!C$17+('RNG HERE'!A65-'RNG HERE'!Y$62)*Sheet2!C$18/'RNG HERE'!Y$63</f>
        <v>5.4472482934031357</v>
      </c>
      <c r="AY65" s="7">
        <f ca="1">Sheet2!D$17+('RNG HERE'!B65-'RNG HERE'!Z$62)*Sheet2!D$18/'RNG HERE'!Z$63</f>
        <v>5.5819036101344777</v>
      </c>
      <c r="AZ65" s="7">
        <f ca="1">Sheet2!E$17+('RNG HERE'!C65-'RNG HERE'!AA$62)*Sheet2!E$18/'RNG HERE'!AA$63</f>
        <v>28.850079665850402</v>
      </c>
      <c r="BA65" s="7">
        <f ca="1">Sheet2!F$17+('RNG HERE'!D65-'RNG HERE'!AB$62)*Sheet2!F$18/'RNG HERE'!AB$63</f>
        <v>4.6575523801600642</v>
      </c>
      <c r="BB65" s="7">
        <f ca="1">Sheet2!G$17+('RNG HERE'!E65-'RNG HERE'!AC$62)*Sheet2!G$18/'RNG HERE'!AC$63</f>
        <v>37.361060540094584</v>
      </c>
      <c r="BC65" s="7">
        <f ca="1">Sheet2!H$17+('RNG HERE'!F65-'RNG HERE'!AD$62)*Sheet2!H$18/'RNG HERE'!AD$63</f>
        <v>26.139432437706756</v>
      </c>
      <c r="BD65" s="7">
        <f ca="1">Sheet2!I$17+('RNG HERE'!G65-'RNG HERE'!AE$62)*Sheet2!I$18/'RNG HERE'!AE$63</f>
        <v>10.277096566654873</v>
      </c>
      <c r="BE65" s="7">
        <f ca="1">Sheet2!J$17+('RNG HERE'!H65-'RNG HERE'!AF$62)*Sheet2!J$18/'RNG HERE'!AF$63</f>
        <v>27.468356323865908</v>
      </c>
      <c r="BF65" s="7">
        <f ca="1">Sheet2!K$17+('RNG HERE'!I65-'RNG HERE'!AG$62)*Sheet2!K$18/'RNG HERE'!AG$63</f>
        <v>20.500816653499566</v>
      </c>
      <c r="BG65" s="7">
        <f ca="1">Sheet2!L$17+('RNG HERE'!J65-'RNG HERE'!AH$62)*Sheet2!L$18/'RNG HERE'!AH$63</f>
        <v>25.227280892023881</v>
      </c>
      <c r="BH65" s="7">
        <f ca="1">Sheet2!M$17+('RNG HERE'!K65-'RNG HERE'!AI$62)*Sheet2!M$18/'RNG HERE'!AI$63</f>
        <v>18.530130051087237</v>
      </c>
      <c r="BI65" s="7">
        <f ca="1">Sheet2!N$17+('RNG HERE'!L65-'RNG HERE'!AJ$62)*Sheet2!N$18/'RNG HERE'!AJ$63</f>
        <v>17.845900830917536</v>
      </c>
      <c r="BJ65" s="7">
        <f ca="1">Sheet2!O$17+('RNG HERE'!M65-'RNG HERE'!AK$62)*Sheet2!O$18/'RNG HERE'!AK$63</f>
        <v>4.4490734731686157</v>
      </c>
      <c r="BK65" s="7">
        <f ca="1">Sheet2!P$17+('RNG HERE'!N65-'RNG HERE'!AL$62)*Sheet2!P$18/'RNG HERE'!AL$63</f>
        <v>18.659522215374533</v>
      </c>
      <c r="BL65" s="7">
        <f ca="1">Sheet2!Q$17+('RNG HERE'!O65-'RNG HERE'!AM$62)*Sheet2!Q$18/'RNG HERE'!AM$63</f>
        <v>12.44404967147822</v>
      </c>
      <c r="BM65" s="7">
        <f ca="1">Sheet2!R$17+('RNG HERE'!P65-'RNG HERE'!AN$62)*Sheet2!R$18/'RNG HERE'!AN$63</f>
        <v>10.807684074437377</v>
      </c>
      <c r="BN65" s="7">
        <f ca="1">Sheet2!S$17+('RNG HERE'!Q65-'RNG HERE'!AO$62)*Sheet2!S$18/'RNG HERE'!AO$63</f>
        <v>4.0068872970424128</v>
      </c>
      <c r="BO65" s="7">
        <f ca="1">Sheet2!T$17+('RNG HERE'!R65-'RNG HERE'!AP$62)*Sheet2!T$18/'RNG HERE'!AP$63</f>
        <v>13.216265237434929</v>
      </c>
      <c r="BP65" s="7">
        <f ca="1">Sheet2!U$17+('RNG HERE'!S65-'RNG HERE'!AQ$62)*Sheet2!U$18/'RNG HERE'!AQ$63</f>
        <v>22.485994715742311</v>
      </c>
      <c r="BQ65" s="7">
        <f ca="1">Sheet2!V$17+('RNG HERE'!T65-'RNG HERE'!AR$62)*Sheet2!V$18/'RNG HERE'!AR$63</f>
        <v>20.496990349741964</v>
      </c>
      <c r="BR65" s="7">
        <f ca="1">Sheet2!W$17+('RNG HERE'!U65-'RNG HERE'!AS$62)*Sheet2!W$18/'RNG HERE'!AS$63</f>
        <v>26.69339373112717</v>
      </c>
      <c r="BS65" s="7">
        <f ca="1">Sheet2!X$17+('RNG HERE'!V65-'RNG HERE'!AT$62)*Sheet2!X$18/'RNG HERE'!AT$63</f>
        <v>19.366026947772582</v>
      </c>
      <c r="BT65" s="7">
        <f ca="1">Sheet2!Y$17+('RNG HERE'!W65-'RNG HERE'!AU$62)*Sheet2!Y$18/'RNG HERE'!AU$63</f>
        <v>21.551986344419554</v>
      </c>
      <c r="BU65" s="7">
        <f ca="1">Sheet2!Z$17+('RNG HERE'!X65-'RNG HERE'!AV$62)*Sheet2!Z$18/'RNG HERE'!AV$63</f>
        <v>9.4777354707702148</v>
      </c>
    </row>
    <row r="66" spans="1:73" x14ac:dyDescent="0.3">
      <c r="A66" s="8" cm="1">
        <f t="array" aca="1" ref="A66" ca="1">[1]!UNIFORM_INV(RAND(),Sheet2!C$17-SQRT(3)*Sheet2!C$18,Sheet2!C$17+SQRT(3)*Sheet2!C$18)</f>
        <v>5.3978669141467392</v>
      </c>
      <c r="B66" s="8" cm="1">
        <f t="array" aca="1" ref="B66" ca="1">[1]!UNIFORM_INV(RAND(),Sheet2!D$17-SQRT(3)*Sheet2!D$18,Sheet2!D$17+SQRT(3)*Sheet2!D$18)</f>
        <v>3.9400327085738183</v>
      </c>
      <c r="C66" s="8" cm="1">
        <f t="array" aca="1" ref="C66" ca="1">[1]!UNIFORM_INV(RAND(),Sheet2!E$17-SQRT(3)*Sheet2!E$18,Sheet2!E$17+SQRT(3)*Sheet2!E$18)</f>
        <v>27.211345720489049</v>
      </c>
      <c r="D66" s="8" cm="1">
        <f t="array" aca="1" ref="D66" ca="1">[1]!UNIFORM_INV(RAND(),Sheet2!F$17-SQRT(3)*Sheet2!F$18,Sheet2!F$17+SQRT(3)*Sheet2!F$18)</f>
        <v>-0.14281920979848309</v>
      </c>
      <c r="E66" s="8" cm="1">
        <f t="array" aca="1" ref="E66" ca="1">[1]!UNIFORM_INV(RAND(),Sheet2!G$17-SQRT(3)*Sheet2!G$18,Sheet2!G$17+SQRT(3)*Sheet2!G$18)</f>
        <v>31.375788446725657</v>
      </c>
      <c r="F66" s="8" cm="1">
        <f t="array" aca="1" ref="F66" ca="1">[1]!UNIFORM_INV(RAND(),Sheet2!H$17-SQRT(3)*Sheet2!H$18,Sheet2!H$17+SQRT(3)*Sheet2!H$18)</f>
        <v>25.988383837128382</v>
      </c>
      <c r="G66" s="8" cm="1">
        <f t="array" aca="1" ref="G66" ca="1">[1]!UNIFORM_INV(RAND(),Sheet2!I$17-SQRT(3)*Sheet2!I$18,Sheet2!I$17+SQRT(3)*Sheet2!I$18)</f>
        <v>10.55717176916915</v>
      </c>
      <c r="H66" s="8" cm="1">
        <f t="array" aca="1" ref="H66" ca="1">[1]!UNIFORM_INV(RAND(),Sheet2!J$17-SQRT(3)*Sheet2!J$18,Sheet2!J$17+SQRT(3)*Sheet2!J$18)</f>
        <v>24.003220915615277</v>
      </c>
      <c r="I66" s="8" cm="1">
        <f t="array" aca="1" ref="I66" ca="1">[1]!UNIFORM_INV(RAND(),Sheet2!K$17-SQRT(3)*Sheet2!K$18,Sheet2!K$17+SQRT(3)*Sheet2!K$18)</f>
        <v>24.153873908923281</v>
      </c>
      <c r="J66" s="8" cm="1">
        <f t="array" aca="1" ref="J66" ca="1">[1]!UNIFORM_INV(RAND(),Sheet2!L$17-SQRT(3)*Sheet2!L$18,Sheet2!L$17+SQRT(3)*Sheet2!L$18)</f>
        <v>25.309416721678581</v>
      </c>
      <c r="K66" s="8" cm="1">
        <f t="array" aca="1" ref="K66" ca="1">[1]!UNIFORM_INV(RAND(),Sheet2!M$17-SQRT(3)*Sheet2!M$18,Sheet2!M$17+SQRT(3)*Sheet2!M$18)</f>
        <v>16.231014491410573</v>
      </c>
      <c r="L66" s="8" cm="1">
        <f t="array" aca="1" ref="L66" ca="1">[1]!UNIFORM_INV(RAND(),Sheet2!N$17-SQRT(3)*Sheet2!N$18,Sheet2!N$17+SQRT(3)*Sheet2!N$18)</f>
        <v>16.920514552798711</v>
      </c>
      <c r="M66" s="8" cm="1">
        <f t="array" aca="1" ref="M66" ca="1">[1]!UNIFORM_INV(RAND(),Sheet2!O$17-SQRT(3)*Sheet2!O$18,Sheet2!O$17+SQRT(3)*Sheet2!O$18)</f>
        <v>5.336218814801545</v>
      </c>
      <c r="N66" s="8" cm="1">
        <f t="array" aca="1" ref="N66" ca="1">[1]!UNIFORM_INV(RAND(),Sheet2!P$17-SQRT(3)*Sheet2!P$18,Sheet2!P$17+SQRT(3)*Sheet2!P$18)</f>
        <v>20.489187912660451</v>
      </c>
      <c r="O66" s="8" cm="1">
        <f t="array" aca="1" ref="O66" ca="1">[1]!UNIFORM_INV(RAND(),Sheet2!Q$17-SQRT(3)*Sheet2!Q$18,Sheet2!Q$17+SQRT(3)*Sheet2!Q$18)</f>
        <v>11.653691032874976</v>
      </c>
      <c r="P66" s="8" cm="1">
        <f t="array" aca="1" ref="P66" ca="1">[1]!UNIFORM_INV(RAND(),Sheet2!R$17-SQRT(3)*Sheet2!R$18,Sheet2!R$17+SQRT(3)*Sheet2!R$18)</f>
        <v>10.067341797137031</v>
      </c>
      <c r="Q66" s="8" cm="1">
        <f t="array" aca="1" ref="Q66" ca="1">[1]!UNIFORM_INV(RAND(),Sheet2!S$17-SQRT(3)*Sheet2!S$18,Sheet2!S$17+SQRT(3)*Sheet2!S$18)</f>
        <v>4.3564203820047407</v>
      </c>
      <c r="R66" s="8" cm="1">
        <f t="array" aca="1" ref="R66" ca="1">[1]!UNIFORM_INV(RAND(),Sheet2!T$17-SQRT(3)*Sheet2!T$18,Sheet2!T$17+SQRT(3)*Sheet2!T$18)</f>
        <v>15.524554685889719</v>
      </c>
      <c r="S66" s="8" cm="1">
        <f t="array" aca="1" ref="S66" ca="1">[1]!UNIFORM_INV(RAND(),Sheet2!U$17-SQRT(3)*Sheet2!U$18,Sheet2!U$17+SQRT(3)*Sheet2!U$18)</f>
        <v>20.557581528666276</v>
      </c>
      <c r="T66" s="8" cm="1">
        <f t="array" aca="1" ref="T66" ca="1">[1]!UNIFORM_INV(RAND(),Sheet2!V$17-SQRT(3)*Sheet2!V$18,Sheet2!V$17+SQRT(3)*Sheet2!V$18)</f>
        <v>20.241792289197537</v>
      </c>
      <c r="U66" s="8" cm="1">
        <f t="array" aca="1" ref="U66" ca="1">[1]!UNIFORM_INV(RAND(),Sheet2!W$17-SQRT(3)*Sheet2!W$18,Sheet2!W$17+SQRT(3)*Sheet2!W$18)</f>
        <v>29.422123058077734</v>
      </c>
      <c r="V66" s="8" cm="1">
        <f t="array" aca="1" ref="V66" ca="1">[1]!UNIFORM_INV(RAND(),Sheet2!X$17-SQRT(3)*Sheet2!X$18,Sheet2!X$17+SQRT(3)*Sheet2!X$18)</f>
        <v>22.747753714114115</v>
      </c>
      <c r="W66" s="8" cm="1">
        <f t="array" aca="1" ref="W66" ca="1">[1]!UNIFORM_INV(RAND(),Sheet2!Y$17-SQRT(3)*Sheet2!Y$18,Sheet2!Y$17+SQRT(3)*Sheet2!Y$18)</f>
        <v>19.123190226934604</v>
      </c>
      <c r="X66" s="8" cm="1">
        <f t="array" aca="1" ref="X66" ca="1">[1]!UNIFORM_INV(RAND(),Sheet2!Z$17-SQRT(3)*Sheet2!Z$18,Sheet2!Z$17+SQRT(3)*Sheet2!Z$18)</f>
        <v>9.9487022734759805</v>
      </c>
      <c r="AX66" s="7">
        <f ca="1">Sheet2!C$17+('RNG HERE'!A66-'RNG HERE'!Y$62)*Sheet2!C$18/'RNG HERE'!Y$63</f>
        <v>5.596964300776194</v>
      </c>
      <c r="AY66" s="7">
        <f ca="1">Sheet2!D$17+('RNG HERE'!B66-'RNG HERE'!Z$62)*Sheet2!D$18/'RNG HERE'!Z$63</f>
        <v>4.1575807811512551</v>
      </c>
      <c r="AZ66" s="7">
        <f ca="1">Sheet2!E$17+('RNG HERE'!C66-'RNG HERE'!AA$62)*Sheet2!E$18/'RNG HERE'!AA$63</f>
        <v>27.20135315076443</v>
      </c>
      <c r="BA66" s="7">
        <f ca="1">Sheet2!F$17+('RNG HERE'!D66-'RNG HERE'!AB$62)*Sheet2!F$18/'RNG HERE'!AB$63</f>
        <v>-0.46199544462948472</v>
      </c>
      <c r="BB66" s="7">
        <f ca="1">Sheet2!G$17+('RNG HERE'!E66-'RNG HERE'!AC$62)*Sheet2!G$18/'RNG HERE'!AC$63</f>
        <v>32.705604782907805</v>
      </c>
      <c r="BC66" s="7">
        <f ca="1">Sheet2!H$17+('RNG HERE'!F66-'RNG HERE'!AD$62)*Sheet2!H$18/'RNG HERE'!AD$63</f>
        <v>26.629290166070437</v>
      </c>
      <c r="BD66" s="7">
        <f ca="1">Sheet2!I$17+('RNG HERE'!G66-'RNG HERE'!AE$62)*Sheet2!I$18/'RNG HERE'!AE$63</f>
        <v>10.738002928246479</v>
      </c>
      <c r="BE66" s="7">
        <f ca="1">Sheet2!J$17+('RNG HERE'!H66-'RNG HERE'!AF$62)*Sheet2!J$18/'RNG HERE'!AF$63</f>
        <v>24.171590958189274</v>
      </c>
      <c r="BF66" s="7">
        <f ca="1">Sheet2!K$17+('RNG HERE'!I66-'RNG HERE'!AG$62)*Sheet2!K$18/'RNG HERE'!AG$63</f>
        <v>23.954975425126186</v>
      </c>
      <c r="BG66" s="7">
        <f ca="1">Sheet2!L$17+('RNG HERE'!J66-'RNG HERE'!AH$62)*Sheet2!L$18/'RNG HERE'!AH$63</f>
        <v>25.64252501720771</v>
      </c>
      <c r="BH66" s="7">
        <f ca="1">Sheet2!M$17+('RNG HERE'!K66-'RNG HERE'!AI$62)*Sheet2!M$18/'RNG HERE'!AI$63</f>
        <v>17.161337577183033</v>
      </c>
      <c r="BI66" s="7">
        <f ca="1">Sheet2!N$17+('RNG HERE'!L66-'RNG HERE'!AJ$62)*Sheet2!N$18/'RNG HERE'!AJ$63</f>
        <v>16.971939871219117</v>
      </c>
      <c r="BJ66" s="7">
        <f ca="1">Sheet2!O$17+('RNG HERE'!M66-'RNG HERE'!AK$62)*Sheet2!O$18/'RNG HERE'!AK$63</f>
        <v>5.1583449766605973</v>
      </c>
      <c r="BK66" s="7">
        <f ca="1">Sheet2!P$17+('RNG HERE'!N66-'RNG HERE'!AL$62)*Sheet2!P$18/'RNG HERE'!AL$63</f>
        <v>21.268142668972089</v>
      </c>
      <c r="BL66" s="7">
        <f ca="1">Sheet2!Q$17+('RNG HERE'!O66-'RNG HERE'!AM$62)*Sheet2!Q$18/'RNG HERE'!AM$63</f>
        <v>11.741006575528633</v>
      </c>
      <c r="BM66" s="7">
        <f ca="1">Sheet2!R$17+('RNG HERE'!P66-'RNG HERE'!AN$62)*Sheet2!R$18/'RNG HERE'!AN$63</f>
        <v>10.087280523072543</v>
      </c>
      <c r="BN66" s="7">
        <f ca="1">Sheet2!S$17+('RNG HERE'!Q66-'RNG HERE'!AO$62)*Sheet2!S$18/'RNG HERE'!AO$63</f>
        <v>4.4501736695798719</v>
      </c>
      <c r="BO66" s="7">
        <f ca="1">Sheet2!T$17+('RNG HERE'!R66-'RNG HERE'!AP$62)*Sheet2!T$18/'RNG HERE'!AP$63</f>
        <v>15.499907625055229</v>
      </c>
      <c r="BP66" s="7">
        <f ca="1">Sheet2!U$17+('RNG HERE'!S66-'RNG HERE'!AQ$62)*Sheet2!U$18/'RNG HERE'!AQ$63</f>
        <v>20.619748493521875</v>
      </c>
      <c r="BQ66" s="7">
        <f ca="1">Sheet2!V$17+('RNG HERE'!T66-'RNG HERE'!AR$62)*Sheet2!V$18/'RNG HERE'!AR$63</f>
        <v>20.471342963494244</v>
      </c>
      <c r="BR66" s="7">
        <f ca="1">Sheet2!W$17+('RNG HERE'!U66-'RNG HERE'!AS$62)*Sheet2!W$18/'RNG HERE'!AS$63</f>
        <v>29.802146339271285</v>
      </c>
      <c r="BS66" s="7">
        <f ca="1">Sheet2!X$17+('RNG HERE'!V66-'RNG HERE'!AT$62)*Sheet2!X$18/'RNG HERE'!AT$63</f>
        <v>22.144716751250908</v>
      </c>
      <c r="BT66" s="7">
        <f ca="1">Sheet2!Y$17+('RNG HERE'!W66-'RNG HERE'!AU$62)*Sheet2!Y$18/'RNG HERE'!AU$63</f>
        <v>19.271219574530807</v>
      </c>
      <c r="BU66" s="7">
        <f ca="1">Sheet2!Z$17+('RNG HERE'!X66-'RNG HERE'!AV$62)*Sheet2!Z$18/'RNG HERE'!AV$63</f>
        <v>9.8912985370989315</v>
      </c>
    </row>
    <row r="67" spans="1:73" x14ac:dyDescent="0.3">
      <c r="A67" s="8" cm="1">
        <f t="array" aca="1" ref="A67" ca="1">[1]!UNIFORM_INV(RAND(),Sheet2!C$17-SQRT(3)*Sheet2!C$18,Sheet2!C$17+SQRT(3)*Sheet2!C$18)</f>
        <v>5.3985951679911039</v>
      </c>
      <c r="B67" s="8" cm="1">
        <f t="array" aca="1" ref="B67" ca="1">[1]!UNIFORM_INV(RAND(),Sheet2!D$17-SQRT(3)*Sheet2!D$18,Sheet2!D$17+SQRT(3)*Sheet2!D$18)</f>
        <v>3.9885856792300918</v>
      </c>
      <c r="C67" s="8" cm="1">
        <f t="array" aca="1" ref="C67" ca="1">[1]!UNIFORM_INV(RAND(),Sheet2!E$17-SQRT(3)*Sheet2!E$18,Sheet2!E$17+SQRT(3)*Sheet2!E$18)</f>
        <v>27.239104581111413</v>
      </c>
      <c r="D67" s="8" cm="1">
        <f t="array" aca="1" ref="D67" ca="1">[1]!UNIFORM_INV(RAND(),Sheet2!F$17-SQRT(3)*Sheet2!F$18,Sheet2!F$17+SQRT(3)*Sheet2!F$18)</f>
        <v>3.435338041008797</v>
      </c>
      <c r="E67" s="8" cm="1">
        <f t="array" aca="1" ref="E67" ca="1">[1]!UNIFORM_INV(RAND(),Sheet2!G$17-SQRT(3)*Sheet2!G$18,Sheet2!G$17+SQRT(3)*Sheet2!G$18)</f>
        <v>40.034141429814703</v>
      </c>
      <c r="F67" s="8" cm="1">
        <f t="array" aca="1" ref="F67" ca="1">[1]!UNIFORM_INV(RAND(),Sheet2!H$17-SQRT(3)*Sheet2!H$18,Sheet2!H$17+SQRT(3)*Sheet2!H$18)</f>
        <v>27.059901699168282</v>
      </c>
      <c r="G67" s="8" cm="1">
        <f t="array" aca="1" ref="G67" ca="1">[1]!UNIFORM_INV(RAND(),Sheet2!I$17-SQRT(3)*Sheet2!I$18,Sheet2!I$17+SQRT(3)*Sheet2!I$18)</f>
        <v>9.365314791808558</v>
      </c>
      <c r="H67" s="8" cm="1">
        <f t="array" aca="1" ref="H67" ca="1">[1]!UNIFORM_INV(RAND(),Sheet2!J$17-SQRT(3)*Sheet2!J$18,Sheet2!J$17+SQRT(3)*Sheet2!J$18)</f>
        <v>22.260825502221493</v>
      </c>
      <c r="I67" s="8" cm="1">
        <f t="array" aca="1" ref="I67" ca="1">[1]!UNIFORM_INV(RAND(),Sheet2!K$17-SQRT(3)*Sheet2!K$18,Sheet2!K$17+SQRT(3)*Sheet2!K$18)</f>
        <v>24.050961727154728</v>
      </c>
      <c r="J67" s="8" cm="1">
        <f t="array" aca="1" ref="J67" ca="1">[1]!UNIFORM_INV(RAND(),Sheet2!L$17-SQRT(3)*Sheet2!L$18,Sheet2!L$17+SQRT(3)*Sheet2!L$18)</f>
        <v>23.147676996159362</v>
      </c>
      <c r="K67" s="8" cm="1">
        <f t="array" aca="1" ref="K67" ca="1">[1]!UNIFORM_INV(RAND(),Sheet2!M$17-SQRT(3)*Sheet2!M$18,Sheet2!M$17+SQRT(3)*Sheet2!M$18)</f>
        <v>19.239753146035149</v>
      </c>
      <c r="L67" s="8" cm="1">
        <f t="array" aca="1" ref="L67" ca="1">[1]!UNIFORM_INV(RAND(),Sheet2!N$17-SQRT(3)*Sheet2!N$18,Sheet2!N$17+SQRT(3)*Sheet2!N$18)</f>
        <v>17.688855005575274</v>
      </c>
      <c r="M67" s="8" cm="1">
        <f t="array" aca="1" ref="M67" ca="1">[1]!UNIFORM_INV(RAND(),Sheet2!O$17-SQRT(3)*Sheet2!O$18,Sheet2!O$17+SQRT(3)*Sheet2!O$18)</f>
        <v>4.9558810479835573</v>
      </c>
      <c r="N67" s="8" cm="1">
        <f t="array" aca="1" ref="N67" ca="1">[1]!UNIFORM_INV(RAND(),Sheet2!P$17-SQRT(3)*Sheet2!P$18,Sheet2!P$17+SQRT(3)*Sheet2!P$18)</f>
        <v>15.814556587882649</v>
      </c>
      <c r="O67" s="8" cm="1">
        <f t="array" aca="1" ref="O67" ca="1">[1]!UNIFORM_INV(RAND(),Sheet2!Q$17-SQRT(3)*Sheet2!Q$18,Sheet2!Q$17+SQRT(3)*Sheet2!Q$18)</f>
        <v>11.726838054276982</v>
      </c>
      <c r="P67" s="8" cm="1">
        <f t="array" aca="1" ref="P67" ca="1">[1]!UNIFORM_INV(RAND(),Sheet2!R$17-SQRT(3)*Sheet2!R$18,Sheet2!R$17+SQRT(3)*Sheet2!R$18)</f>
        <v>9.8322630942331433</v>
      </c>
      <c r="Q67" s="8" cm="1">
        <f t="array" aca="1" ref="Q67" ca="1">[1]!UNIFORM_INV(RAND(),Sheet2!S$17-SQRT(3)*Sheet2!S$18,Sheet2!S$17+SQRT(3)*Sheet2!S$18)</f>
        <v>3.7001331296249056</v>
      </c>
      <c r="R67" s="8" cm="1">
        <f t="array" aca="1" ref="R67" ca="1">[1]!UNIFORM_INV(RAND(),Sheet2!T$17-SQRT(3)*Sheet2!T$18,Sheet2!T$17+SQRT(3)*Sheet2!T$18)</f>
        <v>13.622919648624753</v>
      </c>
      <c r="S67" s="8" cm="1">
        <f t="array" aca="1" ref="S67" ca="1">[1]!UNIFORM_INV(RAND(),Sheet2!U$17-SQRT(3)*Sheet2!U$18,Sheet2!U$17+SQRT(3)*Sheet2!U$18)</f>
        <v>23.123274886782752</v>
      </c>
      <c r="T67" s="8" cm="1">
        <f t="array" aca="1" ref="T67" ca="1">[1]!UNIFORM_INV(RAND(),Sheet2!V$17-SQRT(3)*Sheet2!V$18,Sheet2!V$17+SQRT(3)*Sheet2!V$18)</f>
        <v>22.953394545798197</v>
      </c>
      <c r="U67" s="8" cm="1">
        <f t="array" aca="1" ref="U67" ca="1">[1]!UNIFORM_INV(RAND(),Sheet2!W$17-SQRT(3)*Sheet2!W$18,Sheet2!W$17+SQRT(3)*Sheet2!W$18)</f>
        <v>27.446749126686516</v>
      </c>
      <c r="V67" s="8" cm="1">
        <f t="array" aca="1" ref="V67" ca="1">[1]!UNIFORM_INV(RAND(),Sheet2!X$17-SQRT(3)*Sheet2!X$18,Sheet2!X$17+SQRT(3)*Sheet2!X$18)</f>
        <v>20.181970507147206</v>
      </c>
      <c r="W67" s="8" cm="1">
        <f t="array" aca="1" ref="W67" ca="1">[1]!UNIFORM_INV(RAND(),Sheet2!Y$17-SQRT(3)*Sheet2!Y$18,Sheet2!Y$17+SQRT(3)*Sheet2!Y$18)</f>
        <v>18.967915663123669</v>
      </c>
      <c r="X67" s="8" cm="1">
        <f t="array" aca="1" ref="X67" ca="1">[1]!UNIFORM_INV(RAND(),Sheet2!Z$17-SQRT(3)*Sheet2!Z$18,Sheet2!Z$17+SQRT(3)*Sheet2!Z$18)</f>
        <v>8.2837155887677127</v>
      </c>
      <c r="AX67" s="7">
        <f ca="1">Sheet2!C$17+('RNG HERE'!A67-'RNG HERE'!Y$62)*Sheet2!C$18/'RNG HERE'!Y$63</f>
        <v>5.5977840553483249</v>
      </c>
      <c r="AY67" s="7">
        <f ca="1">Sheet2!D$17+('RNG HERE'!B67-'RNG HERE'!Z$62)*Sheet2!D$18/'RNG HERE'!Z$63</f>
        <v>4.2053846102338754</v>
      </c>
      <c r="AZ67" s="7">
        <f ca="1">Sheet2!E$17+('RNG HERE'!C67-'RNG HERE'!AA$62)*Sheet2!E$18/'RNG HERE'!AA$63</f>
        <v>27.232486824410088</v>
      </c>
      <c r="BA67" s="7">
        <f ca="1">Sheet2!F$17+('RNG HERE'!D67-'RNG HERE'!AB$62)*Sheet2!F$18/'RNG HERE'!AB$63</f>
        <v>2.8337746672468804</v>
      </c>
      <c r="BB67" s="7">
        <f ca="1">Sheet2!G$17+('RNG HERE'!E67-'RNG HERE'!AC$62)*Sheet2!G$18/'RNG HERE'!AC$63</f>
        <v>40.931976073280907</v>
      </c>
      <c r="BC67" s="7">
        <f ca="1">Sheet2!H$17+('RNG HERE'!F67-'RNG HERE'!AD$62)*Sheet2!H$18/'RNG HERE'!AD$63</f>
        <v>27.694518032426643</v>
      </c>
      <c r="BD67" s="7">
        <f ca="1">Sheet2!I$17+('RNG HERE'!G67-'RNG HERE'!AE$62)*Sheet2!I$18/'RNG HERE'!AE$63</f>
        <v>9.5689279879054254</v>
      </c>
      <c r="BE67" s="7">
        <f ca="1">Sheet2!J$17+('RNG HERE'!H67-'RNG HERE'!AF$62)*Sheet2!J$18/'RNG HERE'!AF$63</f>
        <v>22.445190148183382</v>
      </c>
      <c r="BF67" s="7">
        <f ca="1">Sheet2!K$17+('RNG HERE'!I67-'RNG HERE'!AG$62)*Sheet2!K$18/'RNG HERE'!AG$63</f>
        <v>23.860969505703707</v>
      </c>
      <c r="BG67" s="7">
        <f ca="1">Sheet2!L$17+('RNG HERE'!J67-'RNG HERE'!AH$62)*Sheet2!L$18/'RNG HERE'!AH$63</f>
        <v>23.317358293497978</v>
      </c>
      <c r="BH67" s="7">
        <f ca="1">Sheet2!M$17+('RNG HERE'!K67-'RNG HERE'!AI$62)*Sheet2!M$18/'RNG HERE'!AI$63</f>
        <v>20.50833781890007</v>
      </c>
      <c r="BI67" s="7">
        <f ca="1">Sheet2!N$17+('RNG HERE'!L67-'RNG HERE'!AJ$62)*Sheet2!N$18/'RNG HERE'!AJ$63</f>
        <v>17.851810454180868</v>
      </c>
      <c r="BJ67" s="7">
        <f ca="1">Sheet2!O$17+('RNG HERE'!M67-'RNG HERE'!AK$62)*Sheet2!O$18/'RNG HERE'!AK$63</f>
        <v>4.7628975844992025</v>
      </c>
      <c r="BK67" s="7">
        <f ca="1">Sheet2!P$17+('RNG HERE'!N67-'RNG HERE'!AL$62)*Sheet2!P$18/'RNG HERE'!AL$63</f>
        <v>15.973685306041396</v>
      </c>
      <c r="BL67" s="7">
        <f ca="1">Sheet2!Q$17+('RNG HERE'!O67-'RNG HERE'!AM$62)*Sheet2!Q$18/'RNG HERE'!AM$63</f>
        <v>11.81743915778145</v>
      </c>
      <c r="BM67" s="7">
        <f ca="1">Sheet2!R$17+('RNG HERE'!P67-'RNG HERE'!AN$62)*Sheet2!R$18/'RNG HERE'!AN$63</f>
        <v>9.86372132330475</v>
      </c>
      <c r="BN67" s="7">
        <f ca="1">Sheet2!S$17+('RNG HERE'!Q67-'RNG HERE'!AO$62)*Sheet2!S$18/'RNG HERE'!AO$63</f>
        <v>3.7204801893255963</v>
      </c>
      <c r="BO67" s="7">
        <f ca="1">Sheet2!T$17+('RNG HERE'!R67-'RNG HERE'!AP$62)*Sheet2!T$18/'RNG HERE'!AP$63</f>
        <v>13.29925974562139</v>
      </c>
      <c r="BP67" s="7">
        <f ca="1">Sheet2!U$17+('RNG HERE'!S67-'RNG HERE'!AQ$62)*Sheet2!U$18/'RNG HERE'!AQ$63</f>
        <v>23.657452082542896</v>
      </c>
      <c r="BQ67" s="7">
        <f ca="1">Sheet2!V$17+('RNG HERE'!T67-'RNG HERE'!AR$62)*Sheet2!V$18/'RNG HERE'!AR$63</f>
        <v>23.263053354138439</v>
      </c>
      <c r="BR67" s="7">
        <f ca="1">Sheet2!W$17+('RNG HERE'!U67-'RNG HERE'!AS$62)*Sheet2!W$18/'RNG HERE'!AS$63</f>
        <v>27.483207159948311</v>
      </c>
      <c r="BS67" s="7">
        <f ca="1">Sheet2!X$17+('RNG HERE'!V67-'RNG HERE'!AT$62)*Sheet2!X$18/'RNG HERE'!AT$63</f>
        <v>19.739185498446279</v>
      </c>
      <c r="BT67" s="7">
        <f ca="1">Sheet2!Y$17+('RNG HERE'!W67-'RNG HERE'!AU$62)*Sheet2!Y$18/'RNG HERE'!AU$63</f>
        <v>19.109291369786693</v>
      </c>
      <c r="BU67" s="7">
        <f ca="1">Sheet2!Z$17+('RNG HERE'!X67-'RNG HERE'!AV$62)*Sheet2!Z$18/'RNG HERE'!AV$63</f>
        <v>8.2569031336599004</v>
      </c>
    </row>
    <row r="68" spans="1:73" x14ac:dyDescent="0.3">
      <c r="A68" s="8" cm="1">
        <f t="array" aca="1" ref="A68" ca="1">[1]!UNIFORM_INV(RAND(),Sheet2!C$17-SQRT(3)*Sheet2!C$18,Sheet2!C$17+SQRT(3)*Sheet2!C$18)</f>
        <v>5.5277438245778825</v>
      </c>
      <c r="B68" s="8" cm="1">
        <f t="array" aca="1" ref="B68" ca="1">[1]!UNIFORM_INV(RAND(),Sheet2!D$17-SQRT(3)*Sheet2!D$18,Sheet2!D$17+SQRT(3)*Sheet2!D$18)</f>
        <v>4.6781860919517211</v>
      </c>
      <c r="C68" s="8" cm="1">
        <f t="array" aca="1" ref="C68" ca="1">[1]!UNIFORM_INV(RAND(),Sheet2!E$17-SQRT(3)*Sheet2!E$18,Sheet2!E$17+SQRT(3)*Sheet2!E$18)</f>
        <v>27.600062680890595</v>
      </c>
      <c r="D68" s="8" cm="1">
        <f t="array" aca="1" ref="D68" ca="1">[1]!UNIFORM_INV(RAND(),Sheet2!F$17-SQRT(3)*Sheet2!F$18,Sheet2!F$17+SQRT(3)*Sheet2!F$18)</f>
        <v>8.4661441455923292</v>
      </c>
      <c r="E68" s="8" cm="1">
        <f t="array" aca="1" ref="E68" ca="1">[1]!UNIFORM_INV(RAND(),Sheet2!G$17-SQRT(3)*Sheet2!G$18,Sheet2!G$17+SQRT(3)*Sheet2!G$18)</f>
        <v>36.667839440211132</v>
      </c>
      <c r="F68" s="8" cm="1">
        <f t="array" aca="1" ref="F68" ca="1">[1]!UNIFORM_INV(RAND(),Sheet2!H$17-SQRT(3)*Sheet2!H$18,Sheet2!H$17+SQRT(3)*Sheet2!H$18)</f>
        <v>27.736605410806622</v>
      </c>
      <c r="G68" s="8" cm="1">
        <f t="array" aca="1" ref="G68" ca="1">[1]!UNIFORM_INV(RAND(),Sheet2!I$17-SQRT(3)*Sheet2!I$18,Sheet2!I$17+SQRT(3)*Sheet2!I$18)</f>
        <v>11.324291122936362</v>
      </c>
      <c r="H68" s="8" cm="1">
        <f t="array" aca="1" ref="H68" ca="1">[1]!UNIFORM_INV(RAND(),Sheet2!J$17-SQRT(3)*Sheet2!J$18,Sheet2!J$17+SQRT(3)*Sheet2!J$18)</f>
        <v>23.1591633155377</v>
      </c>
      <c r="I68" s="8" cm="1">
        <f t="array" aca="1" ref="I68" ca="1">[1]!UNIFORM_INV(RAND(),Sheet2!K$17-SQRT(3)*Sheet2!K$18,Sheet2!K$17+SQRT(3)*Sheet2!K$18)</f>
        <v>17.894816534812101</v>
      </c>
      <c r="J68" s="8" cm="1">
        <f t="array" aca="1" ref="J68" ca="1">[1]!UNIFORM_INV(RAND(),Sheet2!L$17-SQRT(3)*Sheet2!L$18,Sheet2!L$17+SQRT(3)*Sheet2!L$18)</f>
        <v>27.567305179392712</v>
      </c>
      <c r="K68" s="8" cm="1">
        <f t="array" aca="1" ref="K68" ca="1">[1]!UNIFORM_INV(RAND(),Sheet2!M$17-SQRT(3)*Sheet2!M$18,Sheet2!M$17+SQRT(3)*Sheet2!M$18)</f>
        <v>15.339928773031081</v>
      </c>
      <c r="L68" s="8" cm="1">
        <f t="array" aca="1" ref="L68" ca="1">[1]!UNIFORM_INV(RAND(),Sheet2!N$17-SQRT(3)*Sheet2!N$18,Sheet2!N$17+SQRT(3)*Sheet2!N$18)</f>
        <v>15.380869766450104</v>
      </c>
      <c r="M68" s="8" cm="1">
        <f t="array" aca="1" ref="M68" ca="1">[1]!UNIFORM_INV(RAND(),Sheet2!O$17-SQRT(3)*Sheet2!O$18,Sheet2!O$17+SQRT(3)*Sheet2!O$18)</f>
        <v>5.6282980004601493</v>
      </c>
      <c r="N68" s="8" cm="1">
        <f t="array" aca="1" ref="N68" ca="1">[1]!UNIFORM_INV(RAND(),Sheet2!P$17-SQRT(3)*Sheet2!P$18,Sheet2!P$17+SQRT(3)*Sheet2!P$18)</f>
        <v>15.684671147728716</v>
      </c>
      <c r="O68" s="8" cm="1">
        <f t="array" aca="1" ref="O68" ca="1">[1]!UNIFORM_INV(RAND(),Sheet2!Q$17-SQRT(3)*Sheet2!Q$18,Sheet2!Q$17+SQRT(3)*Sheet2!Q$18)</f>
        <v>9.6162793715981483</v>
      </c>
      <c r="P68" s="8" cm="1">
        <f t="array" aca="1" ref="P68" ca="1">[1]!UNIFORM_INV(RAND(),Sheet2!R$17-SQRT(3)*Sheet2!R$18,Sheet2!R$17+SQRT(3)*Sheet2!R$18)</f>
        <v>11.099464050157929</v>
      </c>
      <c r="Q68" s="8" cm="1">
        <f t="array" aca="1" ref="Q68" ca="1">[1]!UNIFORM_INV(RAND(),Sheet2!S$17-SQRT(3)*Sheet2!S$18,Sheet2!S$17+SQRT(3)*Sheet2!S$18)</f>
        <v>4.6014539214926771</v>
      </c>
      <c r="R68" s="8" cm="1">
        <f t="array" aca="1" ref="R68" ca="1">[1]!UNIFORM_INV(RAND(),Sheet2!T$17-SQRT(3)*Sheet2!T$18,Sheet2!T$17+SQRT(3)*Sheet2!T$18)</f>
        <v>12.259835024535295</v>
      </c>
      <c r="S68" s="8" cm="1">
        <f t="array" aca="1" ref="S68" ca="1">[1]!UNIFORM_INV(RAND(),Sheet2!U$17-SQRT(3)*Sheet2!U$18,Sheet2!U$17+SQRT(3)*Sheet2!U$18)</f>
        <v>23.434584661185518</v>
      </c>
      <c r="T68" s="8" cm="1">
        <f t="array" aca="1" ref="T68" ca="1">[1]!UNIFORM_INV(RAND(),Sheet2!V$17-SQRT(3)*Sheet2!V$18,Sheet2!V$17+SQRT(3)*Sheet2!V$18)</f>
        <v>19.439476650916443</v>
      </c>
      <c r="U68" s="8" cm="1">
        <f t="array" aca="1" ref="U68" ca="1">[1]!UNIFORM_INV(RAND(),Sheet2!W$17-SQRT(3)*Sheet2!W$18,Sheet2!W$17+SQRT(3)*Sheet2!W$18)</f>
        <v>27.277458193065478</v>
      </c>
      <c r="V68" s="8" cm="1">
        <f t="array" aca="1" ref="V68" ca="1">[1]!UNIFORM_INV(RAND(),Sheet2!X$17-SQRT(3)*Sheet2!X$18,Sheet2!X$17+SQRT(3)*Sheet2!X$18)</f>
        <v>24.863073106216085</v>
      </c>
      <c r="W68" s="8" cm="1">
        <f t="array" aca="1" ref="W68" ca="1">[1]!UNIFORM_INV(RAND(),Sheet2!Y$17-SQRT(3)*Sheet2!Y$18,Sheet2!Y$17+SQRT(3)*Sheet2!Y$18)</f>
        <v>17.153583437308139</v>
      </c>
      <c r="X68" s="8" cm="1">
        <f t="array" aca="1" ref="X68" ca="1">[1]!UNIFORM_INV(RAND(),Sheet2!Z$17-SQRT(3)*Sheet2!Z$18,Sheet2!Z$17+SQRT(3)*Sheet2!Z$18)</f>
        <v>10.216853919256675</v>
      </c>
      <c r="AX68" s="7">
        <f ca="1">Sheet2!C$17+('RNG HERE'!A68-'RNG HERE'!Y$62)*Sheet2!C$18/'RNG HERE'!Y$63</f>
        <v>5.7431594660526928</v>
      </c>
      <c r="AY68" s="7">
        <f ca="1">Sheet2!D$17+('RNG HERE'!B68-'RNG HERE'!Z$62)*Sheet2!D$18/'RNG HERE'!Z$63</f>
        <v>4.8843449255238678</v>
      </c>
      <c r="AZ68" s="7">
        <f ca="1">Sheet2!E$17+('RNG HERE'!C68-'RNG HERE'!AA$62)*Sheet2!E$18/'RNG HERE'!AA$63</f>
        <v>27.63732878932953</v>
      </c>
      <c r="BA68" s="7">
        <f ca="1">Sheet2!F$17+('RNG HERE'!D68-'RNG HERE'!AB$62)*Sheet2!F$18/'RNG HERE'!AB$63</f>
        <v>7.4675510040444921</v>
      </c>
      <c r="BB68" s="7">
        <f ca="1">Sheet2!G$17+('RNG HERE'!E68-'RNG HERE'!AC$62)*Sheet2!G$18/'RNG HERE'!AC$63</f>
        <v>37.733625290390918</v>
      </c>
      <c r="BC68" s="7">
        <f ca="1">Sheet2!H$17+('RNG HERE'!F68-'RNG HERE'!AD$62)*Sheet2!H$18/'RNG HERE'!AD$63</f>
        <v>28.367249375916828</v>
      </c>
      <c r="BD68" s="7">
        <f ca="1">Sheet2!I$17+('RNG HERE'!G68-'RNG HERE'!AE$62)*Sheet2!I$18/'RNG HERE'!AE$63</f>
        <v>11.490458994515361</v>
      </c>
      <c r="BE68" s="7">
        <f ca="1">Sheet2!J$17+('RNG HERE'!H68-'RNG HERE'!AF$62)*Sheet2!J$18/'RNG HERE'!AF$63</f>
        <v>23.3352815227625</v>
      </c>
      <c r="BF68" s="7">
        <f ca="1">Sheet2!K$17+('RNG HERE'!I68-'RNG HERE'!AG$62)*Sheet2!K$18/'RNG HERE'!AG$63</f>
        <v>18.237591602726443</v>
      </c>
      <c r="BG68" s="7">
        <f ca="1">Sheet2!L$17+('RNG HERE'!J68-'RNG HERE'!AH$62)*Sheet2!L$18/'RNG HERE'!AH$63</f>
        <v>28.071109293913004</v>
      </c>
      <c r="BH68" s="7">
        <f ca="1">Sheet2!M$17+('RNG HERE'!K68-'RNG HERE'!AI$62)*Sheet2!M$18/'RNG HERE'!AI$63</f>
        <v>16.170070319648865</v>
      </c>
      <c r="BI68" s="7">
        <f ca="1">Sheet2!N$17+('RNG HERE'!L68-'RNG HERE'!AJ$62)*Sheet2!N$18/'RNG HERE'!AJ$63</f>
        <v>15.208804595934426</v>
      </c>
      <c r="BJ68" s="7">
        <f ca="1">Sheet2!O$17+('RNG HERE'!M68-'RNG HERE'!AK$62)*Sheet2!O$18/'RNG HERE'!AK$63</f>
        <v>5.4620275513353143</v>
      </c>
      <c r="BK68" s="7">
        <f ca="1">Sheet2!P$17+('RNG HERE'!N68-'RNG HERE'!AL$62)*Sheet2!P$18/'RNG HERE'!AL$63</f>
        <v>15.826577892176376</v>
      </c>
      <c r="BL68" s="7">
        <f ca="1">Sheet2!Q$17+('RNG HERE'!O68-'RNG HERE'!AM$62)*Sheet2!Q$18/'RNG HERE'!AM$63</f>
        <v>9.6120800464831326</v>
      </c>
      <c r="BM68" s="7">
        <f ca="1">Sheet2!R$17+('RNG HERE'!P68-'RNG HERE'!AN$62)*Sheet2!R$18/'RNG HERE'!AN$63</f>
        <v>11.068825946360942</v>
      </c>
      <c r="BN68" s="7">
        <f ca="1">Sheet2!S$17+('RNG HERE'!Q68-'RNG HERE'!AO$62)*Sheet2!S$18/'RNG HERE'!AO$63</f>
        <v>4.7226143966542002</v>
      </c>
      <c r="BO68" s="7">
        <f ca="1">Sheet2!T$17+('RNG HERE'!R68-'RNG HERE'!AP$62)*Sheet2!T$18/'RNG HERE'!AP$63</f>
        <v>11.721843875220923</v>
      </c>
      <c r="BP68" s="7">
        <f ca="1">Sheet2!U$17+('RNG HERE'!S68-'RNG HERE'!AQ$62)*Sheet2!U$18/'RNG HERE'!AQ$63</f>
        <v>24.026033470497552</v>
      </c>
      <c r="BQ68" s="7">
        <f ca="1">Sheet2!V$17+('RNG HERE'!T68-'RNG HERE'!AR$62)*Sheet2!V$18/'RNG HERE'!AR$63</f>
        <v>19.645324730726735</v>
      </c>
      <c r="BR68" s="7">
        <f ca="1">Sheet2!W$17+('RNG HERE'!U68-'RNG HERE'!AS$62)*Sheet2!W$18/'RNG HERE'!AS$63</f>
        <v>27.284472443224825</v>
      </c>
      <c r="BS68" s="7">
        <f ca="1">Sheet2!X$17+('RNG HERE'!V68-'RNG HERE'!AT$62)*Sheet2!X$18/'RNG HERE'!AT$63</f>
        <v>24.127918953817435</v>
      </c>
      <c r="BT68" s="7">
        <f ca="1">Sheet2!Y$17+('RNG HERE'!W68-'RNG HERE'!AU$62)*Sheet2!Y$18/'RNG HERE'!AU$63</f>
        <v>17.217213537300005</v>
      </c>
      <c r="BU68" s="7">
        <f ca="1">Sheet2!Z$17+('RNG HERE'!X68-'RNG HERE'!AV$62)*Sheet2!Z$18/'RNG HERE'!AV$63</f>
        <v>10.154523355239364</v>
      </c>
    </row>
    <row r="69" spans="1:73" x14ac:dyDescent="0.3">
      <c r="A69" s="8" cm="1">
        <f t="array" aca="1" ref="A69" ca="1">[1]!UNIFORM_INV(RAND(),Sheet2!C$17-SQRT(3)*Sheet2!C$18,Sheet2!C$17+SQRT(3)*Sheet2!C$18)</f>
        <v>5.9421615086001642</v>
      </c>
      <c r="B69" s="8" cm="1">
        <f t="array" aca="1" ref="B69" ca="1">[1]!UNIFORM_INV(RAND(),Sheet2!D$17-SQRT(3)*Sheet2!D$18,Sheet2!D$17+SQRT(3)*Sheet2!D$18)</f>
        <v>4.10172107894011</v>
      </c>
      <c r="C69" s="8" cm="1">
        <f t="array" aca="1" ref="C69" ca="1">[1]!UNIFORM_INV(RAND(),Sheet2!E$17-SQRT(3)*Sheet2!E$18,Sheet2!E$17+SQRT(3)*Sheet2!E$18)</f>
        <v>27.483301244362508</v>
      </c>
      <c r="D69" s="8" cm="1">
        <f t="array" aca="1" ref="D69" ca="1">[1]!UNIFORM_INV(RAND(),Sheet2!F$17-SQRT(3)*Sheet2!F$18,Sheet2!F$17+SQRT(3)*Sheet2!F$18)</f>
        <v>2.037713161333766</v>
      </c>
      <c r="E69" s="8" cm="1">
        <f t="array" aca="1" ref="E69" ca="1">[1]!UNIFORM_INV(RAND(),Sheet2!G$17-SQRT(3)*Sheet2!G$18,Sheet2!G$17+SQRT(3)*Sheet2!G$18)</f>
        <v>27.563042072749674</v>
      </c>
      <c r="F69" s="8" cm="1">
        <f t="array" aca="1" ref="F69" ca="1">[1]!UNIFORM_INV(RAND(),Sheet2!H$17-SQRT(3)*Sheet2!H$18,Sheet2!H$17+SQRT(3)*Sheet2!H$18)</f>
        <v>14.878444127318893</v>
      </c>
      <c r="G69" s="8" cm="1">
        <f t="array" aca="1" ref="G69" ca="1">[1]!UNIFORM_INV(RAND(),Sheet2!I$17-SQRT(3)*Sheet2!I$18,Sheet2!I$17+SQRT(3)*Sheet2!I$18)</f>
        <v>9.9886131767291833</v>
      </c>
      <c r="H69" s="8" cm="1">
        <f t="array" aca="1" ref="H69" ca="1">[1]!UNIFORM_INV(RAND(),Sheet2!J$17-SQRT(3)*Sheet2!J$18,Sheet2!J$17+SQRT(3)*Sheet2!J$18)</f>
        <v>23.487412021683454</v>
      </c>
      <c r="I69" s="8" cm="1">
        <f t="array" aca="1" ref="I69" ca="1">[1]!UNIFORM_INV(RAND(),Sheet2!K$17-SQRT(3)*Sheet2!K$18,Sheet2!K$17+SQRT(3)*Sheet2!K$18)</f>
        <v>17.51134748316348</v>
      </c>
      <c r="J69" s="8" cm="1">
        <f t="array" aca="1" ref="J69" ca="1">[1]!UNIFORM_INV(RAND(),Sheet2!L$17-SQRT(3)*Sheet2!L$18,Sheet2!L$17+SQRT(3)*Sheet2!L$18)</f>
        <v>25.37862762616351</v>
      </c>
      <c r="K69" s="8" cm="1">
        <f t="array" aca="1" ref="K69" ca="1">[1]!UNIFORM_INV(RAND(),Sheet2!M$17-SQRT(3)*Sheet2!M$18,Sheet2!M$17+SQRT(3)*Sheet2!M$18)</f>
        <v>15.807628083255929</v>
      </c>
      <c r="L69" s="8" cm="1">
        <f t="array" aca="1" ref="L69" ca="1">[1]!UNIFORM_INV(RAND(),Sheet2!N$17-SQRT(3)*Sheet2!N$18,Sheet2!N$17+SQRT(3)*Sheet2!N$18)</f>
        <v>15.770590713101578</v>
      </c>
      <c r="M69" s="8" cm="1">
        <f t="array" aca="1" ref="M69" ca="1">[1]!UNIFORM_INV(RAND(),Sheet2!O$17-SQRT(3)*Sheet2!O$18,Sheet2!O$17+SQRT(3)*Sheet2!O$18)</f>
        <v>5.5905692103287814</v>
      </c>
      <c r="N69" s="8" cm="1">
        <f t="array" aca="1" ref="N69" ca="1">[1]!UNIFORM_INV(RAND(),Sheet2!P$17-SQRT(3)*Sheet2!P$18,Sheet2!P$17+SQRT(3)*Sheet2!P$18)</f>
        <v>20.450463499869077</v>
      </c>
      <c r="O69" s="8" cm="1">
        <f t="array" aca="1" ref="O69" ca="1">[1]!UNIFORM_INV(RAND(),Sheet2!Q$17-SQRT(3)*Sheet2!Q$18,Sheet2!Q$17+SQRT(3)*Sheet2!Q$18)</f>
        <v>11.56727901421808</v>
      </c>
      <c r="P69" s="8" cm="1">
        <f t="array" aca="1" ref="P69" ca="1">[1]!UNIFORM_INV(RAND(),Sheet2!R$17-SQRT(3)*Sheet2!R$18,Sheet2!R$17+SQRT(3)*Sheet2!R$18)</f>
        <v>11.06475616335662</v>
      </c>
      <c r="Q69" s="8" cm="1">
        <f t="array" aca="1" ref="Q69" ca="1">[1]!UNIFORM_INV(RAND(),Sheet2!S$17-SQRT(3)*Sheet2!S$18,Sheet2!S$17+SQRT(3)*Sheet2!S$18)</f>
        <v>3.5186493760714606</v>
      </c>
      <c r="R69" s="8" cm="1">
        <f t="array" aca="1" ref="R69" ca="1">[1]!UNIFORM_INV(RAND(),Sheet2!T$17-SQRT(3)*Sheet2!T$18,Sheet2!T$17+SQRT(3)*Sheet2!T$18)</f>
        <v>15.911627641428247</v>
      </c>
      <c r="S69" s="8" cm="1">
        <f t="array" aca="1" ref="S69" ca="1">[1]!UNIFORM_INV(RAND(),Sheet2!U$17-SQRT(3)*Sheet2!U$18,Sheet2!U$17+SQRT(3)*Sheet2!U$18)</f>
        <v>20.697556949485804</v>
      </c>
      <c r="T69" s="8" cm="1">
        <f t="array" aca="1" ref="T69" ca="1">[1]!UNIFORM_INV(RAND(),Sheet2!V$17-SQRT(3)*Sheet2!V$18,Sheet2!V$17+SQRT(3)*Sheet2!V$18)</f>
        <v>21.582301626246664</v>
      </c>
      <c r="U69" s="8" cm="1">
        <f t="array" aca="1" ref="U69" ca="1">[1]!UNIFORM_INV(RAND(),Sheet2!W$17-SQRT(3)*Sheet2!W$18,Sheet2!W$17+SQRT(3)*Sheet2!W$18)</f>
        <v>30.596982780371285</v>
      </c>
      <c r="V69" s="8" cm="1">
        <f t="array" aca="1" ref="V69" ca="1">[1]!UNIFORM_INV(RAND(),Sheet2!X$17-SQRT(3)*Sheet2!X$18,Sheet2!X$17+SQRT(3)*Sheet2!X$18)</f>
        <v>19.9240976289203</v>
      </c>
      <c r="W69" s="8" cm="1">
        <f t="array" aca="1" ref="W69" ca="1">[1]!UNIFORM_INV(RAND(),Sheet2!Y$17-SQRT(3)*Sheet2!Y$18,Sheet2!Y$17+SQRT(3)*Sheet2!Y$18)</f>
        <v>16.339820856285016</v>
      </c>
      <c r="X69" s="8" cm="1">
        <f t="array" aca="1" ref="X69" ca="1">[1]!UNIFORM_INV(RAND(),Sheet2!Z$17-SQRT(3)*Sheet2!Z$18,Sheet2!Z$17+SQRT(3)*Sheet2!Z$18)</f>
        <v>9.4087298419583103</v>
      </c>
      <c r="AX69" s="7">
        <f ca="1">Sheet2!C$17+('RNG HERE'!A69-'RNG HERE'!Y$62)*Sheet2!C$18/'RNG HERE'!Y$63</f>
        <v>6.2096462465590871</v>
      </c>
      <c r="AY69" s="7">
        <f ca="1">Sheet2!D$17+('RNG HERE'!B69-'RNG HERE'!Z$62)*Sheet2!D$18/'RNG HERE'!Z$63</f>
        <v>4.3167744024099148</v>
      </c>
      <c r="AZ69" s="7">
        <f ca="1">Sheet2!E$17+('RNG HERE'!C69-'RNG HERE'!AA$62)*Sheet2!E$18/'RNG HERE'!AA$63</f>
        <v>27.506371956888966</v>
      </c>
      <c r="BA69" s="7">
        <f ca="1">Sheet2!F$17+('RNG HERE'!D69-'RNG HERE'!AB$62)*Sheet2!F$18/'RNG HERE'!AB$63</f>
        <v>1.5464499402498944</v>
      </c>
      <c r="BB69" s="7">
        <f ca="1">Sheet2!G$17+('RNG HERE'!E69-'RNG HERE'!AC$62)*Sheet2!G$18/'RNG HERE'!AC$63</f>
        <v>29.083083574820023</v>
      </c>
      <c r="BC69" s="7">
        <f ca="1">Sheet2!H$17+('RNG HERE'!F69-'RNG HERE'!AD$62)*Sheet2!H$18/'RNG HERE'!AD$63</f>
        <v>15.58456772915622</v>
      </c>
      <c r="BD69" s="7">
        <f ca="1">Sheet2!I$17+('RNG HERE'!G69-'RNG HERE'!AE$62)*Sheet2!I$18/'RNG HERE'!AE$63</f>
        <v>10.180312185847907</v>
      </c>
      <c r="BE69" s="7">
        <f ca="1">Sheet2!J$17+('RNG HERE'!H69-'RNG HERE'!AF$62)*Sheet2!J$18/'RNG HERE'!AF$63</f>
        <v>23.660517016277506</v>
      </c>
      <c r="BF69" s="7">
        <f ca="1">Sheet2!K$17+('RNG HERE'!I69-'RNG HERE'!AG$62)*Sheet2!K$18/'RNG HERE'!AG$63</f>
        <v>17.887308865048528</v>
      </c>
      <c r="BG69" s="7">
        <f ca="1">Sheet2!L$17+('RNG HERE'!J69-'RNG HERE'!AH$62)*Sheet2!L$18/'RNG HERE'!AH$63</f>
        <v>25.716968249261264</v>
      </c>
      <c r="BH69" s="7">
        <f ca="1">Sheet2!M$17+('RNG HERE'!K69-'RNG HERE'!AI$62)*Sheet2!M$18/'RNG HERE'!AI$63</f>
        <v>16.690351368974095</v>
      </c>
      <c r="BI69" s="7">
        <f ca="1">Sheet2!N$17+('RNG HERE'!L69-'RNG HERE'!AJ$62)*Sheet2!N$18/'RNG HERE'!AJ$63</f>
        <v>15.655096334555607</v>
      </c>
      <c r="BJ69" s="7">
        <f ca="1">Sheet2!O$17+('RNG HERE'!M69-'RNG HERE'!AK$62)*Sheet2!O$18/'RNG HERE'!AK$63</f>
        <v>5.4227999148277002</v>
      </c>
      <c r="BK69" s="7">
        <f ca="1">Sheet2!P$17+('RNG HERE'!N69-'RNG HERE'!AL$62)*Sheet2!P$18/'RNG HERE'!AL$63</f>
        <v>21.224283648188628</v>
      </c>
      <c r="BL69" s="7">
        <f ca="1">Sheet2!Q$17+('RNG HERE'!O69-'RNG HERE'!AM$62)*Sheet2!Q$18/'RNG HERE'!AM$63</f>
        <v>11.650713169221264</v>
      </c>
      <c r="BM69" s="7">
        <f ca="1">Sheet2!R$17+('RNG HERE'!P69-'RNG HERE'!AN$62)*Sheet2!R$18/'RNG HERE'!AN$63</f>
        <v>11.035818841493155</v>
      </c>
      <c r="BN69" s="7">
        <f ca="1">Sheet2!S$17+('RNG HERE'!Q69-'RNG HERE'!AO$62)*Sheet2!S$18/'RNG HERE'!AO$63</f>
        <v>3.5186973400323751</v>
      </c>
      <c r="BO69" s="7">
        <f ca="1">Sheet2!T$17+('RNG HERE'!R69-'RNG HERE'!AP$62)*Sheet2!T$18/'RNG HERE'!AP$63</f>
        <v>15.947843881013771</v>
      </c>
      <c r="BP69" s="7">
        <f ca="1">Sheet2!U$17+('RNG HERE'!S69-'RNG HERE'!AQ$62)*Sheet2!U$18/'RNG HERE'!AQ$63</f>
        <v>20.78547517198604</v>
      </c>
      <c r="BQ69" s="7">
        <f ca="1">Sheet2!V$17+('RNG HERE'!T69-'RNG HERE'!AR$62)*Sheet2!V$18/'RNG HERE'!AR$63</f>
        <v>21.851454606300987</v>
      </c>
      <c r="BR69" s="7">
        <f ca="1">Sheet2!W$17+('RNG HERE'!U69-'RNG HERE'!AS$62)*Sheet2!W$18/'RNG HERE'!AS$63</f>
        <v>31.181342549639545</v>
      </c>
      <c r="BS69" s="7">
        <f ca="1">Sheet2!X$17+('RNG HERE'!V69-'RNG HERE'!AT$62)*Sheet2!X$18/'RNG HERE'!AT$63</f>
        <v>19.497418670235252</v>
      </c>
      <c r="BT69" s="7">
        <f ca="1">Sheet2!Y$17+('RNG HERE'!W69-'RNG HERE'!AU$62)*Sheet2!Y$18/'RNG HERE'!AU$63</f>
        <v>16.368580570000471</v>
      </c>
      <c r="BU69" s="7">
        <f ca="1">Sheet2!Z$17+('RNG HERE'!X69-'RNG HERE'!AV$62)*Sheet2!Z$18/'RNG HERE'!AV$63</f>
        <v>9.3612471750299839</v>
      </c>
    </row>
    <row r="70" spans="1:73" x14ac:dyDescent="0.3">
      <c r="A70" s="8" cm="1">
        <f t="array" aca="1" ref="A70" ca="1">[1]!UNIFORM_INV(RAND(),Sheet2!C$17-SQRT(3)*Sheet2!C$18,Sheet2!C$17+SQRT(3)*Sheet2!C$18)</f>
        <v>4.5436995155027118</v>
      </c>
      <c r="B70" s="8" cm="1">
        <f t="array" aca="1" ref="B70" ca="1">[1]!UNIFORM_INV(RAND(),Sheet2!D$17-SQRT(3)*Sheet2!D$18,Sheet2!D$17+SQRT(3)*Sheet2!D$18)</f>
        <v>4.8999863478630079</v>
      </c>
      <c r="C70" s="8" cm="1">
        <f t="array" aca="1" ref="C70" ca="1">[1]!UNIFORM_INV(RAND(),Sheet2!E$17-SQRT(3)*Sheet2!E$18,Sheet2!E$17+SQRT(3)*Sheet2!E$18)</f>
        <v>26.683059916133079</v>
      </c>
      <c r="D70" s="8" cm="1">
        <f t="array" aca="1" ref="D70" ca="1">[1]!UNIFORM_INV(RAND(),Sheet2!F$17-SQRT(3)*Sheet2!F$18,Sheet2!F$17+SQRT(3)*Sheet2!F$18)</f>
        <v>1.0611486392971472</v>
      </c>
      <c r="E70" s="8" cm="1">
        <f t="array" aca="1" ref="E70" ca="1">[1]!UNIFORM_INV(RAND(),Sheet2!G$17-SQRT(3)*Sheet2!G$18,Sheet2!G$17+SQRT(3)*Sheet2!G$18)</f>
        <v>44.586544829391748</v>
      </c>
      <c r="F70" s="8" cm="1">
        <f t="array" aca="1" ref="F70" ca="1">[1]!UNIFORM_INV(RAND(),Sheet2!H$17-SQRT(3)*Sheet2!H$18,Sheet2!H$17+SQRT(3)*Sheet2!H$18)</f>
        <v>23.899372154864597</v>
      </c>
      <c r="G70" s="8" cm="1">
        <f t="array" aca="1" ref="G70" ca="1">[1]!UNIFORM_INV(RAND(),Sheet2!I$17-SQRT(3)*Sheet2!I$18,Sheet2!I$17+SQRT(3)*Sheet2!I$18)</f>
        <v>11.073406776699862</v>
      </c>
      <c r="H70" s="8" cm="1">
        <f t="array" aca="1" ref="H70" ca="1">[1]!UNIFORM_INV(RAND(),Sheet2!J$17-SQRT(3)*Sheet2!J$18,Sheet2!J$17+SQRT(3)*Sheet2!J$18)</f>
        <v>27.222178167380758</v>
      </c>
      <c r="I70" s="8" cm="1">
        <f t="array" aca="1" ref="I70" ca="1">[1]!UNIFORM_INV(RAND(),Sheet2!K$17-SQRT(3)*Sheet2!K$18,Sheet2!K$17+SQRT(3)*Sheet2!K$18)</f>
        <v>21.152705201349196</v>
      </c>
      <c r="J70" s="8" cm="1">
        <f t="array" aca="1" ref="J70" ca="1">[1]!UNIFORM_INV(RAND(),Sheet2!L$17-SQRT(3)*Sheet2!L$18,Sheet2!L$17+SQRT(3)*Sheet2!L$18)</f>
        <v>26.012844340550927</v>
      </c>
      <c r="K70" s="8" cm="1">
        <f t="array" aca="1" ref="K70" ca="1">[1]!UNIFORM_INV(RAND(),Sheet2!M$17-SQRT(3)*Sheet2!M$18,Sheet2!M$17+SQRT(3)*Sheet2!M$18)</f>
        <v>19.011460775914482</v>
      </c>
      <c r="L70" s="8" cm="1">
        <f t="array" aca="1" ref="L70" ca="1">[1]!UNIFORM_INV(RAND(),Sheet2!N$17-SQRT(3)*Sheet2!N$18,Sheet2!N$17+SQRT(3)*Sheet2!N$18)</f>
        <v>17.699482518036806</v>
      </c>
      <c r="M70" s="8" cm="1">
        <f t="array" aca="1" ref="M70" ca="1">[1]!UNIFORM_INV(RAND(),Sheet2!O$17-SQRT(3)*Sheet2!O$18,Sheet2!O$17+SQRT(3)*Sheet2!O$18)</f>
        <v>4.2605843360576401</v>
      </c>
      <c r="N70" s="8" cm="1">
        <f t="array" aca="1" ref="N70" ca="1">[1]!UNIFORM_INV(RAND(),Sheet2!P$17-SQRT(3)*Sheet2!P$18,Sheet2!P$17+SQRT(3)*Sheet2!P$18)</f>
        <v>15.246562882325014</v>
      </c>
      <c r="O70" s="8" cm="1">
        <f t="array" aca="1" ref="O70" ca="1">[1]!UNIFORM_INV(RAND(),Sheet2!Q$17-SQRT(3)*Sheet2!Q$18,Sheet2!Q$17+SQRT(3)*Sheet2!Q$18)</f>
        <v>12.142861233247537</v>
      </c>
      <c r="P70" s="8" cm="1">
        <f t="array" aca="1" ref="P70" ca="1">[1]!UNIFORM_INV(RAND(),Sheet2!R$17-SQRT(3)*Sheet2!R$18,Sheet2!R$17+SQRT(3)*Sheet2!R$18)</f>
        <v>11.820426307294921</v>
      </c>
      <c r="Q70" s="8" cm="1">
        <f t="array" aca="1" ref="Q70" ca="1">[1]!UNIFORM_INV(RAND(),Sheet2!S$17-SQRT(3)*Sheet2!S$18,Sheet2!S$17+SQRT(3)*Sheet2!S$18)</f>
        <v>3.8438145319716459</v>
      </c>
      <c r="R70" s="8" cm="1">
        <f t="array" aca="1" ref="R70" ca="1">[1]!UNIFORM_INV(RAND(),Sheet2!T$17-SQRT(3)*Sheet2!T$18,Sheet2!T$17+SQRT(3)*Sheet2!T$18)</f>
        <v>13.593469458653669</v>
      </c>
      <c r="S70" s="8" cm="1">
        <f t="array" aca="1" ref="S70" ca="1">[1]!UNIFORM_INV(RAND(),Sheet2!U$17-SQRT(3)*Sheet2!U$18,Sheet2!U$17+SQRT(3)*Sheet2!U$18)</f>
        <v>22.810324604383677</v>
      </c>
      <c r="T70" s="8" cm="1">
        <f t="array" aca="1" ref="T70" ca="1">[1]!UNIFORM_INV(RAND(),Sheet2!V$17-SQRT(3)*Sheet2!V$18,Sheet2!V$17+SQRT(3)*Sheet2!V$18)</f>
        <v>22.134899138974781</v>
      </c>
      <c r="U70" s="8" cm="1">
        <f t="array" aca="1" ref="U70" ca="1">[1]!UNIFORM_INV(RAND(),Sheet2!W$17-SQRT(3)*Sheet2!W$18,Sheet2!W$17+SQRT(3)*Sheet2!W$18)</f>
        <v>28.597522622558323</v>
      </c>
      <c r="V70" s="8" cm="1">
        <f t="array" aca="1" ref="V70" ca="1">[1]!UNIFORM_INV(RAND(),Sheet2!X$17-SQRT(3)*Sheet2!X$18,Sheet2!X$17+SQRT(3)*Sheet2!X$18)</f>
        <v>20.012992890286345</v>
      </c>
      <c r="W70" s="8" cm="1">
        <f t="array" aca="1" ref="W70" ca="1">[1]!UNIFORM_INV(RAND(),Sheet2!Y$17-SQRT(3)*Sheet2!Y$18,Sheet2!Y$17+SQRT(3)*Sheet2!Y$18)</f>
        <v>21.40581671195163</v>
      </c>
      <c r="X70" s="8" cm="1">
        <f t="array" aca="1" ref="X70" ca="1">[1]!UNIFORM_INV(RAND(),Sheet2!Z$17-SQRT(3)*Sheet2!Z$18,Sheet2!Z$17+SQRT(3)*Sheet2!Z$18)</f>
        <v>8.7873530505656454</v>
      </c>
      <c r="AX70" s="7">
        <f ca="1">Sheet2!C$17+('RNG HERE'!A70-'RNG HERE'!Y$62)*Sheet2!C$18/'RNG HERE'!Y$63</f>
        <v>4.6354758914506142</v>
      </c>
      <c r="AY70" s="7">
        <f ca="1">Sheet2!D$17+('RNG HERE'!B70-'RNG HERE'!Z$62)*Sheet2!D$18/'RNG HERE'!Z$63</f>
        <v>5.1027229440209618</v>
      </c>
      <c r="AZ70" s="7">
        <f ca="1">Sheet2!E$17+('RNG HERE'!C70-'RNG HERE'!AA$62)*Sheet2!E$18/'RNG HERE'!AA$63</f>
        <v>26.608840437501154</v>
      </c>
      <c r="BA70" s="7">
        <f ca="1">Sheet2!F$17+('RNG HERE'!D70-'RNG HERE'!AB$62)*Sheet2!F$18/'RNG HERE'!AB$63</f>
        <v>0.64695560882525616</v>
      </c>
      <c r="BB70" s="7">
        <f ca="1">Sheet2!G$17+('RNG HERE'!E70-'RNG HERE'!AC$62)*Sheet2!G$18/'RNG HERE'!AC$63</f>
        <v>45.257251411630129</v>
      </c>
      <c r="BC70" s="7">
        <f ca="1">Sheet2!H$17+('RNG HERE'!F70-'RNG HERE'!AD$62)*Sheet2!H$18/'RNG HERE'!AD$63</f>
        <v>24.552541344679184</v>
      </c>
      <c r="BD70" s="7">
        <f ca="1">Sheet2!I$17+('RNG HERE'!G70-'RNG HERE'!AE$62)*Sheet2!I$18/'RNG HERE'!AE$63</f>
        <v>11.244370237491454</v>
      </c>
      <c r="BE70" s="7">
        <f ca="1">Sheet2!J$17+('RNG HERE'!H70-'RNG HERE'!AF$62)*Sheet2!J$18/'RNG HERE'!AF$63</f>
        <v>27.360999265915538</v>
      </c>
      <c r="BF70" s="7">
        <f ca="1">Sheet2!K$17+('RNG HERE'!I70-'RNG HERE'!AG$62)*Sheet2!K$18/'RNG HERE'!AG$63</f>
        <v>21.213534918773092</v>
      </c>
      <c r="BG70" s="7">
        <f ca="1">Sheet2!L$17+('RNG HERE'!J70-'RNG HERE'!AH$62)*Sheet2!L$18/'RNG HERE'!AH$63</f>
        <v>26.399131593213298</v>
      </c>
      <c r="BH70" s="7">
        <f ca="1">Sheet2!M$17+('RNG HERE'!K70-'RNG HERE'!AI$62)*Sheet2!M$18/'RNG HERE'!AI$63</f>
        <v>20.254379364648294</v>
      </c>
      <c r="BI70" s="7">
        <f ca="1">Sheet2!N$17+('RNG HERE'!L70-'RNG HERE'!AJ$62)*Sheet2!N$18/'RNG HERE'!AJ$63</f>
        <v>17.863980626337195</v>
      </c>
      <c r="BJ70" s="7">
        <f ca="1">Sheet2!O$17+('RNG HERE'!M70-'RNG HERE'!AK$62)*Sheet2!O$18/'RNG HERE'!AK$63</f>
        <v>4.0399789172055689</v>
      </c>
      <c r="BK70" s="7">
        <f ca="1">Sheet2!P$17+('RNG HERE'!N70-'RNG HERE'!AL$62)*Sheet2!P$18/'RNG HERE'!AL$63</f>
        <v>15.330379289468882</v>
      </c>
      <c r="BL70" s="7">
        <f ca="1">Sheet2!Q$17+('RNG HERE'!O70-'RNG HERE'!AM$62)*Sheet2!Q$18/'RNG HERE'!AM$63</f>
        <v>12.252148941396417</v>
      </c>
      <c r="BM70" s="7">
        <f ca="1">Sheet2!R$17+('RNG HERE'!P70-'RNG HERE'!AN$62)*Sheet2!R$18/'RNG HERE'!AN$63</f>
        <v>11.754459069554693</v>
      </c>
      <c r="BN70" s="7">
        <f ca="1">Sheet2!S$17+('RNG HERE'!Q70-'RNG HERE'!AO$62)*Sheet2!S$18/'RNG HERE'!AO$63</f>
        <v>3.8802324657046112</v>
      </c>
      <c r="BO70" s="7">
        <f ca="1">Sheet2!T$17+('RNG HERE'!R70-'RNG HERE'!AP$62)*Sheet2!T$18/'RNG HERE'!AP$63</f>
        <v>13.265178811667836</v>
      </c>
      <c r="BP70" s="7">
        <f ca="1">Sheet2!U$17+('RNG HERE'!S70-'RNG HERE'!AQ$62)*Sheet2!U$18/'RNG HERE'!AQ$63</f>
        <v>23.286928382576388</v>
      </c>
      <c r="BQ70" s="7">
        <f ca="1">Sheet2!V$17+('RNG HERE'!T70-'RNG HERE'!AR$62)*Sheet2!V$18/'RNG HERE'!AR$63</f>
        <v>22.420377358290871</v>
      </c>
      <c r="BR70" s="7">
        <f ca="1">Sheet2!W$17+('RNG HERE'!U70-'RNG HERE'!AS$62)*Sheet2!W$18/'RNG HERE'!AS$63</f>
        <v>28.834127967242843</v>
      </c>
      <c r="BS70" s="7">
        <f ca="1">Sheet2!X$17+('RNG HERE'!V70-'RNG HERE'!AT$62)*Sheet2!X$18/'RNG HERE'!AT$63</f>
        <v>19.580761771422296</v>
      </c>
      <c r="BT70" s="7">
        <f ca="1">Sheet2!Y$17+('RNG HERE'!W70-'RNG HERE'!AU$62)*Sheet2!Y$18/'RNG HERE'!AU$63</f>
        <v>21.651658454850203</v>
      </c>
      <c r="BU70" s="7">
        <f ca="1">Sheet2!Z$17+('RNG HERE'!X70-'RNG HERE'!AV$62)*Sheet2!Z$18/'RNG HERE'!AV$63</f>
        <v>8.7512871189026828</v>
      </c>
    </row>
    <row r="71" spans="1:73" x14ac:dyDescent="0.3">
      <c r="A71" s="8" cm="1">
        <f t="array" aca="1" ref="A71" ca="1">[1]!UNIFORM_INV(RAND(),Sheet2!C$17-SQRT(3)*Sheet2!C$18,Sheet2!C$17+SQRT(3)*Sheet2!C$18)</f>
        <v>5.047623422550596</v>
      </c>
      <c r="B71" s="8" cm="1">
        <f t="array" aca="1" ref="B71" ca="1">[1]!UNIFORM_INV(RAND(),Sheet2!D$17-SQRT(3)*Sheet2!D$18,Sheet2!D$17+SQRT(3)*Sheet2!D$18)</f>
        <v>5.3411646299684641</v>
      </c>
      <c r="C71" s="8" cm="1">
        <f t="array" aca="1" ref="C71" ca="1">[1]!UNIFORM_INV(RAND(),Sheet2!E$17-SQRT(3)*Sheet2!E$18,Sheet2!E$17+SQRT(3)*Sheet2!E$18)</f>
        <v>26.212737050026956</v>
      </c>
      <c r="D71" s="8" cm="1">
        <f t="array" aca="1" ref="D71" ca="1">[1]!UNIFORM_INV(RAND(),Sheet2!F$17-SQRT(3)*Sheet2!F$18,Sheet2!F$17+SQRT(3)*Sheet2!F$18)</f>
        <v>3.2965704906361095</v>
      </c>
      <c r="E71" s="8" cm="1">
        <f t="array" aca="1" ref="E71" ca="1">[1]!UNIFORM_INV(RAND(),Sheet2!G$17-SQRT(3)*Sheet2!G$18,Sheet2!G$17+SQRT(3)*Sheet2!G$18)</f>
        <v>25.827201251215175</v>
      </c>
      <c r="F71" s="8" cm="1">
        <f t="array" aca="1" ref="F71" ca="1">[1]!UNIFORM_INV(RAND(),Sheet2!H$17-SQRT(3)*Sheet2!H$18,Sheet2!H$17+SQRT(3)*Sheet2!H$18)</f>
        <v>20.329524472048675</v>
      </c>
      <c r="G71" s="8" cm="1">
        <f t="array" aca="1" ref="G71" ca="1">[1]!UNIFORM_INV(RAND(),Sheet2!I$17-SQRT(3)*Sheet2!I$18,Sheet2!I$17+SQRT(3)*Sheet2!I$18)</f>
        <v>11.688190615824084</v>
      </c>
      <c r="H71" s="8" cm="1">
        <f t="array" aca="1" ref="H71" ca="1">[1]!UNIFORM_INV(RAND(),Sheet2!J$17-SQRT(3)*Sheet2!J$18,Sheet2!J$17+SQRT(3)*Sheet2!J$18)</f>
        <v>27.33085811842103</v>
      </c>
      <c r="I71" s="8" cm="1">
        <f t="array" aca="1" ref="I71" ca="1">[1]!UNIFORM_INV(RAND(),Sheet2!K$17-SQRT(3)*Sheet2!K$18,Sheet2!K$17+SQRT(3)*Sheet2!K$18)</f>
        <v>21.005742427584064</v>
      </c>
      <c r="J71" s="8" cm="1">
        <f t="array" aca="1" ref="J71" ca="1">[1]!UNIFORM_INV(RAND(),Sheet2!L$17-SQRT(3)*Sheet2!L$18,Sheet2!L$17+SQRT(3)*Sheet2!L$18)</f>
        <v>24.471692213278228</v>
      </c>
      <c r="K71" s="8" cm="1">
        <f t="array" aca="1" ref="K71" ca="1">[1]!UNIFORM_INV(RAND(),Sheet2!M$17-SQRT(3)*Sheet2!M$18,Sheet2!M$17+SQRT(3)*Sheet2!M$18)</f>
        <v>20.312742697986014</v>
      </c>
      <c r="L71" s="8" cm="1">
        <f t="array" aca="1" ref="L71" ca="1">[1]!UNIFORM_INV(RAND(),Sheet2!N$17-SQRT(3)*Sheet2!N$18,Sheet2!N$17+SQRT(3)*Sheet2!N$18)</f>
        <v>18.347770749496927</v>
      </c>
      <c r="M71" s="8" cm="1">
        <f t="array" aca="1" ref="M71" ca="1">[1]!UNIFORM_INV(RAND(),Sheet2!O$17-SQRT(3)*Sheet2!O$18,Sheet2!O$17+SQRT(3)*Sheet2!O$18)</f>
        <v>3.0775898299282463</v>
      </c>
      <c r="N71" s="8" cm="1">
        <f t="array" aca="1" ref="N71" ca="1">[1]!UNIFORM_INV(RAND(),Sheet2!P$17-SQRT(3)*Sheet2!P$18,Sheet2!P$17+SQRT(3)*Sheet2!P$18)</f>
        <v>17.599161250261631</v>
      </c>
      <c r="O71" s="8" cm="1">
        <f t="array" aca="1" ref="O71" ca="1">[1]!UNIFORM_INV(RAND(),Sheet2!Q$17-SQRT(3)*Sheet2!Q$18,Sheet2!Q$17+SQRT(3)*Sheet2!Q$18)</f>
        <v>9.5418563425269785</v>
      </c>
      <c r="P71" s="8" cm="1">
        <f t="array" aca="1" ref="P71" ca="1">[1]!UNIFORM_INV(RAND(),Sheet2!R$17-SQRT(3)*Sheet2!R$18,Sheet2!R$17+SQRT(3)*Sheet2!R$18)</f>
        <v>10.211787561848674</v>
      </c>
      <c r="Q71" s="8" cm="1">
        <f t="array" aca="1" ref="Q71" ca="1">[1]!UNIFORM_INV(RAND(),Sheet2!S$17-SQRT(3)*Sheet2!S$18,Sheet2!S$17+SQRT(3)*Sheet2!S$18)</f>
        <v>4.603415481589396</v>
      </c>
      <c r="R71" s="8" cm="1">
        <f t="array" aca="1" ref="R71" ca="1">[1]!UNIFORM_INV(RAND(),Sheet2!T$17-SQRT(3)*Sheet2!T$18,Sheet2!T$17+SQRT(3)*Sheet2!T$18)</f>
        <v>15.574798055588351</v>
      </c>
      <c r="S71" s="8" cm="1">
        <f t="array" aca="1" ref="S71" ca="1">[1]!UNIFORM_INV(RAND(),Sheet2!U$17-SQRT(3)*Sheet2!U$18,Sheet2!U$17+SQRT(3)*Sheet2!U$18)</f>
        <v>21.158186584189369</v>
      </c>
      <c r="T71" s="8" cm="1">
        <f t="array" aca="1" ref="T71" ca="1">[1]!UNIFORM_INV(RAND(),Sheet2!V$17-SQRT(3)*Sheet2!V$18,Sheet2!V$17+SQRT(3)*Sheet2!V$18)</f>
        <v>22.747866142158443</v>
      </c>
      <c r="U71" s="8" cm="1">
        <f t="array" aca="1" ref="U71" ca="1">[1]!UNIFORM_INV(RAND(),Sheet2!W$17-SQRT(3)*Sheet2!W$18,Sheet2!W$17+SQRT(3)*Sheet2!W$18)</f>
        <v>26.084675492861106</v>
      </c>
      <c r="V71" s="8" cm="1">
        <f t="array" aca="1" ref="V71" ca="1">[1]!UNIFORM_INV(RAND(),Sheet2!X$17-SQRT(3)*Sheet2!X$18,Sheet2!X$17+SQRT(3)*Sheet2!X$18)</f>
        <v>23.066654833059015</v>
      </c>
      <c r="W71" s="8" cm="1">
        <f t="array" aca="1" ref="W71" ca="1">[1]!UNIFORM_INV(RAND(),Sheet2!Y$17-SQRT(3)*Sheet2!Y$18,Sheet2!Y$17+SQRT(3)*Sheet2!Y$18)</f>
        <v>17.247658857361355</v>
      </c>
      <c r="X71" s="8" cm="1">
        <f t="array" aca="1" ref="X71" ca="1">[1]!UNIFORM_INV(RAND(),Sheet2!Z$17-SQRT(3)*Sheet2!Z$18,Sheet2!Z$17+SQRT(3)*Sheet2!Z$18)</f>
        <v>9.1024383613309947</v>
      </c>
      <c r="AX71" s="7">
        <f ca="1">Sheet2!C$17+('RNG HERE'!A71-'RNG HERE'!Y$62)*Sheet2!C$18/'RNG HERE'!Y$63</f>
        <v>5.2027148150828699</v>
      </c>
      <c r="AY71" s="7">
        <f ca="1">Sheet2!D$17+('RNG HERE'!B71-'RNG HERE'!Z$62)*Sheet2!D$18/'RNG HERE'!Z$63</f>
        <v>5.5370941247678243</v>
      </c>
      <c r="AZ71" s="7">
        <f ca="1">Sheet2!E$17+('RNG HERE'!C71-'RNG HERE'!AA$62)*Sheet2!E$18/'RNG HERE'!AA$63</f>
        <v>26.081337568394108</v>
      </c>
      <c r="BA71" s="7">
        <f ca="1">Sheet2!F$17+('RNG HERE'!D71-'RNG HERE'!AB$62)*Sheet2!F$18/'RNG HERE'!AB$63</f>
        <v>2.7059586119537773</v>
      </c>
      <c r="BB71" s="7">
        <f ca="1">Sheet2!G$17+('RNG HERE'!E71-'RNG HERE'!AC$62)*Sheet2!G$18/'RNG HERE'!AC$63</f>
        <v>27.433847152278783</v>
      </c>
      <c r="BC71" s="7">
        <f ca="1">Sheet2!H$17+('RNG HERE'!F71-'RNG HERE'!AD$62)*Sheet2!H$18/'RNG HERE'!AD$63</f>
        <v>21.00364928688067</v>
      </c>
      <c r="BD71" s="7">
        <f ca="1">Sheet2!I$17+('RNG HERE'!G71-'RNG HERE'!AE$62)*Sheet2!I$18/'RNG HERE'!AE$63</f>
        <v>11.84740264297222</v>
      </c>
      <c r="BE71" s="7">
        <f ca="1">Sheet2!J$17+('RNG HERE'!H71-'RNG HERE'!AF$62)*Sheet2!J$18/'RNG HERE'!AF$63</f>
        <v>27.468681571587979</v>
      </c>
      <c r="BF71" s="7">
        <f ca="1">Sheet2!K$17+('RNG HERE'!I71-'RNG HERE'!AG$62)*Sheet2!K$18/'RNG HERE'!AG$63</f>
        <v>21.079290649229378</v>
      </c>
      <c r="BG71" s="7">
        <f ca="1">Sheet2!L$17+('RNG HERE'!J71-'RNG HERE'!AH$62)*Sheet2!L$18/'RNG HERE'!AH$63</f>
        <v>24.741468739444787</v>
      </c>
      <c r="BH71" s="7">
        <f ca="1">Sheet2!M$17+('RNG HERE'!K71-'RNG HERE'!AI$62)*Sheet2!M$18/'RNG HERE'!AI$63</f>
        <v>21.701959699025618</v>
      </c>
      <c r="BI71" s="7">
        <f ca="1">Sheet2!N$17+('RNG HERE'!L71-'RNG HERE'!AJ$62)*Sheet2!N$18/'RNG HERE'!AJ$63</f>
        <v>18.606372546586563</v>
      </c>
      <c r="BJ71" s="7">
        <f ca="1">Sheet2!O$17+('RNG HERE'!M71-'RNG HERE'!AK$62)*Sheet2!O$18/'RNG HERE'!AK$63</f>
        <v>2.8099877535512912</v>
      </c>
      <c r="BK71" s="7">
        <f ca="1">Sheet2!P$17+('RNG HERE'!N71-'RNG HERE'!AL$62)*Sheet2!P$18/'RNG HERE'!AL$63</f>
        <v>17.994917064912126</v>
      </c>
      <c r="BL71" s="7">
        <f ca="1">Sheet2!Q$17+('RNG HERE'!O71-'RNG HERE'!AM$62)*Sheet2!Q$18/'RNG HERE'!AM$63</f>
        <v>9.5343141418439856</v>
      </c>
      <c r="BM71" s="7">
        <f ca="1">Sheet2!R$17+('RNG HERE'!P71-'RNG HERE'!AN$62)*Sheet2!R$18/'RNG HERE'!AN$63</f>
        <v>10.224648047947753</v>
      </c>
      <c r="BN71" s="7">
        <f ca="1">Sheet2!S$17+('RNG HERE'!Q71-'RNG HERE'!AO$62)*Sheet2!S$18/'RNG HERE'!AO$63</f>
        <v>4.7247953587382758</v>
      </c>
      <c r="BO71" s="7">
        <f ca="1">Sheet2!T$17+('RNG HERE'!R71-'RNG HERE'!AP$62)*Sheet2!T$18/'RNG HERE'!AP$63</f>
        <v>15.558051255571174</v>
      </c>
      <c r="BP71" s="7">
        <f ca="1">Sheet2!U$17+('RNG HERE'!S71-'RNG HERE'!AQ$62)*Sheet2!U$18/'RNG HERE'!AQ$63</f>
        <v>21.330846773047394</v>
      </c>
      <c r="BQ71" s="7">
        <f ca="1">Sheet2!V$17+('RNG HERE'!T71-'RNG HERE'!AR$62)*Sheet2!V$18/'RNG HERE'!AR$63</f>
        <v>23.051453080308857</v>
      </c>
      <c r="BR71" s="7">
        <f ca="1">Sheet2!W$17+('RNG HERE'!U71-'RNG HERE'!AS$62)*Sheet2!W$18/'RNG HERE'!AS$63</f>
        <v>25.884236016102122</v>
      </c>
      <c r="BS71" s="7">
        <f ca="1">Sheet2!X$17+('RNG HERE'!V71-'RNG HERE'!AT$62)*Sheet2!X$18/'RNG HERE'!AT$63</f>
        <v>22.443700159550307</v>
      </c>
      <c r="BT71" s="7">
        <f ca="1">Sheet2!Y$17+('RNG HERE'!W71-'RNG HERE'!AU$62)*Sheet2!Y$18/'RNG HERE'!AU$63</f>
        <v>17.31532016536508</v>
      </c>
      <c r="BU71" s="7">
        <f ca="1">Sheet2!Z$17+('RNG HERE'!X71-'RNG HERE'!AV$62)*Sheet2!Z$18/'RNG HERE'!AV$63</f>
        <v>9.0605832762447918</v>
      </c>
    </row>
    <row r="72" spans="1:73" x14ac:dyDescent="0.3">
      <c r="A72" s="8" cm="1">
        <f t="array" aca="1" ref="A72" ca="1">[1]!UNIFORM_INV(RAND(),Sheet2!C$17-SQRT(3)*Sheet2!C$18,Sheet2!C$17+SQRT(3)*Sheet2!C$18)</f>
        <v>6.5459385636868559</v>
      </c>
      <c r="B72" s="8" cm="1">
        <f t="array" aca="1" ref="B72" ca="1">[1]!UNIFORM_INV(RAND(),Sheet2!D$17-SQRT(3)*Sheet2!D$18,Sheet2!D$17+SQRT(3)*Sheet2!D$18)</f>
        <v>4.155178620615148</v>
      </c>
      <c r="C72" s="8" cm="1">
        <f t="array" aca="1" ref="C72" ca="1">[1]!UNIFORM_INV(RAND(),Sheet2!E$17-SQRT(3)*Sheet2!E$18,Sheet2!E$17+SQRT(3)*Sheet2!E$18)</f>
        <v>28.739385810458284</v>
      </c>
      <c r="D72" s="8" cm="1">
        <f t="array" aca="1" ref="D72" ca="1">[1]!UNIFORM_INV(RAND(),Sheet2!F$17-SQRT(3)*Sheet2!F$18,Sheet2!F$17+SQRT(3)*Sheet2!F$18)</f>
        <v>3.7598689218202193</v>
      </c>
      <c r="E72" s="8" cm="1">
        <f t="array" aca="1" ref="E72" ca="1">[1]!UNIFORM_INV(RAND(),Sheet2!G$17-SQRT(3)*Sheet2!G$18,Sheet2!G$17+SQRT(3)*Sheet2!G$18)</f>
        <v>30.668159981307181</v>
      </c>
      <c r="F72" s="8" cm="1">
        <f t="array" aca="1" ref="F72" ca="1">[1]!UNIFORM_INV(RAND(),Sheet2!H$17-SQRT(3)*Sheet2!H$18,Sheet2!H$17+SQRT(3)*Sheet2!H$18)</f>
        <v>20.672205837708955</v>
      </c>
      <c r="G72" s="8" cm="1">
        <f t="array" aca="1" ref="G72" ca="1">[1]!UNIFORM_INV(RAND(),Sheet2!I$17-SQRT(3)*Sheet2!I$18,Sheet2!I$17+SQRT(3)*Sheet2!I$18)</f>
        <v>9.4158901711812391</v>
      </c>
      <c r="H72" s="8" cm="1">
        <f t="array" aca="1" ref="H72" ca="1">[1]!UNIFORM_INV(RAND(),Sheet2!J$17-SQRT(3)*Sheet2!J$18,Sheet2!J$17+SQRT(3)*Sheet2!J$18)</f>
        <v>23.894284017160967</v>
      </c>
      <c r="I72" s="8" cm="1">
        <f t="array" aca="1" ref="I72" ca="1">[1]!UNIFORM_INV(RAND(),Sheet2!K$17-SQRT(3)*Sheet2!K$18,Sheet2!K$17+SQRT(3)*Sheet2!K$18)</f>
        <v>19.041204083748475</v>
      </c>
      <c r="J72" s="8" cm="1">
        <f t="array" aca="1" ref="J72" ca="1">[1]!UNIFORM_INV(RAND(),Sheet2!L$17-SQRT(3)*Sheet2!L$18,Sheet2!L$17+SQRT(3)*Sheet2!L$18)</f>
        <v>25.904884567811681</v>
      </c>
      <c r="K72" s="8" cm="1">
        <f t="array" aca="1" ref="K72" ca="1">[1]!UNIFORM_INV(RAND(),Sheet2!M$17-SQRT(3)*Sheet2!M$18,Sheet2!M$17+SQRT(3)*Sheet2!M$18)</f>
        <v>16.51463489698525</v>
      </c>
      <c r="L72" s="8" cm="1">
        <f t="array" aca="1" ref="L72" ca="1">[1]!UNIFORM_INV(RAND(),Sheet2!N$17-SQRT(3)*Sheet2!N$18,Sheet2!N$17+SQRT(3)*Sheet2!N$18)</f>
        <v>16.646140567853671</v>
      </c>
      <c r="M72" s="8" cm="1">
        <f t="array" aca="1" ref="M72" ca="1">[1]!UNIFORM_INV(RAND(),Sheet2!O$17-SQRT(3)*Sheet2!O$18,Sheet2!O$17+SQRT(3)*Sheet2!O$18)</f>
        <v>4.0726870122738408</v>
      </c>
      <c r="N72" s="8" cm="1">
        <f t="array" aca="1" ref="N72" ca="1">[1]!UNIFORM_INV(RAND(),Sheet2!P$17-SQRT(3)*Sheet2!P$18,Sheet2!P$17+SQRT(3)*Sheet2!P$18)</f>
        <v>20.774952005082358</v>
      </c>
      <c r="O72" s="8" cm="1">
        <f t="array" aca="1" ref="O72" ca="1">[1]!UNIFORM_INV(RAND(),Sheet2!Q$17-SQRT(3)*Sheet2!Q$18,Sheet2!Q$17+SQRT(3)*Sheet2!Q$18)</f>
        <v>11.634235609692309</v>
      </c>
      <c r="P72" s="8" cm="1">
        <f t="array" aca="1" ref="P72" ca="1">[1]!UNIFORM_INV(RAND(),Sheet2!R$17-SQRT(3)*Sheet2!R$18,Sheet2!R$17+SQRT(3)*Sheet2!R$18)</f>
        <v>11.000090259144924</v>
      </c>
      <c r="Q72" s="8" cm="1">
        <f t="array" aca="1" ref="Q72" ca="1">[1]!UNIFORM_INV(RAND(),Sheet2!S$17-SQRT(3)*Sheet2!S$18,Sheet2!S$17+SQRT(3)*Sheet2!S$18)</f>
        <v>4.1084528539590517</v>
      </c>
      <c r="R72" s="8" cm="1">
        <f t="array" aca="1" ref="R72" ca="1">[1]!UNIFORM_INV(RAND(),Sheet2!T$17-SQRT(3)*Sheet2!T$18,Sheet2!T$17+SQRT(3)*Sheet2!T$18)</f>
        <v>12.166244369021035</v>
      </c>
      <c r="S72" s="8" cm="1">
        <f t="array" aca="1" ref="S72" ca="1">[1]!UNIFORM_INV(RAND(),Sheet2!U$17-SQRT(3)*Sheet2!U$18,Sheet2!U$17+SQRT(3)*Sheet2!U$18)</f>
        <v>21.61391168233191</v>
      </c>
      <c r="T72" s="8" cm="1">
        <f t="array" aca="1" ref="T72" ca="1">[1]!UNIFORM_INV(RAND(),Sheet2!V$17-SQRT(3)*Sheet2!V$18,Sheet2!V$17+SQRT(3)*Sheet2!V$18)</f>
        <v>20.04998944512726</v>
      </c>
      <c r="U72" s="8" cm="1">
        <f t="array" aca="1" ref="U72" ca="1">[1]!UNIFORM_INV(RAND(),Sheet2!W$17-SQRT(3)*Sheet2!W$18,Sheet2!W$17+SQRT(3)*Sheet2!W$18)</f>
        <v>25.840193563428347</v>
      </c>
      <c r="V72" s="8" cm="1">
        <f t="array" aca="1" ref="V72" ca="1">[1]!UNIFORM_INV(RAND(),Sheet2!X$17-SQRT(3)*Sheet2!X$18,Sheet2!X$17+SQRT(3)*Sheet2!X$18)</f>
        <v>24.666753317998452</v>
      </c>
      <c r="W72" s="8" cm="1">
        <f t="array" aca="1" ref="W72" ca="1">[1]!UNIFORM_INV(RAND(),Sheet2!Y$17-SQRT(3)*Sheet2!Y$18,Sheet2!Y$17+SQRT(3)*Sheet2!Y$18)</f>
        <v>16.894800743153187</v>
      </c>
      <c r="X72" s="8" cm="1">
        <f t="array" aca="1" ref="X72" ca="1">[1]!UNIFORM_INV(RAND(),Sheet2!Z$17-SQRT(3)*Sheet2!Z$18,Sheet2!Z$17+SQRT(3)*Sheet2!Z$18)</f>
        <v>9.8783733945300956</v>
      </c>
      <c r="AX72" s="7">
        <f ca="1">Sheet2!C$17+('RNG HERE'!A72-'RNG HERE'!Y$62)*Sheet2!C$18/'RNG HERE'!Y$63</f>
        <v>6.8892842674015551</v>
      </c>
      <c r="AY72" s="7">
        <f ca="1">Sheet2!D$17+('RNG HERE'!B72-'RNG HERE'!Z$62)*Sheet2!D$18/'RNG HERE'!Z$63</f>
        <v>4.3694071280880582</v>
      </c>
      <c r="AZ72" s="7">
        <f ca="1">Sheet2!E$17+('RNG HERE'!C72-'RNG HERE'!AA$62)*Sheet2!E$18/'RNG HERE'!AA$63</f>
        <v>28.915166340930455</v>
      </c>
      <c r="BA72" s="7">
        <f ca="1">Sheet2!F$17+('RNG HERE'!D72-'RNG HERE'!AB$62)*Sheet2!F$18/'RNG HERE'!AB$63</f>
        <v>3.1326936644815282</v>
      </c>
      <c r="BB72" s="7">
        <f ca="1">Sheet2!G$17+('RNG HERE'!E72-'RNG HERE'!AC$62)*Sheet2!G$18/'RNG HERE'!AC$63</f>
        <v>32.033281247064558</v>
      </c>
      <c r="BC72" s="7">
        <f ca="1">Sheet2!H$17+('RNG HERE'!F72-'RNG HERE'!AD$62)*Sheet2!H$18/'RNG HERE'!AD$63</f>
        <v>21.344319053493237</v>
      </c>
      <c r="BD72" s="7">
        <f ca="1">Sheet2!I$17+('RNG HERE'!G72-'RNG HERE'!AE$62)*Sheet2!I$18/'RNG HERE'!AE$63</f>
        <v>9.6185366320178929</v>
      </c>
      <c r="BE72" s="7">
        <f ca="1">Sheet2!J$17+('RNG HERE'!H72-'RNG HERE'!AF$62)*Sheet2!J$18/'RNG HERE'!AF$63</f>
        <v>24.063654063793567</v>
      </c>
      <c r="BF72" s="7">
        <f ca="1">Sheet2!K$17+('RNG HERE'!I72-'RNG HERE'!AG$62)*Sheet2!K$18/'RNG HERE'!AG$63</f>
        <v>19.284768075912243</v>
      </c>
      <c r="BG72" s="7">
        <f ca="1">Sheet2!L$17+('RNG HERE'!J72-'RNG HERE'!AH$62)*Sheet2!L$18/'RNG HERE'!AH$63</f>
        <v>26.283010087877003</v>
      </c>
      <c r="BH72" s="7">
        <f ca="1">Sheet2!M$17+('RNG HERE'!K72-'RNG HERE'!AI$62)*Sheet2!M$18/'RNG HERE'!AI$63</f>
        <v>17.476844397476398</v>
      </c>
      <c r="BI72" s="7">
        <f ca="1">Sheet2!N$17+('RNG HERE'!L72-'RNG HERE'!AJ$62)*Sheet2!N$18/'RNG HERE'!AJ$63</f>
        <v>16.657738533503874</v>
      </c>
      <c r="BJ72" s="7">
        <f ca="1">Sheet2!O$17+('RNG HERE'!M72-'RNG HERE'!AK$62)*Sheet2!O$18/'RNG HERE'!AK$63</f>
        <v>3.8446170226820437</v>
      </c>
      <c r="BK72" s="7">
        <f ca="1">Sheet2!P$17+('RNG HERE'!N72-'RNG HERE'!AL$62)*Sheet2!P$18/'RNG HERE'!AL$63</f>
        <v>21.591797241508093</v>
      </c>
      <c r="BL72" s="7">
        <f ca="1">Sheet2!Q$17+('RNG HERE'!O72-'RNG HERE'!AM$62)*Sheet2!Q$18/'RNG HERE'!AM$63</f>
        <v>11.72067726882317</v>
      </c>
      <c r="BM72" s="7">
        <f ca="1">Sheet2!R$17+('RNG HERE'!P72-'RNG HERE'!AN$62)*Sheet2!R$18/'RNG HERE'!AN$63</f>
        <v>10.974321744481616</v>
      </c>
      <c r="BN72" s="7">
        <f ca="1">Sheet2!S$17+('RNG HERE'!Q72-'RNG HERE'!AO$62)*Sheet2!S$18/'RNG HERE'!AO$63</f>
        <v>4.1744707850981433</v>
      </c>
      <c r="BO72" s="7">
        <f ca="1">Sheet2!T$17+('RNG HERE'!R72-'RNG HERE'!AP$62)*Sheet2!T$18/'RNG HERE'!AP$63</f>
        <v>11.61353703739125</v>
      </c>
      <c r="BP72" s="7">
        <f ca="1">Sheet2!U$17+('RNG HERE'!S72-'RNG HERE'!AQ$62)*Sheet2!U$18/'RNG HERE'!AQ$63</f>
        <v>21.870411550675705</v>
      </c>
      <c r="BQ72" s="7">
        <f ca="1">Sheet2!V$17+('RNG HERE'!T72-'RNG HERE'!AR$62)*Sheet2!V$18/'RNG HERE'!AR$63</f>
        <v>20.273873739738185</v>
      </c>
      <c r="BR72" s="7">
        <f ca="1">Sheet2!W$17+('RNG HERE'!U72-'RNG HERE'!AS$62)*Sheet2!W$18/'RNG HERE'!AS$63</f>
        <v>25.597232772924354</v>
      </c>
      <c r="BS72" s="7">
        <f ca="1">Sheet2!X$17+('RNG HERE'!V72-'RNG HERE'!AT$62)*Sheet2!X$18/'RNG HERE'!AT$63</f>
        <v>23.943860774303598</v>
      </c>
      <c r="BT72" s="7">
        <f ca="1">Sheet2!Y$17+('RNG HERE'!W72-'RNG HERE'!AU$62)*Sheet2!Y$18/'RNG HERE'!AU$63</f>
        <v>16.947341794917389</v>
      </c>
      <c r="BU72" s="7">
        <f ca="1">Sheet2!Z$17+('RNG HERE'!X72-'RNG HERE'!AV$62)*Sheet2!Z$18/'RNG HERE'!AV$63</f>
        <v>9.8222618309595564</v>
      </c>
    </row>
    <row r="73" spans="1:73" x14ac:dyDescent="0.3">
      <c r="A73" s="8" cm="1">
        <f t="array" aca="1" ref="A73" ca="1">[1]!UNIFORM_INV(RAND(),Sheet2!C$17-SQRT(3)*Sheet2!C$18,Sheet2!C$17+SQRT(3)*Sheet2!C$18)</f>
        <v>6.1964371601463579</v>
      </c>
      <c r="B73" s="8" cm="1">
        <f t="array" aca="1" ref="B73" ca="1">[1]!UNIFORM_INV(RAND(),Sheet2!D$17-SQRT(3)*Sheet2!D$18,Sheet2!D$17+SQRT(3)*Sheet2!D$18)</f>
        <v>4.7347181488059782</v>
      </c>
      <c r="C73" s="8" cm="1">
        <f t="array" aca="1" ref="C73" ca="1">[1]!UNIFORM_INV(RAND(),Sheet2!E$17-SQRT(3)*Sheet2!E$18,Sheet2!E$17+SQRT(3)*Sheet2!E$18)</f>
        <v>27.252690060739859</v>
      </c>
      <c r="D73" s="8" cm="1">
        <f t="array" aca="1" ref="D73" ca="1">[1]!UNIFORM_INV(RAND(),Sheet2!F$17-SQRT(3)*Sheet2!F$18,Sheet2!F$17+SQRT(3)*Sheet2!F$18)</f>
        <v>8.2480891273180958</v>
      </c>
      <c r="E73" s="8" cm="1">
        <f t="array" aca="1" ref="E73" ca="1">[1]!UNIFORM_INV(RAND(),Sheet2!G$17-SQRT(3)*Sheet2!G$18,Sheet2!G$17+SQRT(3)*Sheet2!G$18)</f>
        <v>44.883952775911972</v>
      </c>
      <c r="F73" s="8" cm="1">
        <f t="array" aca="1" ref="F73" ca="1">[1]!UNIFORM_INV(RAND(),Sheet2!H$17-SQRT(3)*Sheet2!H$18,Sheet2!H$17+SQRT(3)*Sheet2!H$18)</f>
        <v>21.825309605105303</v>
      </c>
      <c r="G73" s="8" cm="1">
        <f t="array" aca="1" ref="G73" ca="1">[1]!UNIFORM_INV(RAND(),Sheet2!I$17-SQRT(3)*Sheet2!I$18,Sheet2!I$17+SQRT(3)*Sheet2!I$18)</f>
        <v>8.777075129471676</v>
      </c>
      <c r="H73" s="8" cm="1">
        <f t="array" aca="1" ref="H73" ca="1">[1]!UNIFORM_INV(RAND(),Sheet2!J$17-SQRT(3)*Sheet2!J$18,Sheet2!J$17+SQRT(3)*Sheet2!J$18)</f>
        <v>26.354684143223555</v>
      </c>
      <c r="I73" s="8" cm="1">
        <f t="array" aca="1" ref="I73" ca="1">[1]!UNIFORM_INV(RAND(),Sheet2!K$17-SQRT(3)*Sheet2!K$18,Sheet2!K$17+SQRT(3)*Sheet2!K$18)</f>
        <v>18.388066516732156</v>
      </c>
      <c r="J73" s="8" cm="1">
        <f t="array" aca="1" ref="J73" ca="1">[1]!UNIFORM_INV(RAND(),Sheet2!L$17-SQRT(3)*Sheet2!L$18,Sheet2!L$17+SQRT(3)*Sheet2!L$18)</f>
        <v>24.033286333315282</v>
      </c>
      <c r="K73" s="8" cm="1">
        <f t="array" aca="1" ref="K73" ca="1">[1]!UNIFORM_INV(RAND(),Sheet2!M$17-SQRT(3)*Sheet2!M$18,Sheet2!M$17+SQRT(3)*Sheet2!M$18)</f>
        <v>15.261969848571281</v>
      </c>
      <c r="L73" s="8" cm="1">
        <f t="array" aca="1" ref="L73" ca="1">[1]!UNIFORM_INV(RAND(),Sheet2!N$17-SQRT(3)*Sheet2!N$18,Sheet2!N$17+SQRT(3)*Sheet2!N$18)</f>
        <v>13.915439148955796</v>
      </c>
      <c r="M73" s="8" cm="1">
        <f t="array" aca="1" ref="M73" ca="1">[1]!UNIFORM_INV(RAND(),Sheet2!O$17-SQRT(3)*Sheet2!O$18,Sheet2!O$17+SQRT(3)*Sheet2!O$18)</f>
        <v>2.0398072713662101</v>
      </c>
      <c r="N73" s="8" cm="1">
        <f t="array" aca="1" ref="N73" ca="1">[1]!UNIFORM_INV(RAND(),Sheet2!P$17-SQRT(3)*Sheet2!P$18,Sheet2!P$17+SQRT(3)*Sheet2!P$18)</f>
        <v>16.149511827602275</v>
      </c>
      <c r="O73" s="8" cm="1">
        <f t="array" aca="1" ref="O73" ca="1">[1]!UNIFORM_INV(RAND(),Sheet2!Q$17-SQRT(3)*Sheet2!Q$18,Sheet2!Q$17+SQRT(3)*Sheet2!Q$18)</f>
        <v>13.76418809520915</v>
      </c>
      <c r="P73" s="8" cm="1">
        <f t="array" aca="1" ref="P73" ca="1">[1]!UNIFORM_INV(RAND(),Sheet2!R$17-SQRT(3)*Sheet2!R$18,Sheet2!R$17+SQRT(3)*Sheet2!R$18)</f>
        <v>9.6977485174545404</v>
      </c>
      <c r="Q73" s="8" cm="1">
        <f t="array" aca="1" ref="Q73" ca="1">[1]!UNIFORM_INV(RAND(),Sheet2!S$17-SQRT(3)*Sheet2!S$18,Sheet2!S$17+SQRT(3)*Sheet2!S$18)</f>
        <v>4.1838746516757181</v>
      </c>
      <c r="R73" s="8" cm="1">
        <f t="array" aca="1" ref="R73" ca="1">[1]!UNIFORM_INV(RAND(),Sheet2!T$17-SQRT(3)*Sheet2!T$18,Sheet2!T$17+SQRT(3)*Sheet2!T$18)</f>
        <v>15.22990510677727</v>
      </c>
      <c r="S73" s="8" cm="1">
        <f t="array" aca="1" ref="S73" ca="1">[1]!UNIFORM_INV(RAND(),Sheet2!U$17-SQRT(3)*Sheet2!U$18,Sheet2!U$17+SQRT(3)*Sheet2!U$18)</f>
        <v>21.010712087618263</v>
      </c>
      <c r="T73" s="8" cm="1">
        <f t="array" aca="1" ref="T73" ca="1">[1]!UNIFORM_INV(RAND(),Sheet2!V$17-SQRT(3)*Sheet2!V$18,Sheet2!V$17+SQRT(3)*Sheet2!V$18)</f>
        <v>20.808486709712774</v>
      </c>
      <c r="U73" s="8" cm="1">
        <f t="array" aca="1" ref="U73" ca="1">[1]!UNIFORM_INV(RAND(),Sheet2!W$17-SQRT(3)*Sheet2!W$18,Sheet2!W$17+SQRT(3)*Sheet2!W$18)</f>
        <v>28.673143145933796</v>
      </c>
      <c r="V73" s="8" cm="1">
        <f t="array" aca="1" ref="V73" ca="1">[1]!UNIFORM_INV(RAND(),Sheet2!X$17-SQRT(3)*Sheet2!X$18,Sheet2!X$17+SQRT(3)*Sheet2!X$18)</f>
        <v>23.61309701122903</v>
      </c>
      <c r="W73" s="8" cm="1">
        <f t="array" aca="1" ref="W73" ca="1">[1]!UNIFORM_INV(RAND(),Sheet2!Y$17-SQRT(3)*Sheet2!Y$18,Sheet2!Y$17+SQRT(3)*Sheet2!Y$18)</f>
        <v>19.07341518419566</v>
      </c>
      <c r="X73" s="8" cm="1">
        <f t="array" aca="1" ref="X73" ca="1">[1]!UNIFORM_INV(RAND(),Sheet2!Z$17-SQRT(3)*Sheet2!Z$18,Sheet2!Z$17+SQRT(3)*Sheet2!Z$18)</f>
        <v>10.072291870799756</v>
      </c>
      <c r="AX73" s="7">
        <f ca="1">Sheet2!C$17+('RNG HERE'!A73-'RNG HERE'!Y$62)*Sheet2!C$18/'RNG HERE'!Y$63</f>
        <v>6.495870108677317</v>
      </c>
      <c r="AY73" s="7">
        <f ca="1">Sheet2!D$17+('RNG HERE'!B73-'RNG HERE'!Z$62)*Sheet2!D$18/'RNG HERE'!Z$63</f>
        <v>4.9400047285600532</v>
      </c>
      <c r="AZ73" s="7">
        <f ca="1">Sheet2!E$17+('RNG HERE'!C73-'RNG HERE'!AA$62)*Sheet2!E$18/'RNG HERE'!AA$63</f>
        <v>27.247723973183085</v>
      </c>
      <c r="BA73" s="7">
        <f ca="1">Sheet2!F$17+('RNG HERE'!D73-'RNG HERE'!AB$62)*Sheet2!F$18/'RNG HERE'!AB$63</f>
        <v>7.2667048249642594</v>
      </c>
      <c r="BB73" s="7">
        <f ca="1">Sheet2!G$17+('RNG HERE'!E73-'RNG HERE'!AC$62)*Sheet2!G$18/'RNG HERE'!AC$63</f>
        <v>45.539821110227692</v>
      </c>
      <c r="BC73" s="7">
        <f ca="1">Sheet2!H$17+('RNG HERE'!F73-'RNG HERE'!AD$62)*Sheet2!H$18/'RNG HERE'!AD$63</f>
        <v>22.49065390179199</v>
      </c>
      <c r="BD73" s="7">
        <f ca="1">Sheet2!I$17+('RNG HERE'!G73-'RNG HERE'!AE$62)*Sheet2!I$18/'RNG HERE'!AE$63</f>
        <v>8.9919323741568196</v>
      </c>
      <c r="BE73" s="7">
        <f ca="1">Sheet2!J$17+('RNG HERE'!H73-'RNG HERE'!AF$62)*Sheet2!J$18/'RNG HERE'!AF$63</f>
        <v>26.50146854489326</v>
      </c>
      <c r="BF73" s="7">
        <f ca="1">Sheet2!K$17+('RNG HERE'!I73-'RNG HERE'!AG$62)*Sheet2!K$18/'RNG HERE'!AG$63</f>
        <v>18.68815457067322</v>
      </c>
      <c r="BG73" s="7">
        <f ca="1">Sheet2!L$17+('RNG HERE'!J73-'RNG HERE'!AH$62)*Sheet2!L$18/'RNG HERE'!AH$63</f>
        <v>24.269919481439782</v>
      </c>
      <c r="BH73" s="7">
        <f ca="1">Sheet2!M$17+('RNG HERE'!K73-'RNG HERE'!AI$62)*Sheet2!M$18/'RNG HERE'!AI$63</f>
        <v>16.083346755736162</v>
      </c>
      <c r="BI73" s="7">
        <f ca="1">Sheet2!N$17+('RNG HERE'!L73-'RNG HERE'!AJ$62)*Sheet2!N$18/'RNG HERE'!AJ$63</f>
        <v>13.530656208659968</v>
      </c>
      <c r="BJ73" s="7">
        <f ca="1">Sheet2!O$17+('RNG HERE'!M73-'RNG HERE'!AK$62)*Sheet2!O$18/'RNG HERE'!AK$63</f>
        <v>1.7309773522246981</v>
      </c>
      <c r="BK73" s="7">
        <f ca="1">Sheet2!P$17+('RNG HERE'!N73-'RNG HERE'!AL$62)*Sheet2!P$18/'RNG HERE'!AL$63</f>
        <v>16.353053455522165</v>
      </c>
      <c r="BL73" s="7">
        <f ca="1">Sheet2!Q$17+('RNG HERE'!O73-'RNG HERE'!AM$62)*Sheet2!Q$18/'RNG HERE'!AM$63</f>
        <v>13.946301298667716</v>
      </c>
      <c r="BM73" s="7">
        <f ca="1">Sheet2!R$17+('RNG HERE'!P73-'RNG HERE'!AN$62)*Sheet2!R$18/'RNG HERE'!AN$63</f>
        <v>9.7357983308334877</v>
      </c>
      <c r="BN73" s="7">
        <f ca="1">Sheet2!S$17+('RNG HERE'!Q73-'RNG HERE'!AO$62)*Sheet2!S$18/'RNG HERE'!AO$63</f>
        <v>4.2583285682004979</v>
      </c>
      <c r="BO73" s="7">
        <f ca="1">Sheet2!T$17+('RNG HERE'!R73-'RNG HERE'!AP$62)*Sheet2!T$18/'RNG HERE'!AP$63</f>
        <v>15.15892738502848</v>
      </c>
      <c r="BP73" s="7">
        <f ca="1">Sheet2!U$17+('RNG HERE'!S73-'RNG HERE'!AQ$62)*Sheet2!U$18/'RNG HERE'!AQ$63</f>
        <v>21.156241414965166</v>
      </c>
      <c r="BQ73" s="7">
        <f ca="1">Sheet2!V$17+('RNG HERE'!T73-'RNG HERE'!AR$62)*Sheet2!V$18/'RNG HERE'!AR$63</f>
        <v>21.054779084415522</v>
      </c>
      <c r="BR73" s="7">
        <f ca="1">Sheet2!W$17+('RNG HERE'!U73-'RNG HERE'!AS$62)*Sheet2!W$18/'RNG HERE'!AS$63</f>
        <v>28.922900726480783</v>
      </c>
      <c r="BS73" s="7">
        <f ca="1">Sheet2!X$17+('RNG HERE'!V73-'RNG HERE'!AT$62)*Sheet2!X$18/'RNG HERE'!AT$63</f>
        <v>22.956013021318739</v>
      </c>
      <c r="BT73" s="7">
        <f ca="1">Sheet2!Y$17+('RNG HERE'!W73-'RNG HERE'!AU$62)*Sheet2!Y$18/'RNG HERE'!AU$63</f>
        <v>19.219311630860183</v>
      </c>
      <c r="BU73" s="7">
        <f ca="1">Sheet2!Z$17+('RNG HERE'!X73-'RNG HERE'!AV$62)*Sheet2!Z$18/'RNG HERE'!AV$63</f>
        <v>10.012617387053728</v>
      </c>
    </row>
    <row r="74" spans="1:73" x14ac:dyDescent="0.3">
      <c r="A74" s="8" cm="1">
        <f t="array" aca="1" ref="A74" ca="1">[1]!UNIFORM_INV(RAND(),Sheet2!C$17-SQRT(3)*Sheet2!C$18,Sheet2!C$17+SQRT(3)*Sheet2!C$18)</f>
        <v>5.5842866834890614</v>
      </c>
      <c r="B74" s="8" cm="1">
        <f t="array" aca="1" ref="B74" ca="1">[1]!UNIFORM_INV(RAND(),Sheet2!D$17-SQRT(3)*Sheet2!D$18,Sheet2!D$17+SQRT(3)*Sheet2!D$18)</f>
        <v>5.1764611305858148</v>
      </c>
      <c r="C74" s="8" cm="1">
        <f t="array" aca="1" ref="C74" ca="1">[1]!UNIFORM_INV(RAND(),Sheet2!E$17-SQRT(3)*Sheet2!E$18,Sheet2!E$17+SQRT(3)*Sheet2!E$18)</f>
        <v>28.402571323926267</v>
      </c>
      <c r="D74" s="8" cm="1">
        <f t="array" aca="1" ref="D74" ca="1">[1]!UNIFORM_INV(RAND(),Sheet2!F$17-SQRT(3)*Sheet2!F$18,Sheet2!F$17+SQRT(3)*Sheet2!F$18)</f>
        <v>-1.3957856022784738</v>
      </c>
      <c r="E74" s="8" cm="1">
        <f t="array" aca="1" ref="E74" ca="1">[1]!UNIFORM_INV(RAND(),Sheet2!G$17-SQRT(3)*Sheet2!G$18,Sheet2!G$17+SQRT(3)*Sheet2!G$18)</f>
        <v>27.988784643923054</v>
      </c>
      <c r="F74" s="8" cm="1">
        <f t="array" aca="1" ref="F74" ca="1">[1]!UNIFORM_INV(RAND(),Sheet2!H$17-SQRT(3)*Sheet2!H$18,Sheet2!H$17+SQRT(3)*Sheet2!H$18)</f>
        <v>15.654326770975116</v>
      </c>
      <c r="G74" s="8" cm="1">
        <f t="array" aca="1" ref="G74" ca="1">[1]!UNIFORM_INV(RAND(),Sheet2!I$17-SQRT(3)*Sheet2!I$18,Sheet2!I$17+SQRT(3)*Sheet2!I$18)</f>
        <v>11.119667902873051</v>
      </c>
      <c r="H74" s="8" cm="1">
        <f t="array" aca="1" ref="H74" ca="1">[1]!UNIFORM_INV(RAND(),Sheet2!J$17-SQRT(3)*Sheet2!J$18,Sheet2!J$17+SQRT(3)*Sheet2!J$18)</f>
        <v>23.492024864653903</v>
      </c>
      <c r="I74" s="8" cm="1">
        <f t="array" aca="1" ref="I74" ca="1">[1]!UNIFORM_INV(RAND(),Sheet2!K$17-SQRT(3)*Sheet2!K$18,Sheet2!K$17+SQRT(3)*Sheet2!K$18)</f>
        <v>22.189142769647045</v>
      </c>
      <c r="J74" s="8" cm="1">
        <f t="array" aca="1" ref="J74" ca="1">[1]!UNIFORM_INV(RAND(),Sheet2!L$17-SQRT(3)*Sheet2!L$18,Sheet2!L$17+SQRT(3)*Sheet2!L$18)</f>
        <v>23.003590829791793</v>
      </c>
      <c r="K74" s="8" cm="1">
        <f t="array" aca="1" ref="K74" ca="1">[1]!UNIFORM_INV(RAND(),Sheet2!M$17-SQRT(3)*Sheet2!M$18,Sheet2!M$17+SQRT(3)*Sheet2!M$18)</f>
        <v>18.433872698600556</v>
      </c>
      <c r="L74" s="8" cm="1">
        <f t="array" aca="1" ref="L74" ca="1">[1]!UNIFORM_INV(RAND(),Sheet2!N$17-SQRT(3)*Sheet2!N$18,Sheet2!N$17+SQRT(3)*Sheet2!N$18)</f>
        <v>13.920138084296276</v>
      </c>
      <c r="M74" s="8" cm="1">
        <f t="array" aca="1" ref="M74" ca="1">[1]!UNIFORM_INV(RAND(),Sheet2!O$17-SQRT(3)*Sheet2!O$18,Sheet2!O$17+SQRT(3)*Sheet2!O$18)</f>
        <v>4.7135772208756936</v>
      </c>
      <c r="N74" s="8" cm="1">
        <f t="array" aca="1" ref="N74" ca="1">[1]!UNIFORM_INV(RAND(),Sheet2!P$17-SQRT(3)*Sheet2!P$18,Sheet2!P$17+SQRT(3)*Sheet2!P$18)</f>
        <v>13.958132081174973</v>
      </c>
      <c r="O74" s="8" cm="1">
        <f t="array" aca="1" ref="O74" ca="1">[1]!UNIFORM_INV(RAND(),Sheet2!Q$17-SQRT(3)*Sheet2!Q$18,Sheet2!Q$17+SQRT(3)*Sheet2!Q$18)</f>
        <v>12.223379207487801</v>
      </c>
      <c r="P74" s="8" cm="1">
        <f t="array" aca="1" ref="P74" ca="1">[1]!UNIFORM_INV(RAND(),Sheet2!R$17-SQRT(3)*Sheet2!R$18,Sheet2!R$17+SQRT(3)*Sheet2!R$18)</f>
        <v>10.812142473818305</v>
      </c>
      <c r="Q74" s="8" cm="1">
        <f t="array" aca="1" ref="Q74" ca="1">[1]!UNIFORM_INV(RAND(),Sheet2!S$17-SQRT(3)*Sheet2!S$18,Sheet2!S$17+SQRT(3)*Sheet2!S$18)</f>
        <v>4.5189565739345214</v>
      </c>
      <c r="R74" s="8" cm="1">
        <f t="array" aca="1" ref="R74" ca="1">[1]!UNIFORM_INV(RAND(),Sheet2!T$17-SQRT(3)*Sheet2!T$18,Sheet2!T$17+SQRT(3)*Sheet2!T$18)</f>
        <v>14.082893306220667</v>
      </c>
      <c r="S74" s="8" cm="1">
        <f t="array" aca="1" ref="S74" ca="1">[1]!UNIFORM_INV(RAND(),Sheet2!U$17-SQRT(3)*Sheet2!U$18,Sheet2!U$17+SQRT(3)*Sheet2!U$18)</f>
        <v>20.406815956327215</v>
      </c>
      <c r="T74" s="8" cm="1">
        <f t="array" aca="1" ref="T74" ca="1">[1]!UNIFORM_INV(RAND(),Sheet2!V$17-SQRT(3)*Sheet2!V$18,Sheet2!V$17+SQRT(3)*Sheet2!V$18)</f>
        <v>20.610339473498794</v>
      </c>
      <c r="U74" s="8" cm="1">
        <f t="array" aca="1" ref="U74" ca="1">[1]!UNIFORM_INV(RAND(),Sheet2!W$17-SQRT(3)*Sheet2!W$18,Sheet2!W$17+SQRT(3)*Sheet2!W$18)</f>
        <v>28.441195226274385</v>
      </c>
      <c r="V74" s="8" cm="1">
        <f t="array" aca="1" ref="V74" ca="1">[1]!UNIFORM_INV(RAND(),Sheet2!X$17-SQRT(3)*Sheet2!X$18,Sheet2!X$17+SQRT(3)*Sheet2!X$18)</f>
        <v>19.521357529399186</v>
      </c>
      <c r="W74" s="8" cm="1">
        <f t="array" aca="1" ref="W74" ca="1">[1]!UNIFORM_INV(RAND(),Sheet2!Y$17-SQRT(3)*Sheet2!Y$18,Sheet2!Y$17+SQRT(3)*Sheet2!Y$18)</f>
        <v>21.123828600966913</v>
      </c>
      <c r="X74" s="8" cm="1">
        <f t="array" aca="1" ref="X74" ca="1">[1]!UNIFORM_INV(RAND(),Sheet2!Z$17-SQRT(3)*Sheet2!Z$18,Sheet2!Z$17+SQRT(3)*Sheet2!Z$18)</f>
        <v>11.094829264697978</v>
      </c>
      <c r="AX74" s="7">
        <f ca="1">Sheet2!C$17+('RNG HERE'!A74-'RNG HERE'!Y$62)*Sheet2!C$18/'RNG HERE'!Y$63</f>
        <v>5.8068065960643676</v>
      </c>
      <c r="AY74" s="7">
        <f ca="1">Sheet2!D$17+('RNG HERE'!B74-'RNG HERE'!Z$62)*Sheet2!D$18/'RNG HERE'!Z$63</f>
        <v>5.374931896023118</v>
      </c>
      <c r="AZ74" s="7">
        <f ca="1">Sheet2!E$17+('RNG HERE'!C74-'RNG HERE'!AA$62)*Sheet2!E$18/'RNG HERE'!AA$63</f>
        <v>28.537403274734206</v>
      </c>
      <c r="BA74" s="7">
        <f ca="1">Sheet2!F$17+('RNG HERE'!D74-'RNG HERE'!AB$62)*Sheet2!F$18/'RNG HERE'!AB$63</f>
        <v>-1.6160780905471386</v>
      </c>
      <c r="BB74" s="7">
        <f ca="1">Sheet2!G$17+('RNG HERE'!E74-'RNG HERE'!AC$62)*Sheet2!G$18/'RNG HERE'!AC$63</f>
        <v>29.487585039640276</v>
      </c>
      <c r="BC74" s="7">
        <f ca="1">Sheet2!H$17+('RNG HERE'!F74-'RNG HERE'!AD$62)*Sheet2!H$18/'RNG HERE'!AD$63</f>
        <v>16.355895807132725</v>
      </c>
      <c r="BD74" s="7">
        <f ca="1">Sheet2!I$17+('RNG HERE'!G74-'RNG HERE'!AE$62)*Sheet2!I$18/'RNG HERE'!AE$63</f>
        <v>11.289747094235455</v>
      </c>
      <c r="BE74" s="7">
        <f ca="1">Sheet2!J$17+('RNG HERE'!H74-'RNG HERE'!AF$62)*Sheet2!J$18/'RNG HERE'!AF$63</f>
        <v>23.665087514902215</v>
      </c>
      <c r="BF74" s="7">
        <f ca="1">Sheet2!K$17+('RNG HERE'!I74-'RNG HERE'!AG$62)*Sheet2!K$18/'RNG HERE'!AG$63</f>
        <v>22.160276741339455</v>
      </c>
      <c r="BG74" s="7">
        <f ca="1">Sheet2!L$17+('RNG HERE'!J74-'RNG HERE'!AH$62)*Sheet2!L$18/'RNG HERE'!AH$63</f>
        <v>23.162379247949694</v>
      </c>
      <c r="BH74" s="7">
        <f ca="1">Sheet2!M$17+('RNG HERE'!K74-'RNG HERE'!AI$62)*Sheet2!M$18/'RNG HERE'!AI$63</f>
        <v>19.611855152247465</v>
      </c>
      <c r="BI74" s="7">
        <f ca="1">Sheet2!N$17+('RNG HERE'!L74-'RNG HERE'!AJ$62)*Sheet2!N$18/'RNG HERE'!AJ$63</f>
        <v>13.536037228183783</v>
      </c>
      <c r="BJ74" s="7">
        <f ca="1">Sheet2!O$17+('RNG HERE'!M74-'RNG HERE'!AK$62)*Sheet2!O$18/'RNG HERE'!AK$63</f>
        <v>4.5109677870926133</v>
      </c>
      <c r="BK74" s="7">
        <f ca="1">Sheet2!P$17+('RNG HERE'!N74-'RNG HERE'!AL$62)*Sheet2!P$18/'RNG HERE'!AL$63</f>
        <v>13.871110853556502</v>
      </c>
      <c r="BL74" s="7">
        <f ca="1">Sheet2!Q$17+('RNG HERE'!O74-'RNG HERE'!AM$62)*Sheet2!Q$18/'RNG HERE'!AM$63</f>
        <v>12.336283559197552</v>
      </c>
      <c r="BM74" s="7">
        <f ca="1">Sheet2!R$17+('RNG HERE'!P74-'RNG HERE'!AN$62)*Sheet2!R$18/'RNG HERE'!AN$63</f>
        <v>10.795583917674195</v>
      </c>
      <c r="BN74" s="7">
        <f ca="1">Sheet2!S$17+('RNG HERE'!Q74-'RNG HERE'!AO$62)*Sheet2!S$18/'RNG HERE'!AO$63</f>
        <v>4.6308896580840582</v>
      </c>
      <c r="BO74" s="7">
        <f ca="1">Sheet2!T$17+('RNG HERE'!R74-'RNG HERE'!AP$62)*Sheet2!T$18/'RNG HERE'!AP$63</f>
        <v>13.831559600403059</v>
      </c>
      <c r="BP74" s="7">
        <f ca="1">Sheet2!U$17+('RNG HERE'!S74-'RNG HERE'!AQ$62)*Sheet2!U$18/'RNG HERE'!AQ$63</f>
        <v>20.44124660094521</v>
      </c>
      <c r="BQ74" s="7">
        <f ca="1">Sheet2!V$17+('RNG HERE'!T74-'RNG HERE'!AR$62)*Sheet2!V$18/'RNG HERE'!AR$63</f>
        <v>20.850778037849988</v>
      </c>
      <c r="BR74" s="7">
        <f ca="1">Sheet2!W$17+('RNG HERE'!U74-'RNG HERE'!AS$62)*Sheet2!W$18/'RNG HERE'!AS$63</f>
        <v>28.650611460173693</v>
      </c>
      <c r="BS74" s="7">
        <f ca="1">Sheet2!X$17+('RNG HERE'!V74-'RNG HERE'!AT$62)*Sheet2!X$18/'RNG HERE'!AT$63</f>
        <v>19.119832639768969</v>
      </c>
      <c r="BT74" s="7">
        <f ca="1">Sheet2!Y$17+('RNG HERE'!W74-'RNG HERE'!AU$62)*Sheet2!Y$18/'RNG HERE'!AU$63</f>
        <v>21.357586924715115</v>
      </c>
      <c r="BU74" s="7">
        <f ca="1">Sheet2!Z$17+('RNG HERE'!X74-'RNG HERE'!AV$62)*Sheet2!Z$18/'RNG HERE'!AV$63</f>
        <v>11.016367406066408</v>
      </c>
    </row>
    <row r="75" spans="1:73" x14ac:dyDescent="0.3">
      <c r="A75" s="8" cm="1">
        <f t="array" aca="1" ref="A75" ca="1">[1]!UNIFORM_INV(RAND(),Sheet2!C$17-SQRT(3)*Sheet2!C$18,Sheet2!C$17+SQRT(3)*Sheet2!C$18)</f>
        <v>5.0263941437447421</v>
      </c>
      <c r="B75" s="8" cm="1">
        <f t="array" aca="1" ref="B75" ca="1">[1]!UNIFORM_INV(RAND(),Sheet2!D$17-SQRT(3)*Sheet2!D$18,Sheet2!D$17+SQRT(3)*Sheet2!D$18)</f>
        <v>6.1687233331297984</v>
      </c>
      <c r="C75" s="8" cm="1">
        <f t="array" aca="1" ref="C75" ca="1">[1]!UNIFORM_INV(RAND(),Sheet2!E$17-SQRT(3)*Sheet2!E$18,Sheet2!E$17+SQRT(3)*Sheet2!E$18)</f>
        <v>27.301277745052666</v>
      </c>
      <c r="D75" s="8" cm="1">
        <f t="array" aca="1" ref="D75" ca="1">[1]!UNIFORM_INV(RAND(),Sheet2!F$17-SQRT(3)*Sheet2!F$18,Sheet2!F$17+SQRT(3)*Sheet2!F$18)</f>
        <v>-4.5981378821004157E-2</v>
      </c>
      <c r="E75" s="8" cm="1">
        <f t="array" aca="1" ref="E75" ca="1">[1]!UNIFORM_INV(RAND(),Sheet2!G$17-SQRT(3)*Sheet2!G$18,Sheet2!G$17+SQRT(3)*Sheet2!G$18)</f>
        <v>23.51673066989018</v>
      </c>
      <c r="F75" s="8" cm="1">
        <f t="array" aca="1" ref="F75" ca="1">[1]!UNIFORM_INV(RAND(),Sheet2!H$17-SQRT(3)*Sheet2!H$18,Sheet2!H$17+SQRT(3)*Sheet2!H$18)</f>
        <v>21.769794384172862</v>
      </c>
      <c r="G75" s="8" cm="1">
        <f t="array" aca="1" ref="G75" ca="1">[1]!UNIFORM_INV(RAND(),Sheet2!I$17-SQRT(3)*Sheet2!I$18,Sheet2!I$17+SQRT(3)*Sheet2!I$18)</f>
        <v>9.6264042576392157</v>
      </c>
      <c r="H75" s="8" cm="1">
        <f t="array" aca="1" ref="H75" ca="1">[1]!UNIFORM_INV(RAND(),Sheet2!J$17-SQRT(3)*Sheet2!J$18,Sheet2!J$17+SQRT(3)*Sheet2!J$18)</f>
        <v>27.122190839536469</v>
      </c>
      <c r="I75" s="8" cm="1">
        <f t="array" aca="1" ref="I75" ca="1">[1]!UNIFORM_INV(RAND(),Sheet2!K$17-SQRT(3)*Sheet2!K$18,Sheet2!K$17+SQRT(3)*Sheet2!K$18)</f>
        <v>22.826837123339121</v>
      </c>
      <c r="J75" s="8" cm="1">
        <f t="array" aca="1" ref="J75" ca="1">[1]!UNIFORM_INV(RAND(),Sheet2!L$17-SQRT(3)*Sheet2!L$18,Sheet2!L$17+SQRT(3)*Sheet2!L$18)</f>
        <v>28.914761684786097</v>
      </c>
      <c r="K75" s="8" cm="1">
        <f t="array" aca="1" ref="K75" ca="1">[1]!UNIFORM_INV(RAND(),Sheet2!M$17-SQRT(3)*Sheet2!M$18,Sheet2!M$17+SQRT(3)*Sheet2!M$18)</f>
        <v>15.068465447187355</v>
      </c>
      <c r="L75" s="8" cm="1">
        <f t="array" aca="1" ref="L75" ca="1">[1]!UNIFORM_INV(RAND(),Sheet2!N$17-SQRT(3)*Sheet2!N$18,Sheet2!N$17+SQRT(3)*Sheet2!N$18)</f>
        <v>17.467802551096714</v>
      </c>
      <c r="M75" s="8" cm="1">
        <f t="array" aca="1" ref="M75" ca="1">[1]!UNIFORM_INV(RAND(),Sheet2!O$17-SQRT(3)*Sheet2!O$18,Sheet2!O$17+SQRT(3)*Sheet2!O$18)</f>
        <v>5.218161500147283</v>
      </c>
      <c r="N75" s="8" cm="1">
        <f t="array" aca="1" ref="N75" ca="1">[1]!UNIFORM_INV(RAND(),Sheet2!P$17-SQRT(3)*Sheet2!P$18,Sheet2!P$17+SQRT(3)*Sheet2!P$18)</f>
        <v>17.795068908683941</v>
      </c>
      <c r="O75" s="8" cm="1">
        <f t="array" aca="1" ref="O75" ca="1">[1]!UNIFORM_INV(RAND(),Sheet2!Q$17-SQRT(3)*Sheet2!Q$18,Sheet2!Q$17+SQRT(3)*Sheet2!Q$18)</f>
        <v>12.162221225060328</v>
      </c>
      <c r="P75" s="8" cm="1">
        <f t="array" aca="1" ref="P75" ca="1">[1]!UNIFORM_INV(RAND(),Sheet2!R$17-SQRT(3)*Sheet2!R$18,Sheet2!R$17+SQRT(3)*Sheet2!R$18)</f>
        <v>11.986364558872346</v>
      </c>
      <c r="Q75" s="8" cm="1">
        <f t="array" aca="1" ref="Q75" ca="1">[1]!UNIFORM_INV(RAND(),Sheet2!S$17-SQRT(3)*Sheet2!S$18,Sheet2!S$17+SQRT(3)*Sheet2!S$18)</f>
        <v>3.6669369882732599</v>
      </c>
      <c r="R75" s="8" cm="1">
        <f t="array" aca="1" ref="R75" ca="1">[1]!UNIFORM_INV(RAND(),Sheet2!T$17-SQRT(3)*Sheet2!T$18,Sheet2!T$17+SQRT(3)*Sheet2!T$18)</f>
        <v>11.75899797399898</v>
      </c>
      <c r="S75" s="8" cm="1">
        <f t="array" aca="1" ref="S75" ca="1">[1]!UNIFORM_INV(RAND(),Sheet2!U$17-SQRT(3)*Sheet2!U$18,Sheet2!U$17+SQRT(3)*Sheet2!U$18)</f>
        <v>22.95533921622896</v>
      </c>
      <c r="T75" s="8" cm="1">
        <f t="array" aca="1" ref="T75" ca="1">[1]!UNIFORM_INV(RAND(),Sheet2!V$17-SQRT(3)*Sheet2!V$18,Sheet2!V$17+SQRT(3)*Sheet2!V$18)</f>
        <v>19.889205729242676</v>
      </c>
      <c r="U75" s="8" cm="1">
        <f t="array" aca="1" ref="U75" ca="1">[1]!UNIFORM_INV(RAND(),Sheet2!W$17-SQRT(3)*Sheet2!W$18,Sheet2!W$17+SQRT(3)*Sheet2!W$18)</f>
        <v>27.136920151855957</v>
      </c>
      <c r="V75" s="8" cm="1">
        <f t="array" aca="1" ref="V75" ca="1">[1]!UNIFORM_INV(RAND(),Sheet2!X$17-SQRT(3)*Sheet2!X$18,Sheet2!X$17+SQRT(3)*Sheet2!X$18)</f>
        <v>21.552230888817689</v>
      </c>
      <c r="W75" s="8" cm="1">
        <f t="array" aca="1" ref="W75" ca="1">[1]!UNIFORM_INV(RAND(),Sheet2!Y$17-SQRT(3)*Sheet2!Y$18,Sheet2!Y$17+SQRT(3)*Sheet2!Y$18)</f>
        <v>18.812569083917161</v>
      </c>
      <c r="X75" s="8" cm="1">
        <f t="array" aca="1" ref="X75" ca="1">[1]!UNIFORM_INV(RAND(),Sheet2!Z$17-SQRT(3)*Sheet2!Z$18,Sheet2!Z$17+SQRT(3)*Sheet2!Z$18)</f>
        <v>8.2473345681065791</v>
      </c>
      <c r="AX75" s="7">
        <f ca="1">Sheet2!C$17+('RNG HERE'!A75-'RNG HERE'!Y$62)*Sheet2!C$18/'RNG HERE'!Y$63</f>
        <v>5.1788182047198745</v>
      </c>
      <c r="AY75" s="7">
        <f ca="1">Sheet2!D$17+('RNG HERE'!B75-'RNG HERE'!Z$62)*Sheet2!D$18/'RNG HERE'!Z$63</f>
        <v>6.3518841214875774</v>
      </c>
      <c r="AZ75" s="7">
        <f ca="1">Sheet2!E$17+('RNG HERE'!C75-'RNG HERE'!AA$62)*Sheet2!E$18/'RNG HERE'!AA$63</f>
        <v>27.302218756927005</v>
      </c>
      <c r="BA75" s="7">
        <f ca="1">Sheet2!F$17+('RNG HERE'!D75-'RNG HERE'!AB$62)*Sheet2!F$18/'RNG HERE'!AB$63</f>
        <v>-0.37280002736197826</v>
      </c>
      <c r="BB75" s="7">
        <f ca="1">Sheet2!G$17+('RNG HERE'!E75-'RNG HERE'!AC$62)*Sheet2!G$18/'RNG HERE'!AC$63</f>
        <v>25.238650341224016</v>
      </c>
      <c r="BC75" s="7">
        <f ca="1">Sheet2!H$17+('RNG HERE'!F75-'RNG HERE'!AD$62)*Sheet2!H$18/'RNG HERE'!AD$63</f>
        <v>22.435464564834437</v>
      </c>
      <c r="BD75" s="7">
        <f ca="1">Sheet2!I$17+('RNG HERE'!G75-'RNG HERE'!AE$62)*Sheet2!I$18/'RNG HERE'!AE$63</f>
        <v>9.8250267963090998</v>
      </c>
      <c r="BE75" s="7">
        <f ca="1">Sheet2!J$17+('RNG HERE'!H75-'RNG HERE'!AF$62)*Sheet2!J$18/'RNG HERE'!AF$63</f>
        <v>27.261929788084164</v>
      </c>
      <c r="BF75" s="7">
        <f ca="1">Sheet2!K$17+('RNG HERE'!I75-'RNG HERE'!AG$62)*Sheet2!K$18/'RNG HERE'!AG$63</f>
        <v>22.742783525270717</v>
      </c>
      <c r="BG75" s="7">
        <f ca="1">Sheet2!L$17+('RNG HERE'!J75-'RNG HERE'!AH$62)*Sheet2!L$18/'RNG HERE'!AH$63</f>
        <v>29.520433183834296</v>
      </c>
      <c r="BH75" s="7">
        <f ca="1">Sheet2!M$17+('RNG HERE'!K75-'RNG HERE'!AI$62)*Sheet2!M$18/'RNG HERE'!AI$63</f>
        <v>15.868087355518789</v>
      </c>
      <c r="BI75" s="7">
        <f ca="1">Sheet2!N$17+('RNG HERE'!L75-'RNG HERE'!AJ$62)*Sheet2!N$18/'RNG HERE'!AJ$63</f>
        <v>17.598670649704456</v>
      </c>
      <c r="BJ75" s="7">
        <f ca="1">Sheet2!O$17+('RNG HERE'!M75-'RNG HERE'!AK$62)*Sheet2!O$18/'RNG HERE'!AK$63</f>
        <v>5.0355976155552593</v>
      </c>
      <c r="BK75" s="7">
        <f ca="1">Sheet2!P$17+('RNG HERE'!N75-'RNG HERE'!AL$62)*Sheet2!P$18/'RNG HERE'!AL$63</f>
        <v>18.216800818416004</v>
      </c>
      <c r="BL75" s="7">
        <f ca="1">Sheet2!Q$17+('RNG HERE'!O75-'RNG HERE'!AM$62)*Sheet2!Q$18/'RNG HERE'!AM$63</f>
        <v>12.272378530220173</v>
      </c>
      <c r="BM75" s="7">
        <f ca="1">Sheet2!R$17+('RNG HERE'!P75-'RNG HERE'!AN$62)*Sheet2!R$18/'RNG HERE'!AN$63</f>
        <v>11.912265890314135</v>
      </c>
      <c r="BN75" s="7">
        <f ca="1">Sheet2!S$17+('RNG HERE'!Q75-'RNG HERE'!AO$62)*Sheet2!S$18/'RNG HERE'!AO$63</f>
        <v>3.6835710343388777</v>
      </c>
      <c r="BO75" s="7">
        <f ca="1">Sheet2!T$17+('RNG HERE'!R75-'RNG HERE'!AP$62)*Sheet2!T$18/'RNG HERE'!AP$63</f>
        <v>11.14225527298848</v>
      </c>
      <c r="BP75" s="7">
        <f ca="1">Sheet2!U$17+('RNG HERE'!S75-'RNG HERE'!AQ$62)*Sheet2!U$18/'RNG HERE'!AQ$63</f>
        <v>23.458621311300458</v>
      </c>
      <c r="BQ75" s="7">
        <f ca="1">Sheet2!V$17+('RNG HERE'!T75-'RNG HERE'!AR$62)*Sheet2!V$18/'RNG HERE'!AR$63</f>
        <v>20.108340033904764</v>
      </c>
      <c r="BR75" s="7">
        <f ca="1">Sheet2!W$17+('RNG HERE'!U75-'RNG HERE'!AS$62)*Sheet2!W$18/'RNG HERE'!AS$63</f>
        <v>27.119491441518207</v>
      </c>
      <c r="BS75" s="7">
        <f ca="1">Sheet2!X$17+('RNG HERE'!V75-'RNG HERE'!AT$62)*Sheet2!X$18/'RNG HERE'!AT$63</f>
        <v>21.02386308291176</v>
      </c>
      <c r="BT75" s="7">
        <f ca="1">Sheet2!Y$17+('RNG HERE'!W75-'RNG HERE'!AU$62)*Sheet2!Y$18/'RNG HERE'!AU$63</f>
        <v>18.947288063728919</v>
      </c>
      <c r="BU75" s="7">
        <f ca="1">Sheet2!Z$17+('RNG HERE'!X75-'RNG HERE'!AV$62)*Sheet2!Z$18/'RNG HERE'!AV$63</f>
        <v>8.2211905519995874</v>
      </c>
    </row>
    <row r="76" spans="1:73" x14ac:dyDescent="0.3">
      <c r="A76" s="8" cm="1">
        <f t="array" aca="1" ref="A76" ca="1">[1]!UNIFORM_INV(RAND(),Sheet2!C$17-SQRT(3)*Sheet2!C$18,Sheet2!C$17+SQRT(3)*Sheet2!C$18)</f>
        <v>4.7788015203000249</v>
      </c>
      <c r="B76" s="8" cm="1">
        <f t="array" aca="1" ref="B76" ca="1">[1]!UNIFORM_INV(RAND(),Sheet2!D$17-SQRT(3)*Sheet2!D$18,Sheet2!D$17+SQRT(3)*Sheet2!D$18)</f>
        <v>4.3537537922272893</v>
      </c>
      <c r="C76" s="8" cm="1">
        <f t="array" aca="1" ref="C76" ca="1">[1]!UNIFORM_INV(RAND(),Sheet2!E$17-SQRT(3)*Sheet2!E$18,Sheet2!E$17+SQRT(3)*Sheet2!E$18)</f>
        <v>26.423999461276296</v>
      </c>
      <c r="D76" s="8" cm="1">
        <f t="array" aca="1" ref="D76" ca="1">[1]!UNIFORM_INV(RAND(),Sheet2!F$17-SQRT(3)*Sheet2!F$18,Sheet2!F$17+SQRT(3)*Sheet2!F$18)</f>
        <v>7.8578701739034189</v>
      </c>
      <c r="E76" s="8" cm="1">
        <f t="array" aca="1" ref="E76" ca="1">[1]!UNIFORM_INV(RAND(),Sheet2!G$17-SQRT(3)*Sheet2!G$18,Sheet2!G$17+SQRT(3)*Sheet2!G$18)</f>
        <v>23.834873465341349</v>
      </c>
      <c r="F76" s="8" cm="1">
        <f t="array" aca="1" ref="F76" ca="1">[1]!UNIFORM_INV(RAND(),Sheet2!H$17-SQRT(3)*Sheet2!H$18,Sheet2!H$17+SQRT(3)*Sheet2!H$18)</f>
        <v>21.220130990990253</v>
      </c>
      <c r="G76" s="8" cm="1">
        <f t="array" aca="1" ref="G76" ca="1">[1]!UNIFORM_INV(RAND(),Sheet2!I$17-SQRT(3)*Sheet2!I$18,Sheet2!I$17+SQRT(3)*Sheet2!I$18)</f>
        <v>8.9669339386055338</v>
      </c>
      <c r="H76" s="8" cm="1">
        <f t="array" aca="1" ref="H76" ca="1">[1]!UNIFORM_INV(RAND(),Sheet2!J$17-SQRT(3)*Sheet2!J$18,Sheet2!J$17+SQRT(3)*Sheet2!J$18)</f>
        <v>24.503008344787034</v>
      </c>
      <c r="I76" s="8" cm="1">
        <f t="array" aca="1" ref="I76" ca="1">[1]!UNIFORM_INV(RAND(),Sheet2!K$17-SQRT(3)*Sheet2!K$18,Sheet2!K$17+SQRT(3)*Sheet2!K$18)</f>
        <v>20.378729952986433</v>
      </c>
      <c r="J76" s="8" cm="1">
        <f t="array" aca="1" ref="J76" ca="1">[1]!UNIFORM_INV(RAND(),Sheet2!L$17-SQRT(3)*Sheet2!L$18,Sheet2!L$17+SQRT(3)*Sheet2!L$18)</f>
        <v>22.047806777633259</v>
      </c>
      <c r="K76" s="8" cm="1">
        <f t="array" aca="1" ref="K76" ca="1">[1]!UNIFORM_INV(RAND(),Sheet2!M$17-SQRT(3)*Sheet2!M$18,Sheet2!M$17+SQRT(3)*Sheet2!M$18)</f>
        <v>16.628652774811172</v>
      </c>
      <c r="L76" s="8" cm="1">
        <f t="array" aca="1" ref="L76" ca="1">[1]!UNIFORM_INV(RAND(),Sheet2!N$17-SQRT(3)*Sheet2!N$18,Sheet2!N$17+SQRT(3)*Sheet2!N$18)</f>
        <v>19.645936982335908</v>
      </c>
      <c r="M76" s="8" cm="1">
        <f t="array" aca="1" ref="M76" ca="1">[1]!UNIFORM_INV(RAND(),Sheet2!O$17-SQRT(3)*Sheet2!O$18,Sheet2!O$17+SQRT(3)*Sheet2!O$18)</f>
        <v>6.1628105480277853</v>
      </c>
      <c r="N76" s="8" cm="1">
        <f t="array" aca="1" ref="N76" ca="1">[1]!UNIFORM_INV(RAND(),Sheet2!P$17-SQRT(3)*Sheet2!P$18,Sheet2!P$17+SQRT(3)*Sheet2!P$18)</f>
        <v>18.576525127167177</v>
      </c>
      <c r="O76" s="8" cm="1">
        <f t="array" aca="1" ref="O76" ca="1">[1]!UNIFORM_INV(RAND(),Sheet2!Q$17-SQRT(3)*Sheet2!Q$18,Sheet2!Q$17+SQRT(3)*Sheet2!Q$18)</f>
        <v>10.417397908710761</v>
      </c>
      <c r="P76" s="8" cm="1">
        <f t="array" aca="1" ref="P76" ca="1">[1]!UNIFORM_INV(RAND(),Sheet2!R$17-SQRT(3)*Sheet2!R$18,Sheet2!R$17+SQRT(3)*Sheet2!R$18)</f>
        <v>9.8351498944397466</v>
      </c>
      <c r="Q76" s="8" cm="1">
        <f t="array" aca="1" ref="Q76" ca="1">[1]!UNIFORM_INV(RAND(),Sheet2!S$17-SQRT(3)*Sheet2!S$18,Sheet2!S$17+SQRT(3)*Sheet2!S$18)</f>
        <v>5.2675432774462339</v>
      </c>
      <c r="R76" s="8" cm="1">
        <f t="array" aca="1" ref="R76" ca="1">[1]!UNIFORM_INV(RAND(),Sheet2!T$17-SQRT(3)*Sheet2!T$18,Sheet2!T$17+SQRT(3)*Sheet2!T$18)</f>
        <v>13.052635886308973</v>
      </c>
      <c r="S76" s="8" cm="1">
        <f t="array" aca="1" ref="S76" ca="1">[1]!UNIFORM_INV(RAND(),Sheet2!U$17-SQRT(3)*Sheet2!U$18,Sheet2!U$17+SQRT(3)*Sheet2!U$18)</f>
        <v>21.152988661571381</v>
      </c>
      <c r="T76" s="8" cm="1">
        <f t="array" aca="1" ref="T76" ca="1">[1]!UNIFORM_INV(RAND(),Sheet2!V$17-SQRT(3)*Sheet2!V$18,Sheet2!V$17+SQRT(3)*Sheet2!V$18)</f>
        <v>20.30759822461923</v>
      </c>
      <c r="U76" s="8" cm="1">
        <f t="array" aca="1" ref="U76" ca="1">[1]!UNIFORM_INV(RAND(),Sheet2!W$17-SQRT(3)*Sheet2!W$18,Sheet2!W$17+SQRT(3)*Sheet2!W$18)</f>
        <v>29.384914050644632</v>
      </c>
      <c r="V76" s="8" cm="1">
        <f t="array" aca="1" ref="V76" ca="1">[1]!UNIFORM_INV(RAND(),Sheet2!X$17-SQRT(3)*Sheet2!X$18,Sheet2!X$17+SQRT(3)*Sheet2!X$18)</f>
        <v>21.012112490362895</v>
      </c>
      <c r="W76" s="8" cm="1">
        <f t="array" aca="1" ref="W76" ca="1">[1]!UNIFORM_INV(RAND(),Sheet2!Y$17-SQRT(3)*Sheet2!Y$18,Sheet2!Y$17+SQRT(3)*Sheet2!Y$18)</f>
        <v>16.520345396338623</v>
      </c>
      <c r="X76" s="8" cm="1">
        <f t="array" aca="1" ref="X76" ca="1">[1]!UNIFORM_INV(RAND(),Sheet2!Z$17-SQRT(3)*Sheet2!Z$18,Sheet2!Z$17+SQRT(3)*Sheet2!Z$18)</f>
        <v>10.903030257056971</v>
      </c>
      <c r="AX76" s="7">
        <f ca="1">Sheet2!C$17+('RNG HERE'!A76-'RNG HERE'!Y$62)*Sheet2!C$18/'RNG HERE'!Y$63</f>
        <v>4.9001170531019129</v>
      </c>
      <c r="AY76" s="7">
        <f ca="1">Sheet2!D$17+('RNG HERE'!B76-'RNG HERE'!Z$62)*Sheet2!D$18/'RNG HERE'!Z$63</f>
        <v>4.5649184106211331</v>
      </c>
      <c r="AZ76" s="7">
        <f ca="1">Sheet2!E$17+('RNG HERE'!C76-'RNG HERE'!AA$62)*Sheet2!E$18/'RNG HERE'!AA$63</f>
        <v>26.318284432132931</v>
      </c>
      <c r="BA76" s="7">
        <f ca="1">Sheet2!F$17+('RNG HERE'!D76-'RNG HERE'!AB$62)*Sheet2!F$18/'RNG HERE'!AB$63</f>
        <v>6.9072818388834731</v>
      </c>
      <c r="BB76" s="7">
        <f ca="1">Sheet2!G$17+('RNG HERE'!E76-'RNG HERE'!AC$62)*Sheet2!G$18/'RNG HERE'!AC$63</f>
        <v>25.540920387715566</v>
      </c>
      <c r="BC76" s="7">
        <f ca="1">Sheet2!H$17+('RNG HERE'!F76-'RNG HERE'!AD$62)*Sheet2!H$18/'RNG HERE'!AD$63</f>
        <v>21.889027791098023</v>
      </c>
      <c r="BD76" s="7">
        <f ca="1">Sheet2!I$17+('RNG HERE'!G76-'RNG HERE'!AE$62)*Sheet2!I$18/'RNG HERE'!AE$63</f>
        <v>9.178162081393106</v>
      </c>
      <c r="BE76" s="7">
        <f ca="1">Sheet2!J$17+('RNG HERE'!H76-'RNG HERE'!AF$62)*Sheet2!J$18/'RNG HERE'!AF$63</f>
        <v>24.666790506994491</v>
      </c>
      <c r="BF76" s="7">
        <f ca="1">Sheet2!K$17+('RNG HERE'!I76-'RNG HERE'!AG$62)*Sheet2!K$18/'RNG HERE'!AG$63</f>
        <v>20.506541309442987</v>
      </c>
      <c r="BG76" s="7">
        <f ca="1">Sheet2!L$17+('RNG HERE'!J76-'RNG HERE'!AH$62)*Sheet2!L$18/'RNG HERE'!AH$63</f>
        <v>22.134338153595614</v>
      </c>
      <c r="BH76" s="7">
        <f ca="1">Sheet2!M$17+('RNG HERE'!K76-'RNG HERE'!AI$62)*Sheet2!M$18/'RNG HERE'!AI$63</f>
        <v>17.603680892250331</v>
      </c>
      <c r="BI76" s="7">
        <f ca="1">Sheet2!N$17+('RNG HERE'!L76-'RNG HERE'!AJ$62)*Sheet2!N$18/'RNG HERE'!AJ$63</f>
        <v>20.092976923515621</v>
      </c>
      <c r="BJ76" s="7">
        <f ca="1">Sheet2!O$17+('RNG HERE'!M76-'RNG HERE'!AK$62)*Sheet2!O$18/'RNG HERE'!AK$63</f>
        <v>6.0177746042287446</v>
      </c>
      <c r="BK76" s="7">
        <f ca="1">Sheet2!P$17+('RNG HERE'!N76-'RNG HERE'!AL$62)*Sheet2!P$18/'RNG HERE'!AL$63</f>
        <v>19.101873103758894</v>
      </c>
      <c r="BL76" s="7">
        <f ca="1">Sheet2!Q$17+('RNG HERE'!O76-'RNG HERE'!AM$62)*Sheet2!Q$18/'RNG HERE'!AM$63</f>
        <v>10.449182601153074</v>
      </c>
      <c r="BM76" s="7">
        <f ca="1">Sheet2!R$17+('RNG HERE'!P76-'RNG HERE'!AN$62)*Sheet2!R$18/'RNG HERE'!AN$63</f>
        <v>9.8664666623597359</v>
      </c>
      <c r="BN76" s="7">
        <f ca="1">Sheet2!S$17+('RNG HERE'!Q76-'RNG HERE'!AO$62)*Sheet2!S$18/'RNG HERE'!AO$63</f>
        <v>5.4632063532152833</v>
      </c>
      <c r="BO76" s="7">
        <f ca="1">Sheet2!T$17+('RNG HERE'!R76-'RNG HERE'!AP$62)*Sheet2!T$18/'RNG HERE'!AP$63</f>
        <v>12.639304639818977</v>
      </c>
      <c r="BP76" s="7">
        <f ca="1">Sheet2!U$17+('RNG HERE'!S76-'RNG HERE'!AQ$62)*Sheet2!U$18/'RNG HERE'!AQ$63</f>
        <v>21.324692589367505</v>
      </c>
      <c r="BQ76" s="7">
        <f ca="1">Sheet2!V$17+('RNG HERE'!T76-'RNG HERE'!AR$62)*Sheet2!V$18/'RNG HERE'!AR$63</f>
        <v>20.539092985915712</v>
      </c>
      <c r="BR76" s="7">
        <f ca="1">Sheet2!W$17+('RNG HERE'!U76-'RNG HERE'!AS$62)*Sheet2!W$18/'RNG HERE'!AS$63</f>
        <v>29.758465786546985</v>
      </c>
      <c r="BS76" s="7">
        <f ca="1">Sheet2!X$17+('RNG HERE'!V76-'RNG HERE'!AT$62)*Sheet2!X$18/'RNG HERE'!AT$63</f>
        <v>20.517479034497281</v>
      </c>
      <c r="BT76" s="7">
        <f ca="1">Sheet2!Y$17+('RNG HERE'!W76-'RNG HERE'!AU$62)*Sheet2!Y$18/'RNG HERE'!AU$63</f>
        <v>16.556840732938245</v>
      </c>
      <c r="BU76" s="7">
        <f ca="1">Sheet2!Z$17+('RNG HERE'!X76-'RNG HERE'!AV$62)*Sheet2!Z$18/'RNG HERE'!AV$63</f>
        <v>10.828092376991592</v>
      </c>
    </row>
    <row r="77" spans="1:73" x14ac:dyDescent="0.3">
      <c r="A77" s="8" cm="1">
        <f t="array" aca="1" ref="A77" ca="1">[1]!UNIFORM_INV(RAND(),Sheet2!C$17-SQRT(3)*Sheet2!C$18,Sheet2!C$17+SQRT(3)*Sheet2!C$18)</f>
        <v>6.8799170506756484</v>
      </c>
      <c r="B77" s="8" cm="1">
        <f t="array" aca="1" ref="B77" ca="1">[1]!UNIFORM_INV(RAND(),Sheet2!D$17-SQRT(3)*Sheet2!D$18,Sheet2!D$17+SQRT(3)*Sheet2!D$18)</f>
        <v>3.9323699426843279</v>
      </c>
      <c r="C77" s="8" cm="1">
        <f t="array" aca="1" ref="C77" ca="1">[1]!UNIFORM_INV(RAND(),Sheet2!E$17-SQRT(3)*Sheet2!E$18,Sheet2!E$17+SQRT(3)*Sheet2!E$18)</f>
        <v>28.457416510292013</v>
      </c>
      <c r="D77" s="8" cm="1">
        <f t="array" aca="1" ref="D77" ca="1">[1]!UNIFORM_INV(RAND(),Sheet2!F$17-SQRT(3)*Sheet2!F$18,Sheet2!F$17+SQRT(3)*Sheet2!F$18)</f>
        <v>7.4189581358031047</v>
      </c>
      <c r="E77" s="8" cm="1">
        <f t="array" aca="1" ref="E77" ca="1">[1]!UNIFORM_INV(RAND(),Sheet2!G$17-SQRT(3)*Sheet2!G$18,Sheet2!G$17+SQRT(3)*Sheet2!G$18)</f>
        <v>41.848769152229202</v>
      </c>
      <c r="F77" s="8" cm="1">
        <f t="array" aca="1" ref="F77" ca="1">[1]!UNIFORM_INV(RAND(),Sheet2!H$17-SQRT(3)*Sheet2!H$18,Sheet2!H$17+SQRT(3)*Sheet2!H$18)</f>
        <v>27.849377012397859</v>
      </c>
      <c r="G77" s="8" cm="1">
        <f t="array" aca="1" ref="G77" ca="1">[1]!UNIFORM_INV(RAND(),Sheet2!I$17-SQRT(3)*Sheet2!I$18,Sheet2!I$17+SQRT(3)*Sheet2!I$18)</f>
        <v>9.3192233325985114</v>
      </c>
      <c r="H77" s="8" cm="1">
        <f t="array" aca="1" ref="H77" ca="1">[1]!UNIFORM_INV(RAND(),Sheet2!J$17-SQRT(3)*Sheet2!J$18,Sheet2!J$17+SQRT(3)*Sheet2!J$18)</f>
        <v>26.809364266659411</v>
      </c>
      <c r="I77" s="8" cm="1">
        <f t="array" aca="1" ref="I77" ca="1">[1]!UNIFORM_INV(RAND(),Sheet2!K$17-SQRT(3)*Sheet2!K$18,Sheet2!K$17+SQRT(3)*Sheet2!K$18)</f>
        <v>19.237990069601345</v>
      </c>
      <c r="J77" s="8" cm="1">
        <f t="array" aca="1" ref="J77" ca="1">[1]!UNIFORM_INV(RAND(),Sheet2!L$17-SQRT(3)*Sheet2!L$18,Sheet2!L$17+SQRT(3)*Sheet2!L$18)</f>
        <v>21.975681226310648</v>
      </c>
      <c r="K77" s="8" cm="1">
        <f t="array" aca="1" ref="K77" ca="1">[1]!UNIFORM_INV(RAND(),Sheet2!M$17-SQRT(3)*Sheet2!M$18,Sheet2!M$17+SQRT(3)*Sheet2!M$18)</f>
        <v>17.904887266754375</v>
      </c>
      <c r="L77" s="8" cm="1">
        <f t="array" aca="1" ref="L77" ca="1">[1]!UNIFORM_INV(RAND(),Sheet2!N$17-SQRT(3)*Sheet2!N$18,Sheet2!N$17+SQRT(3)*Sheet2!N$18)</f>
        <v>18.202927166946044</v>
      </c>
      <c r="M77" s="8" cm="1">
        <f t="array" aca="1" ref="M77" ca="1">[1]!UNIFORM_INV(RAND(),Sheet2!O$17-SQRT(3)*Sheet2!O$18,Sheet2!O$17+SQRT(3)*Sheet2!O$18)</f>
        <v>5.9249468668335883</v>
      </c>
      <c r="N77" s="8" cm="1">
        <f t="array" aca="1" ref="N77" ca="1">[1]!UNIFORM_INV(RAND(),Sheet2!P$17-SQRT(3)*Sheet2!P$18,Sheet2!P$17+SQRT(3)*Sheet2!P$18)</f>
        <v>14.620658290185441</v>
      </c>
      <c r="O77" s="8" cm="1">
        <f t="array" aca="1" ref="O77" ca="1">[1]!UNIFORM_INV(RAND(),Sheet2!Q$17-SQRT(3)*Sheet2!Q$18,Sheet2!Q$17+SQRT(3)*Sheet2!Q$18)</f>
        <v>8.6900650982668335</v>
      </c>
      <c r="P77" s="8" cm="1">
        <f t="array" aca="1" ref="P77" ca="1">[1]!UNIFORM_INV(RAND(),Sheet2!R$17-SQRT(3)*Sheet2!R$18,Sheet2!R$17+SQRT(3)*Sheet2!R$18)</f>
        <v>11.887191037820349</v>
      </c>
      <c r="Q77" s="8" cm="1">
        <f t="array" aca="1" ref="Q77" ca="1">[1]!UNIFORM_INV(RAND(),Sheet2!S$17-SQRT(3)*Sheet2!S$18,Sheet2!S$17+SQRT(3)*Sheet2!S$18)</f>
        <v>4.24390101790536</v>
      </c>
      <c r="R77" s="8" cm="1">
        <f t="array" aca="1" ref="R77" ca="1">[1]!UNIFORM_INV(RAND(),Sheet2!T$17-SQRT(3)*Sheet2!T$18,Sheet2!T$17+SQRT(3)*Sheet2!T$18)</f>
        <v>14.826332443489466</v>
      </c>
      <c r="S77" s="8" cm="1">
        <f t="array" aca="1" ref="S77" ca="1">[1]!UNIFORM_INV(RAND(),Sheet2!U$17-SQRT(3)*Sheet2!U$18,Sheet2!U$17+SQRT(3)*Sheet2!U$18)</f>
        <v>19.459236901842328</v>
      </c>
      <c r="T77" s="8" cm="1">
        <f t="array" aca="1" ref="T77" ca="1">[1]!UNIFORM_INV(RAND(),Sheet2!V$17-SQRT(3)*Sheet2!V$18,Sheet2!V$17+SQRT(3)*Sheet2!V$18)</f>
        <v>20.998090531140377</v>
      </c>
      <c r="U77" s="8" cm="1">
        <f t="array" aca="1" ref="U77" ca="1">[1]!UNIFORM_INV(RAND(),Sheet2!W$17-SQRT(3)*Sheet2!W$18,Sheet2!W$17+SQRT(3)*Sheet2!W$18)</f>
        <v>27.600015592395522</v>
      </c>
      <c r="V77" s="8" cm="1">
        <f t="array" aca="1" ref="V77" ca="1">[1]!UNIFORM_INV(RAND(),Sheet2!X$17-SQRT(3)*Sheet2!X$18,Sheet2!X$17+SQRT(3)*Sheet2!X$18)</f>
        <v>24.692096156574138</v>
      </c>
      <c r="W77" s="8" cm="1">
        <f t="array" aca="1" ref="W77" ca="1">[1]!UNIFORM_INV(RAND(),Sheet2!Y$17-SQRT(3)*Sheet2!Y$18,Sheet2!Y$17+SQRT(3)*Sheet2!Y$18)</f>
        <v>18.01057727563315</v>
      </c>
      <c r="X77" s="8" cm="1">
        <f t="array" aca="1" ref="X77" ca="1">[1]!UNIFORM_INV(RAND(),Sheet2!Z$17-SQRT(3)*Sheet2!Z$18,Sheet2!Z$17+SQRT(3)*Sheet2!Z$18)</f>
        <v>10.780612121984362</v>
      </c>
      <c r="AX77" s="7">
        <f ca="1">Sheet2!C$17+('RNG HERE'!A77-'RNG HERE'!Y$62)*Sheet2!C$18/'RNG HERE'!Y$63</f>
        <v>7.2652251482096766</v>
      </c>
      <c r="AY77" s="7">
        <f ca="1">Sheet2!D$17+('RNG HERE'!B77-'RNG HERE'!Z$62)*Sheet2!D$18/'RNG HERE'!Z$63</f>
        <v>4.1500362468842464</v>
      </c>
      <c r="AZ77" s="7">
        <f ca="1">Sheet2!E$17+('RNG HERE'!C77-'RNG HERE'!AA$62)*Sheet2!E$18/'RNG HERE'!AA$63</f>
        <v>28.598916323002868</v>
      </c>
      <c r="BA77" s="7">
        <f ca="1">Sheet2!F$17+('RNG HERE'!D77-'RNG HERE'!AB$62)*Sheet2!F$18/'RNG HERE'!AB$63</f>
        <v>6.5030086123260329</v>
      </c>
      <c r="BB77" s="7">
        <f ca="1">Sheet2!G$17+('RNG HERE'!E77-'RNG HERE'!AC$62)*Sheet2!G$18/'RNG HERE'!AC$63</f>
        <v>42.656068568417311</v>
      </c>
      <c r="BC77" s="7">
        <f ca="1">Sheet2!H$17+('RNG HERE'!F77-'RNG HERE'!AD$62)*Sheet2!H$18/'RNG HERE'!AD$63</f>
        <v>28.479358988648727</v>
      </c>
      <c r="BD77" s="7">
        <f ca="1">Sheet2!I$17+('RNG HERE'!G77-'RNG HERE'!AE$62)*Sheet2!I$18/'RNG HERE'!AE$63</f>
        <v>9.5237175549845663</v>
      </c>
      <c r="BE77" s="7">
        <f ca="1">Sheet2!J$17+('RNG HERE'!H77-'RNG HERE'!AF$62)*Sheet2!J$18/'RNG HERE'!AF$63</f>
        <v>26.951974857845681</v>
      </c>
      <c r="BF77" s="7">
        <f ca="1">Sheet2!K$17+('RNG HERE'!I77-'RNG HERE'!AG$62)*Sheet2!K$18/'RNG HERE'!AG$63</f>
        <v>19.464523739543615</v>
      </c>
      <c r="BG77" s="7">
        <f ca="1">Sheet2!L$17+('RNG HERE'!J77-'RNG HERE'!AH$62)*Sheet2!L$18/'RNG HERE'!AH$63</f>
        <v>22.056759928111379</v>
      </c>
      <c r="BH77" s="7">
        <f ca="1">Sheet2!M$17+('RNG HERE'!K77-'RNG HERE'!AI$62)*Sheet2!M$18/'RNG HERE'!AI$63</f>
        <v>19.023397804670068</v>
      </c>
      <c r="BI77" s="7">
        <f ca="1">Sheet2!N$17+('RNG HERE'!L77-'RNG HERE'!AJ$62)*Sheet2!N$18/'RNG HERE'!AJ$63</f>
        <v>18.440503878658472</v>
      </c>
      <c r="BJ77" s="7">
        <f ca="1">Sheet2!O$17+('RNG HERE'!M77-'RNG HERE'!AK$62)*Sheet2!O$18/'RNG HERE'!AK$63</f>
        <v>5.7704613457924125</v>
      </c>
      <c r="BK77" s="7">
        <f ca="1">Sheet2!P$17+('RNG HERE'!N77-'RNG HERE'!AL$62)*Sheet2!P$18/'RNG HERE'!AL$63</f>
        <v>14.621483775339112</v>
      </c>
      <c r="BL77" s="7">
        <f ca="1">Sheet2!Q$17+('RNG HERE'!O77-'RNG HERE'!AM$62)*Sheet2!Q$18/'RNG HERE'!AM$63</f>
        <v>8.6442628028928503</v>
      </c>
      <c r="BM77" s="7">
        <f ca="1">Sheet2!R$17+('RNG HERE'!P77-'RNG HERE'!AN$62)*Sheet2!R$18/'RNG HERE'!AN$63</f>
        <v>11.81795214461679</v>
      </c>
      <c r="BN77" s="7">
        <f ca="1">Sheet2!S$17+('RNG HERE'!Q77-'RNG HERE'!AO$62)*Sheet2!S$18/'RNG HERE'!AO$63</f>
        <v>4.325068929105413</v>
      </c>
      <c r="BO77" s="7">
        <f ca="1">Sheet2!T$17+('RNG HERE'!R77-'RNG HERE'!AP$62)*Sheet2!T$18/'RNG HERE'!AP$63</f>
        <v>14.691897009452779</v>
      </c>
      <c r="BP77" s="7">
        <f ca="1">Sheet2!U$17+('RNG HERE'!S77-'RNG HERE'!AQ$62)*Sheet2!U$18/'RNG HERE'!AQ$63</f>
        <v>19.319341566743063</v>
      </c>
      <c r="BQ77" s="7">
        <f ca="1">Sheet2!V$17+('RNG HERE'!T77-'RNG HERE'!AR$62)*Sheet2!V$18/'RNG HERE'!AR$63</f>
        <v>21.249984320396134</v>
      </c>
      <c r="BR77" s="7">
        <f ca="1">Sheet2!W$17+('RNG HERE'!U77-'RNG HERE'!AS$62)*Sheet2!W$18/'RNG HERE'!AS$63</f>
        <v>27.663130366669311</v>
      </c>
      <c r="BS77" s="7">
        <f ca="1">Sheet2!X$17+('RNG HERE'!V77-'RNG HERE'!AT$62)*Sheet2!X$18/'RNG HERE'!AT$63</f>
        <v>23.967620766988507</v>
      </c>
      <c r="BT77" s="7">
        <f ca="1">Sheet2!Y$17+('RNG HERE'!W77-'RNG HERE'!AU$62)*Sheet2!Y$18/'RNG HERE'!AU$63</f>
        <v>18.110930256322387</v>
      </c>
      <c r="BU77" s="7">
        <f ca="1">Sheet2!Z$17+('RNG HERE'!X77-'RNG HERE'!AV$62)*Sheet2!Z$18/'RNG HERE'!AV$63</f>
        <v>10.707923465673657</v>
      </c>
    </row>
    <row r="78" spans="1:73" x14ac:dyDescent="0.3">
      <c r="A78" s="8" cm="1">
        <f t="array" aca="1" ref="A78" ca="1">[1]!UNIFORM_INV(RAND(),Sheet2!C$17-SQRT(3)*Sheet2!C$18,Sheet2!C$17+SQRT(3)*Sheet2!C$18)</f>
        <v>5.9473148077275599</v>
      </c>
      <c r="B78" s="8" cm="1">
        <f t="array" aca="1" ref="B78" ca="1">[1]!UNIFORM_INV(RAND(),Sheet2!D$17-SQRT(3)*Sheet2!D$18,Sheet2!D$17+SQRT(3)*Sheet2!D$18)</f>
        <v>4.7947915318438676</v>
      </c>
      <c r="C78" s="8" cm="1">
        <f t="array" aca="1" ref="C78" ca="1">[1]!UNIFORM_INV(RAND(),Sheet2!E$17-SQRT(3)*Sheet2!E$18,Sheet2!E$17+SQRT(3)*Sheet2!E$18)</f>
        <v>25.733221926587721</v>
      </c>
      <c r="D78" s="8" cm="1">
        <f t="array" aca="1" ref="D78" ca="1">[1]!UNIFORM_INV(RAND(),Sheet2!F$17-SQRT(3)*Sheet2!F$18,Sheet2!F$17+SQRT(3)*Sheet2!F$18)</f>
        <v>7.2983243234731932</v>
      </c>
      <c r="E78" s="8" cm="1">
        <f t="array" aca="1" ref="E78" ca="1">[1]!UNIFORM_INV(RAND(),Sheet2!G$17-SQRT(3)*Sheet2!G$18,Sheet2!G$17+SQRT(3)*Sheet2!G$18)</f>
        <v>42.904795516072738</v>
      </c>
      <c r="F78" s="8" cm="1">
        <f t="array" aca="1" ref="F78" ca="1">[1]!UNIFORM_INV(RAND(),Sheet2!H$17-SQRT(3)*Sheet2!H$18,Sheet2!H$17+SQRT(3)*Sheet2!H$18)</f>
        <v>16.793826105532901</v>
      </c>
      <c r="G78" s="8" cm="1">
        <f t="array" aca="1" ref="G78" ca="1">[1]!UNIFORM_INV(RAND(),Sheet2!I$17-SQRT(3)*Sheet2!I$18,Sheet2!I$17+SQRT(3)*Sheet2!I$18)</f>
        <v>8.8625437239935021</v>
      </c>
      <c r="H78" s="8" cm="1">
        <f t="array" aca="1" ref="H78" ca="1">[1]!UNIFORM_INV(RAND(),Sheet2!J$17-SQRT(3)*Sheet2!J$18,Sheet2!J$17+SQRT(3)*Sheet2!J$18)</f>
        <v>23.154031511291304</v>
      </c>
      <c r="I78" s="8" cm="1">
        <f t="array" aca="1" ref="I78" ca="1">[1]!UNIFORM_INV(RAND(),Sheet2!K$17-SQRT(3)*Sheet2!K$18,Sheet2!K$17+SQRT(3)*Sheet2!K$18)</f>
        <v>19.405123127903241</v>
      </c>
      <c r="J78" s="8" cm="1">
        <f t="array" aca="1" ref="J78" ca="1">[1]!UNIFORM_INV(RAND(),Sheet2!L$17-SQRT(3)*Sheet2!L$18,Sheet2!L$17+SQRT(3)*Sheet2!L$18)</f>
        <v>29.579118760203144</v>
      </c>
      <c r="K78" s="8" cm="1">
        <f t="array" aca="1" ref="K78" ca="1">[1]!UNIFORM_INV(RAND(),Sheet2!M$17-SQRT(3)*Sheet2!M$18,Sheet2!M$17+SQRT(3)*Sheet2!M$18)</f>
        <v>15.856053368451043</v>
      </c>
      <c r="L78" s="8" cm="1">
        <f t="array" aca="1" ref="L78" ca="1">[1]!UNIFORM_INV(RAND(),Sheet2!N$17-SQRT(3)*Sheet2!N$18,Sheet2!N$17+SQRT(3)*Sheet2!N$18)</f>
        <v>14.957553303797946</v>
      </c>
      <c r="M78" s="8" cm="1">
        <f t="array" aca="1" ref="M78" ca="1">[1]!UNIFORM_INV(RAND(),Sheet2!O$17-SQRT(3)*Sheet2!O$18,Sheet2!O$17+SQRT(3)*Sheet2!O$18)</f>
        <v>1.8386408052642564</v>
      </c>
      <c r="N78" s="8" cm="1">
        <f t="array" aca="1" ref="N78" ca="1">[1]!UNIFORM_INV(RAND(),Sheet2!P$17-SQRT(3)*Sheet2!P$18,Sheet2!P$17+SQRT(3)*Sheet2!P$18)</f>
        <v>18.040383426664146</v>
      </c>
      <c r="O78" s="8" cm="1">
        <f t="array" aca="1" ref="O78" ca="1">[1]!UNIFORM_INV(RAND(),Sheet2!Q$17-SQRT(3)*Sheet2!Q$18,Sheet2!Q$17+SQRT(3)*Sheet2!Q$18)</f>
        <v>12.200437085374389</v>
      </c>
      <c r="P78" s="8" cm="1">
        <f t="array" aca="1" ref="P78" ca="1">[1]!UNIFORM_INV(RAND(),Sheet2!R$17-SQRT(3)*Sheet2!R$18,Sheet2!R$17+SQRT(3)*Sheet2!R$18)</f>
        <v>12.022827613865633</v>
      </c>
      <c r="Q78" s="8" cm="1">
        <f t="array" aca="1" ref="Q78" ca="1">[1]!UNIFORM_INV(RAND(),Sheet2!S$17-SQRT(3)*Sheet2!S$18,Sheet2!S$17+SQRT(3)*Sheet2!S$18)</f>
        <v>4.4552192974855709</v>
      </c>
      <c r="R78" s="8" cm="1">
        <f t="array" aca="1" ref="R78" ca="1">[1]!UNIFORM_INV(RAND(),Sheet2!T$17-SQRT(3)*Sheet2!T$18,Sheet2!T$17+SQRT(3)*Sheet2!T$18)</f>
        <v>11.232409465665361</v>
      </c>
      <c r="S78" s="8" cm="1">
        <f t="array" aca="1" ref="S78" ca="1">[1]!UNIFORM_INV(RAND(),Sheet2!U$17-SQRT(3)*Sheet2!U$18,Sheet2!U$17+SQRT(3)*Sheet2!U$18)</f>
        <v>20.494631886156164</v>
      </c>
      <c r="T78" s="8" cm="1">
        <f t="array" aca="1" ref="T78" ca="1">[1]!UNIFORM_INV(RAND(),Sheet2!V$17-SQRT(3)*Sheet2!V$18,Sheet2!V$17+SQRT(3)*Sheet2!V$18)</f>
        <v>22.008136399475173</v>
      </c>
      <c r="U78" s="8" cm="1">
        <f t="array" aca="1" ref="U78" ca="1">[1]!UNIFORM_INV(RAND(),Sheet2!W$17-SQRT(3)*Sheet2!W$18,Sheet2!W$17+SQRT(3)*Sheet2!W$18)</f>
        <v>29.678198756589872</v>
      </c>
      <c r="V78" s="8" cm="1">
        <f t="array" aca="1" ref="V78" ca="1">[1]!UNIFORM_INV(RAND(),Sheet2!X$17-SQRT(3)*Sheet2!X$18,Sheet2!X$17+SQRT(3)*Sheet2!X$18)</f>
        <v>22.809311788678613</v>
      </c>
      <c r="W78" s="8" cm="1">
        <f t="array" aca="1" ref="W78" ca="1">[1]!UNIFORM_INV(RAND(),Sheet2!Y$17-SQRT(3)*Sheet2!Y$18,Sheet2!Y$17+SQRT(3)*Sheet2!Y$18)</f>
        <v>19.963807133054196</v>
      </c>
      <c r="X78" s="8" cm="1">
        <f t="array" aca="1" ref="X78" ca="1">[1]!UNIFORM_INV(RAND(),Sheet2!Z$17-SQRT(3)*Sheet2!Z$18,Sheet2!Z$17+SQRT(3)*Sheet2!Z$18)</f>
        <v>9.9118413360338042</v>
      </c>
      <c r="AX78" s="7">
        <f ca="1">Sheet2!C$17+('RNG HERE'!A78-'RNG HERE'!Y$62)*Sheet2!C$18/'RNG HERE'!Y$63</f>
        <v>6.2154470268143918</v>
      </c>
      <c r="AY78" s="7">
        <f ca="1">Sheet2!D$17+('RNG HERE'!B78-'RNG HERE'!Z$62)*Sheet2!D$18/'RNG HERE'!Z$63</f>
        <v>4.999151217360672</v>
      </c>
      <c r="AZ78" s="7">
        <f ca="1">Sheet2!E$17+('RNG HERE'!C78-'RNG HERE'!AA$62)*Sheet2!E$18/'RNG HERE'!AA$63</f>
        <v>25.54352488348556</v>
      </c>
      <c r="BA78" s="7">
        <f ca="1">Sheet2!F$17+('RNG HERE'!D78-'RNG HERE'!AB$62)*Sheet2!F$18/'RNG HERE'!AB$63</f>
        <v>6.3918951856959083</v>
      </c>
      <c r="BB78" s="7">
        <f ca="1">Sheet2!G$17+('RNG HERE'!E78-'RNG HERE'!AC$62)*Sheet2!G$18/'RNG HERE'!AC$63</f>
        <v>43.659407769113677</v>
      </c>
      <c r="BC78" s="7">
        <f ca="1">Sheet2!H$17+('RNG HERE'!F78-'RNG HERE'!AD$62)*Sheet2!H$18/'RNG HERE'!AD$63</f>
        <v>17.488706082973096</v>
      </c>
      <c r="BD78" s="7">
        <f ca="1">Sheet2!I$17+('RNG HERE'!G78-'RNG HERE'!AE$62)*Sheet2!I$18/'RNG HERE'!AE$63</f>
        <v>9.0757672586602531</v>
      </c>
      <c r="BE78" s="7">
        <f ca="1">Sheet2!J$17+('RNG HERE'!H78-'RNG HERE'!AF$62)*Sheet2!J$18/'RNG HERE'!AF$63</f>
        <v>23.330196826751671</v>
      </c>
      <c r="BF78" s="7">
        <f ca="1">Sheet2!K$17+('RNG HERE'!I78-'RNG HERE'!AG$62)*Sheet2!K$18/'RNG HERE'!AG$63</f>
        <v>19.617192709742845</v>
      </c>
      <c r="BG78" s="7">
        <f ca="1">Sheet2!L$17+('RNG HERE'!J78-'RNG HERE'!AH$62)*Sheet2!L$18/'RNG HERE'!AH$63</f>
        <v>30.235015492789096</v>
      </c>
      <c r="BH78" s="7">
        <f ca="1">Sheet2!M$17+('RNG HERE'!K78-'RNG HERE'!AI$62)*Sheet2!M$18/'RNG HERE'!AI$63</f>
        <v>16.744220933551972</v>
      </c>
      <c r="BI78" s="7">
        <f ca="1">Sheet2!N$17+('RNG HERE'!L78-'RNG HERE'!AJ$62)*Sheet2!N$18/'RNG HERE'!AJ$63</f>
        <v>14.724040711090041</v>
      </c>
      <c r="BJ78" s="7">
        <f ca="1">Sheet2!O$17+('RNG HERE'!M78-'RNG HERE'!AK$62)*Sheet2!O$18/'RNG HERE'!AK$63</f>
        <v>1.5218191740193485</v>
      </c>
      <c r="BK78" s="7">
        <f ca="1">Sheet2!P$17+('RNG HERE'!N78-'RNG HERE'!AL$62)*Sheet2!P$18/'RNG HERE'!AL$63</f>
        <v>18.494642463182682</v>
      </c>
      <c r="BL78" s="7">
        <f ca="1">Sheet2!Q$17+('RNG HERE'!O78-'RNG HERE'!AM$62)*Sheet2!Q$18/'RNG HERE'!AM$63</f>
        <v>12.312310940738485</v>
      </c>
      <c r="BM78" s="7">
        <f ca="1">Sheet2!R$17+('RNG HERE'!P78-'RNG HERE'!AN$62)*Sheet2!R$18/'RNG HERE'!AN$63</f>
        <v>11.946942155304082</v>
      </c>
      <c r="BN78" s="7">
        <f ca="1">Sheet2!S$17+('RNG HERE'!Q78-'RNG HERE'!AO$62)*Sheet2!S$18/'RNG HERE'!AO$63</f>
        <v>4.5600233188319805</v>
      </c>
      <c r="BO78" s="7">
        <f ca="1">Sheet2!T$17+('RNG HERE'!R78-'RNG HERE'!AP$62)*Sheet2!T$18/'RNG HERE'!AP$63</f>
        <v>10.532866057134891</v>
      </c>
      <c r="BP78" s="7">
        <f ca="1">Sheet2!U$17+('RNG HERE'!S78-'RNG HERE'!AQ$62)*Sheet2!U$18/'RNG HERE'!AQ$63</f>
        <v>20.545218014509008</v>
      </c>
      <c r="BQ78" s="7">
        <f ca="1">Sheet2!V$17+('RNG HERE'!T78-'RNG HERE'!AR$62)*Sheet2!V$18/'RNG HERE'!AR$63</f>
        <v>22.289869701371003</v>
      </c>
      <c r="BR78" s="7">
        <f ca="1">Sheet2!W$17+('RNG HERE'!U78-'RNG HERE'!AS$62)*Sheet2!W$18/'RNG HERE'!AS$63</f>
        <v>30.102759788054662</v>
      </c>
      <c r="BS78" s="7">
        <f ca="1">Sheet2!X$17+('RNG HERE'!V78-'RNG HERE'!AT$62)*Sheet2!X$18/'RNG HERE'!AT$63</f>
        <v>22.20243007318134</v>
      </c>
      <c r="BT78" s="7">
        <f ca="1">Sheet2!Y$17+('RNG HERE'!W78-'RNG HERE'!AU$62)*Sheet2!Y$18/'RNG HERE'!AU$63</f>
        <v>20.147857596526752</v>
      </c>
      <c r="BU78" s="7">
        <f ca="1">Sheet2!Z$17+('RNG HERE'!X78-'RNG HERE'!AV$62)*Sheet2!Z$18/'RNG HERE'!AV$63</f>
        <v>9.8551148563072122</v>
      </c>
    </row>
    <row r="79" spans="1:73" x14ac:dyDescent="0.3">
      <c r="A79" s="8" cm="1">
        <f t="array" aca="1" ref="A79" ca="1">[1]!UNIFORM_INV(RAND(),Sheet2!C$17-SQRT(3)*Sheet2!C$18,Sheet2!C$17+SQRT(3)*Sheet2!C$18)</f>
        <v>5.904432913772121</v>
      </c>
      <c r="B79" s="8" cm="1">
        <f t="array" aca="1" ref="B79" ca="1">[1]!UNIFORM_INV(RAND(),Sheet2!D$17-SQRT(3)*Sheet2!D$18,Sheet2!D$17+SQRT(3)*Sheet2!D$18)</f>
        <v>4.8658291257192587</v>
      </c>
      <c r="C79" s="8" cm="1">
        <f t="array" aca="1" ref="C79" ca="1">[1]!UNIFORM_INV(RAND(),Sheet2!E$17-SQRT(3)*Sheet2!E$18,Sheet2!E$17+SQRT(3)*Sheet2!E$18)</f>
        <v>25.723110054817528</v>
      </c>
      <c r="D79" s="8" cm="1">
        <f t="array" aca="1" ref="D79" ca="1">[1]!UNIFORM_INV(RAND(),Sheet2!F$17-SQRT(3)*Sheet2!F$18,Sheet2!F$17+SQRT(3)*Sheet2!F$18)</f>
        <v>3.1346965854705986</v>
      </c>
      <c r="E79" s="8" cm="1">
        <f t="array" aca="1" ref="E79" ca="1">[1]!UNIFORM_INV(RAND(),Sheet2!G$17-SQRT(3)*Sheet2!G$18,Sheet2!G$17+SQRT(3)*Sheet2!G$18)</f>
        <v>37.211269364867867</v>
      </c>
      <c r="F79" s="8" cm="1">
        <f t="array" aca="1" ref="F79" ca="1">[1]!UNIFORM_INV(RAND(),Sheet2!H$17-SQRT(3)*Sheet2!H$18,Sheet2!H$17+SQRT(3)*Sheet2!H$18)</f>
        <v>21.151013368212404</v>
      </c>
      <c r="G79" s="8" cm="1">
        <f t="array" aca="1" ref="G79" ca="1">[1]!UNIFORM_INV(RAND(),Sheet2!I$17-SQRT(3)*Sheet2!I$18,Sheet2!I$17+SQRT(3)*Sheet2!I$18)</f>
        <v>10.624294185034758</v>
      </c>
      <c r="H79" s="8" cm="1">
        <f t="array" aca="1" ref="H79" ca="1">[1]!UNIFORM_INV(RAND(),Sheet2!J$17-SQRT(3)*Sheet2!J$18,Sheet2!J$17+SQRT(3)*Sheet2!J$18)</f>
        <v>27.578529266961315</v>
      </c>
      <c r="I79" s="8" cm="1">
        <f t="array" aca="1" ref="I79" ca="1">[1]!UNIFORM_INV(RAND(),Sheet2!K$17-SQRT(3)*Sheet2!K$18,Sheet2!K$17+SQRT(3)*Sheet2!K$18)</f>
        <v>17.39875082729867</v>
      </c>
      <c r="J79" s="8" cm="1">
        <f t="array" aca="1" ref="J79" ca="1">[1]!UNIFORM_INV(RAND(),Sheet2!L$17-SQRT(3)*Sheet2!L$18,Sheet2!L$17+SQRT(3)*Sheet2!L$18)</f>
        <v>25.23582715443019</v>
      </c>
      <c r="K79" s="8" cm="1">
        <f t="array" aca="1" ref="K79" ca="1">[1]!UNIFORM_INV(RAND(),Sheet2!M$17-SQRT(3)*Sheet2!M$18,Sheet2!M$17+SQRT(3)*Sheet2!M$18)</f>
        <v>17.180310381317518</v>
      </c>
      <c r="L79" s="8" cm="1">
        <f t="array" aca="1" ref="L79" ca="1">[1]!UNIFORM_INV(RAND(),Sheet2!N$17-SQRT(3)*Sheet2!N$18,Sheet2!N$17+SQRT(3)*Sheet2!N$18)</f>
        <v>16.617064201147127</v>
      </c>
      <c r="M79" s="8" cm="1">
        <f t="array" aca="1" ref="M79" ca="1">[1]!UNIFORM_INV(RAND(),Sheet2!O$17-SQRT(3)*Sheet2!O$18,Sheet2!O$17+SQRT(3)*Sheet2!O$18)</f>
        <v>4.7534592806389249</v>
      </c>
      <c r="N79" s="8" cm="1">
        <f t="array" aca="1" ref="N79" ca="1">[1]!UNIFORM_INV(RAND(),Sheet2!P$17-SQRT(3)*Sheet2!P$18,Sheet2!P$17+SQRT(3)*Sheet2!P$18)</f>
        <v>15.315578806287087</v>
      </c>
      <c r="O79" s="8" cm="1">
        <f t="array" aca="1" ref="O79" ca="1">[1]!UNIFORM_INV(RAND(),Sheet2!Q$17-SQRT(3)*Sheet2!Q$18,Sheet2!Q$17+SQRT(3)*Sheet2!Q$18)</f>
        <v>10.492250774184043</v>
      </c>
      <c r="P79" s="8" cm="1">
        <f t="array" aca="1" ref="P79" ca="1">[1]!UNIFORM_INV(RAND(),Sheet2!R$17-SQRT(3)*Sheet2!R$18,Sheet2!R$17+SQRT(3)*Sheet2!R$18)</f>
        <v>11.934324088197462</v>
      </c>
      <c r="Q79" s="8" cm="1">
        <f t="array" aca="1" ref="Q79" ca="1">[1]!UNIFORM_INV(RAND(),Sheet2!S$17-SQRT(3)*Sheet2!S$18,Sheet2!S$17+SQRT(3)*Sheet2!S$18)</f>
        <v>3.9604881487657515</v>
      </c>
      <c r="R79" s="8" cm="1">
        <f t="array" aca="1" ref="R79" ca="1">[1]!UNIFORM_INV(RAND(),Sheet2!T$17-SQRT(3)*Sheet2!T$18,Sheet2!T$17+SQRT(3)*Sheet2!T$18)</f>
        <v>14.135338625745929</v>
      </c>
      <c r="S79" s="8" cm="1">
        <f t="array" aca="1" ref="S79" ca="1">[1]!UNIFORM_INV(RAND(),Sheet2!U$17-SQRT(3)*Sheet2!U$18,Sheet2!U$17+SQRT(3)*Sheet2!U$18)</f>
        <v>22.475117623682248</v>
      </c>
      <c r="T79" s="8" cm="1">
        <f t="array" aca="1" ref="T79" ca="1">[1]!UNIFORM_INV(RAND(),Sheet2!V$17-SQRT(3)*Sheet2!V$18,Sheet2!V$17+SQRT(3)*Sheet2!V$18)</f>
        <v>20.371837261092576</v>
      </c>
      <c r="U79" s="8" cm="1">
        <f t="array" aca="1" ref="U79" ca="1">[1]!UNIFORM_INV(RAND(),Sheet2!W$17-SQRT(3)*Sheet2!W$18,Sheet2!W$17+SQRT(3)*Sheet2!W$18)</f>
        <v>28.282943220209006</v>
      </c>
      <c r="V79" s="8" cm="1">
        <f t="array" aca="1" ref="V79" ca="1">[1]!UNIFORM_INV(RAND(),Sheet2!X$17-SQRT(3)*Sheet2!X$18,Sheet2!X$17+SQRT(3)*Sheet2!X$18)</f>
        <v>21.244724309895066</v>
      </c>
      <c r="W79" s="8" cm="1">
        <f t="array" aca="1" ref="W79" ca="1">[1]!UNIFORM_INV(RAND(),Sheet2!Y$17-SQRT(3)*Sheet2!Y$18,Sheet2!Y$17+SQRT(3)*Sheet2!Y$18)</f>
        <v>21.118165538881026</v>
      </c>
      <c r="X79" s="8" cm="1">
        <f t="array" aca="1" ref="X79" ca="1">[1]!UNIFORM_INV(RAND(),Sheet2!Z$17-SQRT(3)*Sheet2!Z$18,Sheet2!Z$17+SQRT(3)*Sheet2!Z$18)</f>
        <v>10.548978195710701</v>
      </c>
      <c r="AX79" s="7">
        <f ca="1">Sheet2!C$17+('RNG HERE'!A79-'RNG HERE'!Y$62)*Sheet2!C$18/'RNG HERE'!Y$63</f>
        <v>6.1671772800720834</v>
      </c>
      <c r="AY79" s="7">
        <f ca="1">Sheet2!D$17+('RNG HERE'!B79-'RNG HERE'!Z$62)*Sheet2!D$18/'RNG HERE'!Z$63</f>
        <v>5.0690927461725863</v>
      </c>
      <c r="AZ79" s="7">
        <f ca="1">Sheet2!E$17+('RNG HERE'!C79-'RNG HERE'!AA$62)*Sheet2!E$18/'RNG HERE'!AA$63</f>
        <v>25.532183650143068</v>
      </c>
      <c r="BA79" s="7">
        <f ca="1">Sheet2!F$17+('RNG HERE'!D79-'RNG HERE'!AB$62)*Sheet2!F$18/'RNG HERE'!AB$63</f>
        <v>2.5568597487283462</v>
      </c>
      <c r="BB79" s="7">
        <f ca="1">Sheet2!G$17+('RNG HERE'!E79-'RNG HERE'!AC$62)*Sheet2!G$18/'RNG HERE'!AC$63</f>
        <v>38.249942462866706</v>
      </c>
      <c r="BC79" s="7">
        <f ca="1">Sheet2!H$17+('RNG HERE'!F79-'RNG HERE'!AD$62)*Sheet2!H$18/'RNG HERE'!AD$63</f>
        <v>21.820315900752959</v>
      </c>
      <c r="BD79" s="7">
        <f ca="1">Sheet2!I$17+('RNG HERE'!G79-'RNG HERE'!AE$62)*Sheet2!I$18/'RNG HERE'!AE$63</f>
        <v>10.803842316540711</v>
      </c>
      <c r="BE79" s="7">
        <f ca="1">Sheet2!J$17+('RNG HERE'!H79-'RNG HERE'!AF$62)*Sheet2!J$18/'RNG HERE'!AF$63</f>
        <v>27.714079182353156</v>
      </c>
      <c r="BF79" s="7">
        <f ca="1">Sheet2!K$17+('RNG HERE'!I79-'RNG HERE'!AG$62)*Sheet2!K$18/'RNG HERE'!AG$63</f>
        <v>17.784456588704092</v>
      </c>
      <c r="BG79" s="7">
        <f ca="1">Sheet2!L$17+('RNG HERE'!J79-'RNG HERE'!AH$62)*Sheet2!L$18/'RNG HERE'!AH$63</f>
        <v>25.563372096549301</v>
      </c>
      <c r="BH79" s="7">
        <f ca="1">Sheet2!M$17+('RNG HERE'!K79-'RNG HERE'!AI$62)*Sheet2!M$18/'RNG HERE'!AI$63</f>
        <v>18.217359364949772</v>
      </c>
      <c r="BI79" s="7">
        <f ca="1">Sheet2!N$17+('RNG HERE'!L79-'RNG HERE'!AJ$62)*Sheet2!N$18/'RNG HERE'!AJ$63</f>
        <v>16.624441523523409</v>
      </c>
      <c r="BJ79" s="7">
        <f ca="1">Sheet2!O$17+('RNG HERE'!M79-'RNG HERE'!AK$62)*Sheet2!O$18/'RNG HERE'!AK$63</f>
        <v>4.5524342358740251</v>
      </c>
      <c r="BK79" s="7">
        <f ca="1">Sheet2!P$17+('RNG HERE'!N79-'RNG HERE'!AL$62)*Sheet2!P$18/'RNG HERE'!AL$63</f>
        <v>15.4085462809156</v>
      </c>
      <c r="BL79" s="7">
        <f ca="1">Sheet2!Q$17+('RNG HERE'!O79-'RNG HERE'!AM$62)*Sheet2!Q$18/'RNG HERE'!AM$63</f>
        <v>10.52739764925056</v>
      </c>
      <c r="BM79" s="7">
        <f ca="1">Sheet2!R$17+('RNG HERE'!P79-'RNG HERE'!AN$62)*Sheet2!R$18/'RNG HERE'!AN$63</f>
        <v>11.862775545863949</v>
      </c>
      <c r="BN79" s="7">
        <f ca="1">Sheet2!S$17+('RNG HERE'!Q79-'RNG HERE'!AO$62)*Sheet2!S$18/'RNG HERE'!AO$63</f>
        <v>4.0099561151944094</v>
      </c>
      <c r="BO79" s="7">
        <f ca="1">Sheet2!T$17+('RNG HERE'!R79-'RNG HERE'!AP$62)*Sheet2!T$18/'RNG HERE'!AP$63</f>
        <v>13.892251415045626</v>
      </c>
      <c r="BP79" s="7">
        <f ca="1">Sheet2!U$17+('RNG HERE'!S79-'RNG HERE'!AQ$62)*Sheet2!U$18/'RNG HERE'!AQ$63</f>
        <v>22.890053422784174</v>
      </c>
      <c r="BQ79" s="7">
        <f ca="1">Sheet2!V$17+('RNG HERE'!T79-'RNG HERE'!AR$62)*Sheet2!V$18/'RNG HERE'!AR$63</f>
        <v>20.605229818915856</v>
      </c>
      <c r="BR79" s="7">
        <f ca="1">Sheet2!W$17+('RNG HERE'!U79-'RNG HERE'!AS$62)*Sheet2!W$18/'RNG HERE'!AS$63</f>
        <v>28.464835607187212</v>
      </c>
      <c r="BS79" s="7">
        <f ca="1">Sheet2!X$17+('RNG HERE'!V79-'RNG HERE'!AT$62)*Sheet2!X$18/'RNG HERE'!AT$63</f>
        <v>20.735562542151794</v>
      </c>
      <c r="BT79" s="7">
        <f ca="1">Sheet2!Y$17+('RNG HERE'!W79-'RNG HERE'!AU$62)*Sheet2!Y$18/'RNG HERE'!AU$63</f>
        <v>21.351681195828064</v>
      </c>
      <c r="BU79" s="7">
        <f ca="1">Sheet2!Z$17+('RNG HERE'!X79-'RNG HERE'!AV$62)*Sheet2!Z$18/'RNG HERE'!AV$63</f>
        <v>10.480545416432056</v>
      </c>
    </row>
    <row r="80" spans="1:73" x14ac:dyDescent="0.3">
      <c r="A80" s="8" cm="1">
        <f t="array" aca="1" ref="A80" ca="1">[1]!UNIFORM_INV(RAND(),Sheet2!C$17-SQRT(3)*Sheet2!C$18,Sheet2!C$17+SQRT(3)*Sheet2!C$18)</f>
        <v>4.5799868646448907</v>
      </c>
      <c r="B80" s="8" cm="1">
        <f t="array" aca="1" ref="B80" ca="1">[1]!UNIFORM_INV(RAND(),Sheet2!D$17-SQRT(3)*Sheet2!D$18,Sheet2!D$17+SQRT(3)*Sheet2!D$18)</f>
        <v>4.5858967238432635</v>
      </c>
      <c r="C80" s="8" cm="1">
        <f t="array" aca="1" ref="C80" ca="1">[1]!UNIFORM_INV(RAND(),Sheet2!E$17-SQRT(3)*Sheet2!E$18,Sheet2!E$17+SQRT(3)*Sheet2!E$18)</f>
        <v>28.936329030273573</v>
      </c>
      <c r="D80" s="8" cm="1">
        <f t="array" aca="1" ref="D80" ca="1">[1]!UNIFORM_INV(RAND(),Sheet2!F$17-SQRT(3)*Sheet2!F$18,Sheet2!F$17+SQRT(3)*Sheet2!F$18)</f>
        <v>7.6637584893243051</v>
      </c>
      <c r="E80" s="8" cm="1">
        <f t="array" aca="1" ref="E80" ca="1">[1]!UNIFORM_INV(RAND(),Sheet2!G$17-SQRT(3)*Sheet2!G$18,Sheet2!G$17+SQRT(3)*Sheet2!G$18)</f>
        <v>28.314413767739275</v>
      </c>
      <c r="F80" s="8" cm="1">
        <f t="array" aca="1" ref="F80" ca="1">[1]!UNIFORM_INV(RAND(),Sheet2!H$17-SQRT(3)*Sheet2!H$18,Sheet2!H$17+SQRT(3)*Sheet2!H$18)</f>
        <v>14.394583110966996</v>
      </c>
      <c r="G80" s="8" cm="1">
        <f t="array" aca="1" ref="G80" ca="1">[1]!UNIFORM_INV(RAND(),Sheet2!I$17-SQRT(3)*Sheet2!I$18,Sheet2!I$17+SQRT(3)*Sheet2!I$18)</f>
        <v>9.5047260545626866</v>
      </c>
      <c r="H80" s="8" cm="1">
        <f t="array" aca="1" ref="H80" ca="1">[1]!UNIFORM_INV(RAND(),Sheet2!J$17-SQRT(3)*Sheet2!J$18,Sheet2!J$17+SQRT(3)*Sheet2!J$18)</f>
        <v>24.45854082423789</v>
      </c>
      <c r="I80" s="8" cm="1">
        <f t="array" aca="1" ref="I80" ca="1">[1]!UNIFORM_INV(RAND(),Sheet2!K$17-SQRT(3)*Sheet2!K$18,Sheet2!K$17+SQRT(3)*Sheet2!K$18)</f>
        <v>19.568227675850515</v>
      </c>
      <c r="J80" s="8" cm="1">
        <f t="array" aca="1" ref="J80" ca="1">[1]!UNIFORM_INV(RAND(),Sheet2!L$17-SQRT(3)*Sheet2!L$18,Sheet2!L$17+SQRT(3)*Sheet2!L$18)</f>
        <v>23.904315109427486</v>
      </c>
      <c r="K80" s="8" cm="1">
        <f t="array" aca="1" ref="K80" ca="1">[1]!UNIFORM_INV(RAND(),Sheet2!M$17-SQRT(3)*Sheet2!M$18,Sheet2!M$17+SQRT(3)*Sheet2!M$18)</f>
        <v>18.352459137282636</v>
      </c>
      <c r="L80" s="8" cm="1">
        <f t="array" aca="1" ref="L80" ca="1">[1]!UNIFORM_INV(RAND(),Sheet2!N$17-SQRT(3)*Sheet2!N$18,Sheet2!N$17+SQRT(3)*Sheet2!N$18)</f>
        <v>15.793765002891879</v>
      </c>
      <c r="M80" s="8" cm="1">
        <f t="array" aca="1" ref="M80" ca="1">[1]!UNIFORM_INV(RAND(),Sheet2!O$17-SQRT(3)*Sheet2!O$18,Sheet2!O$17+SQRT(3)*Sheet2!O$18)</f>
        <v>3.8472404149237982</v>
      </c>
      <c r="N80" s="8" cm="1">
        <f t="array" aca="1" ref="N80" ca="1">[1]!UNIFORM_INV(RAND(),Sheet2!P$17-SQRT(3)*Sheet2!P$18,Sheet2!P$17+SQRT(3)*Sheet2!P$18)</f>
        <v>13.991907415321387</v>
      </c>
      <c r="O80" s="8" cm="1">
        <f t="array" aca="1" ref="O80" ca="1">[1]!UNIFORM_INV(RAND(),Sheet2!Q$17-SQRT(3)*Sheet2!Q$18,Sheet2!Q$17+SQRT(3)*Sheet2!Q$18)</f>
        <v>8.0171620703525335</v>
      </c>
      <c r="P80" s="8" cm="1">
        <f t="array" aca="1" ref="P80" ca="1">[1]!UNIFORM_INV(RAND(),Sheet2!R$17-SQRT(3)*Sheet2!R$18,Sheet2!R$17+SQRT(3)*Sheet2!R$18)</f>
        <v>11.409447556016678</v>
      </c>
      <c r="Q80" s="8" cm="1">
        <f t="array" aca="1" ref="Q80" ca="1">[1]!UNIFORM_INV(RAND(),Sheet2!S$17-SQRT(3)*Sheet2!S$18,Sheet2!S$17+SQRT(3)*Sheet2!S$18)</f>
        <v>4.6503681107301711</v>
      </c>
      <c r="R80" s="8" cm="1">
        <f t="array" aca="1" ref="R80" ca="1">[1]!UNIFORM_INV(RAND(),Sheet2!T$17-SQRT(3)*Sheet2!T$18,Sheet2!T$17+SQRT(3)*Sheet2!T$18)</f>
        <v>14.976410295241593</v>
      </c>
      <c r="S80" s="8" cm="1">
        <f t="array" aca="1" ref="S80" ca="1">[1]!UNIFORM_INV(RAND(),Sheet2!U$17-SQRT(3)*Sheet2!U$18,Sheet2!U$17+SQRT(3)*Sheet2!U$18)</f>
        <v>21.765357542892684</v>
      </c>
      <c r="T80" s="8" cm="1">
        <f t="array" aca="1" ref="T80" ca="1">[1]!UNIFORM_INV(RAND(),Sheet2!V$17-SQRT(3)*Sheet2!V$18,Sheet2!V$17+SQRT(3)*Sheet2!V$18)</f>
        <v>19.641413248570291</v>
      </c>
      <c r="U80" s="8" cm="1">
        <f t="array" aca="1" ref="U80" ca="1">[1]!UNIFORM_INV(RAND(),Sheet2!W$17-SQRT(3)*Sheet2!W$18,Sheet2!W$17+SQRT(3)*Sheet2!W$18)</f>
        <v>27.385747304363854</v>
      </c>
      <c r="V80" s="8" cm="1">
        <f t="array" aca="1" ref="V80" ca="1">[1]!UNIFORM_INV(RAND(),Sheet2!X$17-SQRT(3)*Sheet2!X$18,Sheet2!X$17+SQRT(3)*Sheet2!X$18)</f>
        <v>21.254507416761975</v>
      </c>
      <c r="W80" s="8" cm="1">
        <f t="array" aca="1" ref="W80" ca="1">[1]!UNIFORM_INV(RAND(),Sheet2!Y$17-SQRT(3)*Sheet2!Y$18,Sheet2!Y$17+SQRT(3)*Sheet2!Y$18)</f>
        <v>19.815505376934968</v>
      </c>
      <c r="X80" s="8" cm="1">
        <f t="array" aca="1" ref="X80" ca="1">[1]!UNIFORM_INV(RAND(),Sheet2!Z$17-SQRT(3)*Sheet2!Z$18,Sheet2!Z$17+SQRT(3)*Sheet2!Z$18)</f>
        <v>9.4715919849540526</v>
      </c>
      <c r="AX80" s="7">
        <f ca="1">Sheet2!C$17+('RNG HERE'!A80-'RNG HERE'!Y$62)*Sheet2!C$18/'RNG HERE'!Y$63</f>
        <v>4.6763225283753469</v>
      </c>
      <c r="AY80" s="7">
        <f ca="1">Sheet2!D$17+('RNG HERE'!B80-'RNG HERE'!Z$62)*Sheet2!D$18/'RNG HERE'!Z$63</f>
        <v>4.7934795238899985</v>
      </c>
      <c r="AZ80" s="7">
        <f ca="1">Sheet2!E$17+('RNG HERE'!C80-'RNG HERE'!AA$62)*Sheet2!E$18/'RNG HERE'!AA$63</f>
        <v>29.136053142297037</v>
      </c>
      <c r="BA80" s="7">
        <f ca="1">Sheet2!F$17+('RNG HERE'!D80-'RNG HERE'!AB$62)*Sheet2!F$18/'RNG HERE'!AB$63</f>
        <v>6.7284893925041303</v>
      </c>
      <c r="BB80" s="7">
        <f ca="1">Sheet2!G$17+('RNG HERE'!E80-'RNG HERE'!AC$62)*Sheet2!G$18/'RNG HERE'!AC$63</f>
        <v>29.796967907340758</v>
      </c>
      <c r="BC80" s="7">
        <f ca="1">Sheet2!H$17+('RNG HERE'!F80-'RNG HERE'!AD$62)*Sheet2!H$18/'RNG HERE'!AD$63</f>
        <v>15.103547060886406</v>
      </c>
      <c r="BD80" s="7">
        <f ca="1">Sheet2!I$17+('RNG HERE'!G80-'RNG HERE'!AE$62)*Sheet2!I$18/'RNG HERE'!AE$63</f>
        <v>9.7056744405276874</v>
      </c>
      <c r="BE80" s="7">
        <f ca="1">Sheet2!J$17+('RNG HERE'!H80-'RNG HERE'!AF$62)*Sheet2!J$18/'RNG HERE'!AF$63</f>
        <v>24.622731183315793</v>
      </c>
      <c r="BF80" s="7">
        <f ca="1">Sheet2!K$17+('RNG HERE'!I80-'RNG HERE'!AG$62)*Sheet2!K$18/'RNG HERE'!AG$63</f>
        <v>19.76618180635198</v>
      </c>
      <c r="BG80" s="7">
        <f ca="1">Sheet2!L$17+('RNG HERE'!J80-'RNG HERE'!AH$62)*Sheet2!L$18/'RNG HERE'!AH$63</f>
        <v>24.131198064351519</v>
      </c>
      <c r="BH80" s="7">
        <f ca="1">Sheet2!M$17+('RNG HERE'!K80-'RNG HERE'!AI$62)*Sheet2!M$18/'RNG HERE'!AI$63</f>
        <v>19.5212885591699</v>
      </c>
      <c r="BI80" s="7">
        <f ca="1">Sheet2!N$17+('RNG HERE'!L80-'RNG HERE'!AJ$62)*Sheet2!N$18/'RNG HERE'!AJ$63</f>
        <v>15.681634538803259</v>
      </c>
      <c r="BJ80" s="7">
        <f ca="1">Sheet2!O$17+('RNG HERE'!M80-'RNG HERE'!AK$62)*Sheet2!O$18/'RNG HERE'!AK$63</f>
        <v>3.6102141398455396</v>
      </c>
      <c r="BK80" s="7">
        <f ca="1">Sheet2!P$17+('RNG HERE'!N80-'RNG HERE'!AL$62)*Sheet2!P$18/'RNG HERE'!AL$63</f>
        <v>13.909364579707928</v>
      </c>
      <c r="BL80" s="7">
        <f ca="1">Sheet2!Q$17+('RNG HERE'!O80-'RNG HERE'!AM$62)*Sheet2!Q$18/'RNG HERE'!AM$63</f>
        <v>7.9411348416520529</v>
      </c>
      <c r="BM80" s="7">
        <f ca="1">Sheet2!R$17+('RNG HERE'!P80-'RNG HERE'!AN$62)*Sheet2!R$18/'RNG HERE'!AN$63</f>
        <v>11.363619407678152</v>
      </c>
      <c r="BN80" s="7">
        <f ca="1">Sheet2!S$17+('RNG HERE'!Q80-'RNG HERE'!AO$62)*Sheet2!S$18/'RNG HERE'!AO$63</f>
        <v>4.7769996751265387</v>
      </c>
      <c r="BO80" s="7">
        <f ca="1">Sheet2!T$17+('RNG HERE'!R80-'RNG HERE'!AP$62)*Sheet2!T$18/'RNG HERE'!AP$63</f>
        <v>14.865573082798226</v>
      </c>
      <c r="BP80" s="7">
        <f ca="1">Sheet2!U$17+('RNG HERE'!S80-'RNG HERE'!AQ$62)*Sheet2!U$18/'RNG HERE'!AQ$63</f>
        <v>22.049718883998487</v>
      </c>
      <c r="BQ80" s="7">
        <f ca="1">Sheet2!V$17+('RNG HERE'!T80-'RNG HERE'!AR$62)*Sheet2!V$18/'RNG HERE'!AR$63</f>
        <v>19.853227086815018</v>
      </c>
      <c r="BR80" s="7">
        <f ca="1">Sheet2!W$17+('RNG HERE'!U80-'RNG HERE'!AS$62)*Sheet2!W$18/'RNG HERE'!AS$63</f>
        <v>27.411595647036176</v>
      </c>
      <c r="BS80" s="7">
        <f ca="1">Sheet2!X$17+('RNG HERE'!V80-'RNG HERE'!AT$62)*Sheet2!X$18/'RNG HERE'!AT$63</f>
        <v>20.74473462233923</v>
      </c>
      <c r="BT80" s="7">
        <f ca="1">Sheet2!Y$17+('RNG HERE'!W80-'RNG HERE'!AU$62)*Sheet2!Y$18/'RNG HERE'!AU$63</f>
        <v>19.993200989936462</v>
      </c>
      <c r="BU80" s="7">
        <f ca="1">Sheet2!Z$17+('RNG HERE'!X80-'RNG HERE'!AV$62)*Sheet2!Z$18/'RNG HERE'!AV$63</f>
        <v>9.4229543337155022</v>
      </c>
    </row>
    <row r="81" spans="1:97" x14ac:dyDescent="0.3">
      <c r="A81" s="8" cm="1">
        <f t="array" aca="1" ref="A81" ca="1">[1]!UNIFORM_INV(RAND(),Sheet2!C$17-SQRT(3)*Sheet2!C$18,Sheet2!C$17+SQRT(3)*Sheet2!C$18)</f>
        <v>4.5155610694897588</v>
      </c>
      <c r="B81" s="8" cm="1">
        <f t="array" aca="1" ref="B81" ca="1">[1]!UNIFORM_INV(RAND(),Sheet2!D$17-SQRT(3)*Sheet2!D$18,Sheet2!D$17+SQRT(3)*Sheet2!D$18)</f>
        <v>5.1851221780087604</v>
      </c>
      <c r="C81" s="8" cm="1">
        <f t="array" aca="1" ref="C81" ca="1">[1]!UNIFORM_INV(RAND(),Sheet2!E$17-SQRT(3)*Sheet2!E$18,Sheet2!E$17+SQRT(3)*Sheet2!E$18)</f>
        <v>29.004214064864655</v>
      </c>
      <c r="D81" s="8" cm="1">
        <f t="array" aca="1" ref="D81" ca="1">[1]!UNIFORM_INV(RAND(),Sheet2!F$17-SQRT(3)*Sheet2!F$18,Sheet2!F$17+SQRT(3)*Sheet2!F$18)</f>
        <v>8.9289060137020204</v>
      </c>
      <c r="E81" s="8" cm="1">
        <f t="array" aca="1" ref="E81" ca="1">[1]!UNIFORM_INV(RAND(),Sheet2!G$17-SQRT(3)*Sheet2!G$18,Sheet2!G$17+SQRT(3)*Sheet2!G$18)</f>
        <v>42.515899560607828</v>
      </c>
      <c r="F81" s="8" cm="1">
        <f t="array" aca="1" ref="F81" ca="1">[1]!UNIFORM_INV(RAND(),Sheet2!H$17-SQRT(3)*Sheet2!H$18,Sheet2!H$17+SQRT(3)*Sheet2!H$18)</f>
        <v>15.289052920593733</v>
      </c>
      <c r="G81" s="8" cm="1">
        <f t="array" aca="1" ref="G81" ca="1">[1]!UNIFORM_INV(RAND(),Sheet2!I$17-SQRT(3)*Sheet2!I$18,Sheet2!I$17+SQRT(3)*Sheet2!I$18)</f>
        <v>10.741038110408129</v>
      </c>
      <c r="H81" s="8" cm="1">
        <f t="array" aca="1" ref="H81" ca="1">[1]!UNIFORM_INV(RAND(),Sheet2!J$17-SQRT(3)*Sheet2!J$18,Sheet2!J$17+SQRT(3)*Sheet2!J$18)</f>
        <v>22.579352558746027</v>
      </c>
      <c r="I81" s="8" cm="1">
        <f t="array" aca="1" ref="I81" ca="1">[1]!UNIFORM_INV(RAND(),Sheet2!K$17-SQRT(3)*Sheet2!K$18,Sheet2!K$17+SQRT(3)*Sheet2!K$18)</f>
        <v>17.955232666974755</v>
      </c>
      <c r="J81" s="8" cm="1">
        <f t="array" aca="1" ref="J81" ca="1">[1]!UNIFORM_INV(RAND(),Sheet2!L$17-SQRT(3)*Sheet2!L$18,Sheet2!L$17+SQRT(3)*Sheet2!L$18)</f>
        <v>24.017782461033107</v>
      </c>
      <c r="K81" s="8" cm="1">
        <f t="array" aca="1" ref="K81" ca="1">[1]!UNIFORM_INV(RAND(),Sheet2!M$17-SQRT(3)*Sheet2!M$18,Sheet2!M$17+SQRT(3)*Sheet2!M$18)</f>
        <v>18.680275911159161</v>
      </c>
      <c r="L81" s="8" cm="1">
        <f t="array" aca="1" ref="L81" ca="1">[1]!UNIFORM_INV(RAND(),Sheet2!N$17-SQRT(3)*Sheet2!N$18,Sheet2!N$17+SQRT(3)*Sheet2!N$18)</f>
        <v>20.317763202687864</v>
      </c>
      <c r="M81" s="8" cm="1">
        <f t="array" aca="1" ref="M81" ca="1">[1]!UNIFORM_INV(RAND(),Sheet2!O$17-SQRT(3)*Sheet2!O$18,Sheet2!O$17+SQRT(3)*Sheet2!O$18)</f>
        <v>4.9167202992921757</v>
      </c>
      <c r="N81" s="8" cm="1">
        <f t="array" aca="1" ref="N81" ca="1">[1]!UNIFORM_INV(RAND(),Sheet2!P$17-SQRT(3)*Sheet2!P$18,Sheet2!P$17+SQRT(3)*Sheet2!P$18)</f>
        <v>19.864002863808469</v>
      </c>
      <c r="O81" s="8" cm="1">
        <f t="array" aca="1" ref="O81" ca="1">[1]!UNIFORM_INV(RAND(),Sheet2!Q$17-SQRT(3)*Sheet2!Q$18,Sheet2!Q$17+SQRT(3)*Sheet2!Q$18)</f>
        <v>9.2984968640840169</v>
      </c>
      <c r="P81" s="8" cm="1">
        <f t="array" aca="1" ref="P81" ca="1">[1]!UNIFORM_INV(RAND(),Sheet2!R$17-SQRT(3)*Sheet2!R$18,Sheet2!R$17+SQRT(3)*Sheet2!R$18)</f>
        <v>11.765521316560866</v>
      </c>
      <c r="Q81" s="8" cm="1">
        <f t="array" aca="1" ref="Q81" ca="1">[1]!UNIFORM_INV(RAND(),Sheet2!S$17-SQRT(3)*Sheet2!S$18,Sheet2!S$17+SQRT(3)*Sheet2!S$18)</f>
        <v>4.428218011598207</v>
      </c>
      <c r="R81" s="8" cm="1">
        <f t="array" aca="1" ref="R81" ca="1">[1]!UNIFORM_INV(RAND(),Sheet2!T$17-SQRT(3)*Sheet2!T$18,Sheet2!T$17+SQRT(3)*Sheet2!T$18)</f>
        <v>12.571805639543893</v>
      </c>
      <c r="S81" s="8" cm="1">
        <f t="array" aca="1" ref="S81" ca="1">[1]!UNIFORM_INV(RAND(),Sheet2!U$17-SQRT(3)*Sheet2!U$18,Sheet2!U$17+SQRT(3)*Sheet2!U$18)</f>
        <v>21.202846094662021</v>
      </c>
      <c r="T81" s="8" cm="1">
        <f t="array" aca="1" ref="T81" ca="1">[1]!UNIFORM_INV(RAND(),Sheet2!V$17-SQRT(3)*Sheet2!V$18,Sheet2!V$17+SQRT(3)*Sheet2!V$18)</f>
        <v>19.351051285269705</v>
      </c>
      <c r="U81" s="8" cm="1">
        <f t="array" aca="1" ref="U81" ca="1">[1]!UNIFORM_INV(RAND(),Sheet2!W$17-SQRT(3)*Sheet2!W$18,Sheet2!W$17+SQRT(3)*Sheet2!W$18)</f>
        <v>29.029432134776446</v>
      </c>
      <c r="V81" s="8" cm="1">
        <f t="array" aca="1" ref="V81" ca="1">[1]!UNIFORM_INV(RAND(),Sheet2!X$17-SQRT(3)*Sheet2!X$18,Sheet2!X$17+SQRT(3)*Sheet2!X$18)</f>
        <v>24.622114942813017</v>
      </c>
      <c r="W81" s="8" cm="1">
        <f t="array" aca="1" ref="W81" ca="1">[1]!UNIFORM_INV(RAND(),Sheet2!Y$17-SQRT(3)*Sheet2!Y$18,Sheet2!Y$17+SQRT(3)*Sheet2!Y$18)</f>
        <v>18.182132656691618</v>
      </c>
      <c r="X81" s="8" cm="1">
        <f t="array" aca="1" ref="X81" ca="1">[1]!UNIFORM_INV(RAND(),Sheet2!Z$17-SQRT(3)*Sheet2!Z$18,Sheet2!Z$17+SQRT(3)*Sheet2!Z$18)</f>
        <v>8.2570525223379203</v>
      </c>
      <c r="AX81" s="7">
        <f ca="1">Sheet2!C$17+('RNG HERE'!A81-'RNG HERE'!Y$62)*Sheet2!C$18/'RNG HERE'!Y$63</f>
        <v>4.6038020184593993</v>
      </c>
      <c r="AY81" s="7">
        <f ca="1">Sheet2!D$17+('RNG HERE'!B81-'RNG HERE'!Z$62)*Sheet2!D$18/'RNG HERE'!Z$63</f>
        <v>5.3834593089720411</v>
      </c>
      <c r="AZ81" s="7">
        <f ca="1">Sheet2!E$17+('RNG HERE'!C81-'RNG HERE'!AA$62)*Sheet2!E$18/'RNG HERE'!AA$63</f>
        <v>29.212191372217049</v>
      </c>
      <c r="BA81" s="7">
        <f ca="1">Sheet2!F$17+('RNG HERE'!D81-'RNG HERE'!AB$62)*Sheet2!F$18/'RNG HERE'!AB$63</f>
        <v>7.8937918389010084</v>
      </c>
      <c r="BB81" s="7">
        <f ca="1">Sheet2!G$17+('RNG HERE'!E81-'RNG HERE'!AC$62)*Sheet2!G$18/'RNG HERE'!AC$63</f>
        <v>43.289914572286612</v>
      </c>
      <c r="BC81" s="7">
        <f ca="1">Sheet2!H$17+('RNG HERE'!F81-'RNG HERE'!AD$62)*Sheet2!H$18/'RNG HERE'!AD$63</f>
        <v>15.992766177602586</v>
      </c>
      <c r="BD81" s="7">
        <f ca="1">Sheet2!I$17+('RNG HERE'!G81-'RNG HERE'!AE$62)*Sheet2!I$18/'RNG HERE'!AE$63</f>
        <v>10.918354712057578</v>
      </c>
      <c r="BE81" s="7">
        <f ca="1">Sheet2!J$17+('RNG HERE'!H81-'RNG HERE'!AF$62)*Sheet2!J$18/'RNG HERE'!AF$63</f>
        <v>22.760793233548291</v>
      </c>
      <c r="BF81" s="7">
        <f ca="1">Sheet2!K$17+('RNG HERE'!I81-'RNG HERE'!AG$62)*Sheet2!K$18/'RNG HERE'!AG$63</f>
        <v>18.292779180662293</v>
      </c>
      <c r="BG81" s="7">
        <f ca="1">Sheet2!L$17+('RNG HERE'!J81-'RNG HERE'!AH$62)*Sheet2!L$18/'RNG HERE'!AH$63</f>
        <v>24.253243520178767</v>
      </c>
      <c r="BH81" s="7">
        <f ca="1">Sheet2!M$17+('RNG HERE'!K81-'RNG HERE'!AI$62)*Sheet2!M$18/'RNG HERE'!AI$63</f>
        <v>19.885960585341788</v>
      </c>
      <c r="BI81" s="7">
        <f ca="1">Sheet2!N$17+('RNG HERE'!L81-'RNG HERE'!AJ$62)*Sheet2!N$18/'RNG HERE'!AJ$63</f>
        <v>20.862323540648596</v>
      </c>
      <c r="BJ81" s="7">
        <f ca="1">Sheet2!O$17+('RNG HERE'!M81-'RNG HERE'!AK$62)*Sheet2!O$18/'RNG HERE'!AK$63</f>
        <v>4.7221811022138516</v>
      </c>
      <c r="BK81" s="7">
        <f ca="1">Sheet2!P$17+('RNG HERE'!N81-'RNG HERE'!AL$62)*Sheet2!P$18/'RNG HERE'!AL$63</f>
        <v>20.560062104940467</v>
      </c>
      <c r="BL81" s="7">
        <f ca="1">Sheet2!Q$17+('RNG HERE'!O81-'RNG HERE'!AM$62)*Sheet2!Q$18/'RNG HERE'!AM$63</f>
        <v>9.2800236321748635</v>
      </c>
      <c r="BM81" s="7">
        <f ca="1">Sheet2!R$17+('RNG HERE'!P81-'RNG HERE'!AN$62)*Sheet2!R$18/'RNG HERE'!AN$63</f>
        <v>11.702244574408436</v>
      </c>
      <c r="BN81" s="7">
        <f ca="1">Sheet2!S$17+('RNG HERE'!Q81-'RNG HERE'!AO$62)*Sheet2!S$18/'RNG HERE'!AO$63</f>
        <v>4.5300019186005338</v>
      </c>
      <c r="BO81" s="7">
        <f ca="1">Sheet2!T$17+('RNG HERE'!R81-'RNG HERE'!AP$62)*Sheet2!T$18/'RNG HERE'!AP$63</f>
        <v>12.082868708541072</v>
      </c>
      <c r="BP81" s="7">
        <f ca="1">Sheet2!U$17+('RNG HERE'!S81-'RNG HERE'!AQ$62)*Sheet2!U$18/'RNG HERE'!AQ$63</f>
        <v>21.383722287113613</v>
      </c>
      <c r="BQ81" s="7">
        <f ca="1">Sheet2!V$17+('RNG HERE'!T81-'RNG HERE'!AR$62)*Sheet2!V$18/'RNG HERE'!AR$63</f>
        <v>19.55428703835441</v>
      </c>
      <c r="BR81" s="7">
        <f ca="1">Sheet2!W$17+('RNG HERE'!U81-'RNG HERE'!AS$62)*Sheet2!W$18/'RNG HERE'!AS$63</f>
        <v>29.341156977744916</v>
      </c>
      <c r="BS81" s="7">
        <f ca="1">Sheet2!X$17+('RNG HERE'!V81-'RNG HERE'!AT$62)*Sheet2!X$18/'RNG HERE'!AT$63</f>
        <v>23.902010392598935</v>
      </c>
      <c r="BT81" s="7">
        <f ca="1">Sheet2!Y$17+('RNG HERE'!W81-'RNG HERE'!AU$62)*Sheet2!Y$18/'RNG HERE'!AU$63</f>
        <v>18.289836924531198</v>
      </c>
      <c r="BU81" s="7">
        <f ca="1">Sheet2!Z$17+('RNG HERE'!X81-'RNG HERE'!AV$62)*Sheet2!Z$18/'RNG HERE'!AV$63</f>
        <v>8.2307299554509239</v>
      </c>
    </row>
    <row r="82" spans="1:97" x14ac:dyDescent="0.3">
      <c r="A82" s="8" cm="1">
        <f t="array" aca="1" ref="A82" ca="1">[1]!UNIFORM_INV(RAND(),Sheet2!C$17-SQRT(3)*Sheet2!C$18,Sheet2!C$17+SQRT(3)*Sheet2!C$18)</f>
        <v>6.442646313154972</v>
      </c>
      <c r="B82" s="8" cm="1">
        <f t="array" aca="1" ref="B82" ca="1">[1]!UNIFORM_INV(RAND(),Sheet2!D$17-SQRT(3)*Sheet2!D$18,Sheet2!D$17+SQRT(3)*Sheet2!D$18)</f>
        <v>6.1299216965970089</v>
      </c>
      <c r="C82" s="8" cm="1">
        <f t="array" aca="1" ref="C82" ca="1">[1]!UNIFORM_INV(RAND(),Sheet2!E$17-SQRT(3)*Sheet2!E$18,Sheet2!E$17+SQRT(3)*Sheet2!E$18)</f>
        <v>27.162608509203</v>
      </c>
      <c r="D82" s="8" cm="1">
        <f t="array" aca="1" ref="D82" ca="1">[1]!UNIFORM_INV(RAND(),Sheet2!F$17-SQRT(3)*Sheet2!F$18,Sheet2!F$17+SQRT(3)*Sheet2!F$18)</f>
        <v>-1.0293107506793187</v>
      </c>
      <c r="E82" s="8" cm="1">
        <f t="array" aca="1" ref="E82" ca="1">[1]!UNIFORM_INV(RAND(),Sheet2!G$17-SQRT(3)*Sheet2!G$18,Sheet2!G$17+SQRT(3)*Sheet2!G$18)</f>
        <v>27.050696162423677</v>
      </c>
      <c r="F82" s="8" cm="1">
        <f t="array" aca="1" ref="F82" ca="1">[1]!UNIFORM_INV(RAND(),Sheet2!H$17-SQRT(3)*Sheet2!H$18,Sheet2!H$17+SQRT(3)*Sheet2!H$18)</f>
        <v>19.068230783346952</v>
      </c>
      <c r="G82" s="8" cm="1">
        <f t="array" aca="1" ref="G82" ca="1">[1]!UNIFORM_INV(RAND(),Sheet2!I$17-SQRT(3)*Sheet2!I$18,Sheet2!I$17+SQRT(3)*Sheet2!I$18)</f>
        <v>10.977534005306596</v>
      </c>
      <c r="H82" s="8" cm="1">
        <f t="array" aca="1" ref="H82" ca="1">[1]!UNIFORM_INV(RAND(),Sheet2!J$17-SQRT(3)*Sheet2!J$18,Sheet2!J$17+SQRT(3)*Sheet2!J$18)</f>
        <v>24.100017577928565</v>
      </c>
      <c r="I82" s="8" cm="1">
        <f t="array" aca="1" ref="I82" ca="1">[1]!UNIFORM_INV(RAND(),Sheet2!K$17-SQRT(3)*Sheet2!K$18,Sheet2!K$17+SQRT(3)*Sheet2!K$18)</f>
        <v>19.416606719807309</v>
      </c>
      <c r="J82" s="8" cm="1">
        <f t="array" aca="1" ref="J82" ca="1">[1]!UNIFORM_INV(RAND(),Sheet2!L$17-SQRT(3)*Sheet2!L$18,Sheet2!L$17+SQRT(3)*Sheet2!L$18)</f>
        <v>27.865524000024937</v>
      </c>
      <c r="K82" s="8" cm="1">
        <f t="array" aca="1" ref="K82" ca="1">[1]!UNIFORM_INV(RAND(),Sheet2!M$17-SQRT(3)*Sheet2!M$18,Sheet2!M$17+SQRT(3)*Sheet2!M$18)</f>
        <v>16.554753973133089</v>
      </c>
      <c r="L82" s="8" cm="1">
        <f t="array" aca="1" ref="L82" ca="1">[1]!UNIFORM_INV(RAND(),Sheet2!N$17-SQRT(3)*Sheet2!N$18,Sheet2!N$17+SQRT(3)*Sheet2!N$18)</f>
        <v>15.576026611905396</v>
      </c>
      <c r="M82" s="8" cm="1">
        <f t="array" aca="1" ref="M82" ca="1">[1]!UNIFORM_INV(RAND(),Sheet2!O$17-SQRT(3)*Sheet2!O$18,Sheet2!O$17+SQRT(3)*Sheet2!O$18)</f>
        <v>5.6611108496331042</v>
      </c>
      <c r="N82" s="8" cm="1">
        <f t="array" aca="1" ref="N82" ca="1">[1]!UNIFORM_INV(RAND(),Sheet2!P$17-SQRT(3)*Sheet2!P$18,Sheet2!P$17+SQRT(3)*Sheet2!P$18)</f>
        <v>14.125722227243292</v>
      </c>
      <c r="O82" s="8" cm="1">
        <f t="array" aca="1" ref="O82" ca="1">[1]!UNIFORM_INV(RAND(),Sheet2!Q$17-SQRT(3)*Sheet2!Q$18,Sheet2!Q$17+SQRT(3)*Sheet2!Q$18)</f>
        <v>8.3421659758784763</v>
      </c>
      <c r="P82" s="8" cm="1">
        <f t="array" aca="1" ref="P82" ca="1">[1]!UNIFORM_INV(RAND(),Sheet2!R$17-SQRT(3)*Sheet2!R$18,Sheet2!R$17+SQRT(3)*Sheet2!R$18)</f>
        <v>9.5778111652087521</v>
      </c>
      <c r="Q82" s="8" cm="1">
        <f t="array" aca="1" ref="Q82" ca="1">[1]!UNIFORM_INV(RAND(),Sheet2!S$17-SQRT(3)*Sheet2!S$18,Sheet2!S$17+SQRT(3)*Sheet2!S$18)</f>
        <v>3.8845601027012502</v>
      </c>
      <c r="R82" s="8" cm="1">
        <f t="array" aca="1" ref="R82" ca="1">[1]!UNIFORM_INV(RAND(),Sheet2!T$17-SQRT(3)*Sheet2!T$18,Sheet2!T$17+SQRT(3)*Sheet2!T$18)</f>
        <v>11.376765887727654</v>
      </c>
      <c r="S82" s="8" cm="1">
        <f t="array" aca="1" ref="S82" ca="1">[1]!UNIFORM_INV(RAND(),Sheet2!U$17-SQRT(3)*Sheet2!U$18,Sheet2!U$17+SQRT(3)*Sheet2!U$18)</f>
        <v>19.526229220406858</v>
      </c>
      <c r="T82" s="8" cm="1">
        <f t="array" aca="1" ref="T82" ca="1">[1]!UNIFORM_INV(RAND(),Sheet2!V$17-SQRT(3)*Sheet2!V$18,Sheet2!V$17+SQRT(3)*Sheet2!V$18)</f>
        <v>19.370222729190665</v>
      </c>
      <c r="U82" s="8" cm="1">
        <f t="array" aca="1" ref="U82" ca="1">[1]!UNIFORM_INV(RAND(),Sheet2!W$17-SQRT(3)*Sheet2!W$18,Sheet2!W$17+SQRT(3)*Sheet2!W$18)</f>
        <v>26.973572168134968</v>
      </c>
      <c r="V82" s="8" cm="1">
        <f t="array" aca="1" ref="V82" ca="1">[1]!UNIFORM_INV(RAND(),Sheet2!X$17-SQRT(3)*Sheet2!X$18,Sheet2!X$17+SQRT(3)*Sheet2!X$18)</f>
        <v>24.236746894722383</v>
      </c>
      <c r="W82" s="8" cm="1">
        <f t="array" aca="1" ref="W82" ca="1">[1]!UNIFORM_INV(RAND(),Sheet2!Y$17-SQRT(3)*Sheet2!Y$18,Sheet2!Y$17+SQRT(3)*Sheet2!Y$18)</f>
        <v>21.17300051360894</v>
      </c>
      <c r="X82" s="8" cm="1">
        <f t="array" aca="1" ref="X82" ca="1">[1]!UNIFORM_INV(RAND(),Sheet2!Z$17-SQRT(3)*Sheet2!Z$18,Sheet2!Z$17+SQRT(3)*Sheet2!Z$18)</f>
        <v>9.6894105867776901</v>
      </c>
      <c r="AX82" s="7">
        <f ca="1">Sheet2!C$17+('RNG HERE'!A82-'RNG HERE'!Y$62)*Sheet2!C$18/'RNG HERE'!Y$63</f>
        <v>6.7730139650963874</v>
      </c>
      <c r="AY82" s="7">
        <f ca="1">Sheet2!D$17+('RNG HERE'!B82-'RNG HERE'!Z$62)*Sheet2!D$18/'RNG HERE'!Z$63</f>
        <v>6.313681169621443</v>
      </c>
      <c r="AZ82" s="7">
        <f ca="1">Sheet2!E$17+('RNG HERE'!C82-'RNG HERE'!AA$62)*Sheet2!E$18/'RNG HERE'!AA$63</f>
        <v>27.146690661146359</v>
      </c>
      <c r="BA82" s="7">
        <f ca="1">Sheet2!F$17+('RNG HERE'!D82-'RNG HERE'!AB$62)*Sheet2!F$18/'RNG HERE'!AB$63</f>
        <v>-1.2785253286101605</v>
      </c>
      <c r="BB82" s="7">
        <f ca="1">Sheet2!G$17+('RNG HERE'!E82-'RNG HERE'!AC$62)*Sheet2!G$18/'RNG HERE'!AC$63</f>
        <v>28.596299576099039</v>
      </c>
      <c r="BC82" s="7">
        <f ca="1">Sheet2!H$17+('RNG HERE'!F82-'RNG HERE'!AD$62)*Sheet2!H$18/'RNG HERE'!AD$63</f>
        <v>19.749759610877998</v>
      </c>
      <c r="BD82" s="7">
        <f ca="1">Sheet2!I$17+('RNG HERE'!G82-'RNG HERE'!AE$62)*Sheet2!I$18/'RNG HERE'!AE$63</f>
        <v>11.150330049259201</v>
      </c>
      <c r="BE82" s="7">
        <f ca="1">Sheet2!J$17+('RNG HERE'!H82-'RNG HERE'!AF$62)*Sheet2!J$18/'RNG HERE'!AF$63</f>
        <v>24.267499059725214</v>
      </c>
      <c r="BF82" s="7">
        <f ca="1">Sheet2!K$17+('RNG HERE'!I82-'RNG HERE'!AG$62)*Sheet2!K$18/'RNG HERE'!AG$63</f>
        <v>19.62768248458449</v>
      </c>
      <c r="BG82" s="7">
        <f ca="1">Sheet2!L$17+('RNG HERE'!J82-'RNG HERE'!AH$62)*Sheet2!L$18/'RNG HERE'!AH$63</f>
        <v>28.391873384951513</v>
      </c>
      <c r="BH82" s="7">
        <f ca="1">Sheet2!M$17+('RNG HERE'!K82-'RNG HERE'!AI$62)*Sheet2!M$18/'RNG HERE'!AI$63</f>
        <v>17.521473916014966</v>
      </c>
      <c r="BI82" s="7">
        <f ca="1">Sheet2!N$17+('RNG HERE'!L82-'RNG HERE'!AJ$62)*Sheet2!N$18/'RNG HERE'!AJ$63</f>
        <v>15.432289857915887</v>
      </c>
      <c r="BJ82" s="7">
        <f ca="1">Sheet2!O$17+('RNG HERE'!M82-'RNG HERE'!AK$62)*Sheet2!O$18/'RNG HERE'!AK$63</f>
        <v>5.4961439519846351</v>
      </c>
      <c r="BK82" s="7">
        <f ca="1">Sheet2!P$17+('RNG HERE'!N82-'RNG HERE'!AL$62)*Sheet2!P$18/'RNG HERE'!AL$63</f>
        <v>14.060922374756672</v>
      </c>
      <c r="BL82" s="7">
        <f ca="1">Sheet2!Q$17+('RNG HERE'!O82-'RNG HERE'!AM$62)*Sheet2!Q$18/'RNG HERE'!AM$63</f>
        <v>8.2807370190951559</v>
      </c>
      <c r="BM82" s="7">
        <f ca="1">Sheet2!R$17+('RNG HERE'!P82-'RNG HERE'!AN$62)*Sheet2!R$18/'RNG HERE'!AN$63</f>
        <v>9.6217382387914672</v>
      </c>
      <c r="BN82" s="7">
        <f ca="1">Sheet2!S$17+('RNG HERE'!Q82-'RNG HERE'!AO$62)*Sheet2!S$18/'RNG HERE'!AO$63</f>
        <v>3.9255354594818304</v>
      </c>
      <c r="BO82" s="7">
        <f ca="1">Sheet2!T$17+('RNG HERE'!R82-'RNG HERE'!AP$62)*Sheet2!T$18/'RNG HERE'!AP$63</f>
        <v>10.699921063941529</v>
      </c>
      <c r="BP82" s="7">
        <f ca="1">Sheet2!U$17+('RNG HERE'!S82-'RNG HERE'!AQ$62)*Sheet2!U$18/'RNG HERE'!AQ$63</f>
        <v>19.398658452331336</v>
      </c>
      <c r="BQ82" s="7">
        <f ca="1">Sheet2!V$17+('RNG HERE'!T82-'RNG HERE'!AR$62)*Sheet2!V$18/'RNG HERE'!AR$63</f>
        <v>19.574024859071855</v>
      </c>
      <c r="BR82" s="7">
        <f ca="1">Sheet2!W$17+('RNG HERE'!U82-'RNG HERE'!AS$62)*Sheet2!W$18/'RNG HERE'!AS$63</f>
        <v>26.927733297252715</v>
      </c>
      <c r="BS82" s="7">
        <f ca="1">Sheet2!X$17+('RNG HERE'!V82-'RNG HERE'!AT$62)*Sheet2!X$18/'RNG HERE'!AT$63</f>
        <v>23.540711401711008</v>
      </c>
      <c r="BT82" s="7">
        <f ca="1">Sheet2!Y$17+('RNG HERE'!W82-'RNG HERE'!AU$62)*Sheet2!Y$18/'RNG HERE'!AU$63</f>
        <v>21.408865893675241</v>
      </c>
      <c r="BU82" s="7">
        <f ca="1">Sheet2!Z$17+('RNG HERE'!X82-'RNG HERE'!AV$62)*Sheet2!Z$18/'RNG HERE'!AV$63</f>
        <v>9.6367708914535886</v>
      </c>
    </row>
    <row r="83" spans="1:97" x14ac:dyDescent="0.3">
      <c r="A83" s="8" cm="1">
        <f t="array" aca="1" ref="A83" ca="1">[1]!UNIFORM_INV(RAND(),Sheet2!C$17-SQRT(3)*Sheet2!C$18,Sheet2!C$17+SQRT(3)*Sheet2!C$18)</f>
        <v>4.2580307996759199</v>
      </c>
      <c r="B83" s="8" cm="1">
        <f t="array" aca="1" ref="B83" ca="1">[1]!UNIFORM_INV(RAND(),Sheet2!D$17-SQRT(3)*Sheet2!D$18,Sheet2!D$17+SQRT(3)*Sheet2!D$18)</f>
        <v>4.556913269192437</v>
      </c>
      <c r="C83" s="8" cm="1">
        <f t="array" aca="1" ref="C83" ca="1">[1]!UNIFORM_INV(RAND(),Sheet2!E$17-SQRT(3)*Sheet2!E$18,Sheet2!E$17+SQRT(3)*Sheet2!E$18)</f>
        <v>26.665220663837975</v>
      </c>
      <c r="D83" s="8" cm="1">
        <f t="array" aca="1" ref="D83" ca="1">[1]!UNIFORM_INV(RAND(),Sheet2!F$17-SQRT(3)*Sheet2!F$18,Sheet2!F$17+SQRT(3)*Sheet2!F$18)</f>
        <v>8.8181098608060982</v>
      </c>
      <c r="E83" s="8" cm="1">
        <f t="array" aca="1" ref="E83" ca="1">[1]!UNIFORM_INV(RAND(),Sheet2!G$17-SQRT(3)*Sheet2!G$18,Sheet2!G$17+SQRT(3)*Sheet2!G$18)</f>
        <v>31.525061871750374</v>
      </c>
      <c r="F83" s="8" cm="1">
        <f t="array" aca="1" ref="F83" ca="1">[1]!UNIFORM_INV(RAND(),Sheet2!H$17-SQRT(3)*Sheet2!H$18,Sheet2!H$17+SQRT(3)*Sheet2!H$18)</f>
        <v>16.477710453596085</v>
      </c>
      <c r="G83" s="8" cm="1">
        <f t="array" aca="1" ref="G83" ca="1">[1]!UNIFORM_INV(RAND(),Sheet2!I$17-SQRT(3)*Sheet2!I$18,Sheet2!I$17+SQRT(3)*Sheet2!I$18)</f>
        <v>9.7499369689748967</v>
      </c>
      <c r="H83" s="8" cm="1">
        <f t="array" aca="1" ref="H83" ca="1">[1]!UNIFORM_INV(RAND(),Sheet2!J$17-SQRT(3)*Sheet2!J$18,Sheet2!J$17+SQRT(3)*Sheet2!J$18)</f>
        <v>25.460060470371893</v>
      </c>
      <c r="I83" s="8" cm="1">
        <f t="array" aca="1" ref="I83" ca="1">[1]!UNIFORM_INV(RAND(),Sheet2!K$17-SQRT(3)*Sheet2!K$18,Sheet2!K$17+SQRT(3)*Sheet2!K$18)</f>
        <v>23.371409074288902</v>
      </c>
      <c r="J83" s="8" cm="1">
        <f t="array" aca="1" ref="J83" ca="1">[1]!UNIFORM_INV(RAND(),Sheet2!L$17-SQRT(3)*Sheet2!L$18,Sheet2!L$17+SQRT(3)*Sheet2!L$18)</f>
        <v>25.32330249953419</v>
      </c>
      <c r="K83" s="8" cm="1">
        <f t="array" aca="1" ref="K83" ca="1">[1]!UNIFORM_INV(RAND(),Sheet2!M$17-SQRT(3)*Sheet2!M$18,Sheet2!M$17+SQRT(3)*Sheet2!M$18)</f>
        <v>15.622042269853026</v>
      </c>
      <c r="L83" s="8" cm="1">
        <f t="array" aca="1" ref="L83" ca="1">[1]!UNIFORM_INV(RAND(),Sheet2!N$17-SQRT(3)*Sheet2!N$18,Sheet2!N$17+SQRT(3)*Sheet2!N$18)</f>
        <v>17.232192697785809</v>
      </c>
      <c r="M83" s="8" cm="1">
        <f t="array" aca="1" ref="M83" ca="1">[1]!UNIFORM_INV(RAND(),Sheet2!O$17-SQRT(3)*Sheet2!O$18,Sheet2!O$17+SQRT(3)*Sheet2!O$18)</f>
        <v>4.0209810650247757</v>
      </c>
      <c r="N83" s="8" cm="1">
        <f t="array" aca="1" ref="N83" ca="1">[1]!UNIFORM_INV(RAND(),Sheet2!P$17-SQRT(3)*Sheet2!P$18,Sheet2!P$17+SQRT(3)*Sheet2!P$18)</f>
        <v>17.151149026573805</v>
      </c>
      <c r="O83" s="8" cm="1">
        <f t="array" aca="1" ref="O83" ca="1">[1]!UNIFORM_INV(RAND(),Sheet2!Q$17-SQRT(3)*Sheet2!Q$18,Sheet2!Q$17+SQRT(3)*Sheet2!Q$18)</f>
        <v>11.693114137639983</v>
      </c>
      <c r="P83" s="8" cm="1">
        <f t="array" aca="1" ref="P83" ca="1">[1]!UNIFORM_INV(RAND(),Sheet2!R$17-SQRT(3)*Sheet2!R$18,Sheet2!R$17+SQRT(3)*Sheet2!R$18)</f>
        <v>9.8013879285702892</v>
      </c>
      <c r="Q83" s="8" cm="1">
        <f t="array" aca="1" ref="Q83" ca="1">[1]!UNIFORM_INV(RAND(),Sheet2!S$17-SQRT(3)*Sheet2!S$18,Sheet2!S$17+SQRT(3)*Sheet2!S$18)</f>
        <v>4.3612796023063334</v>
      </c>
      <c r="R83" s="8" cm="1">
        <f t="array" aca="1" ref="R83" ca="1">[1]!UNIFORM_INV(RAND(),Sheet2!T$17-SQRT(3)*Sheet2!T$18,Sheet2!T$17+SQRT(3)*Sheet2!T$18)</f>
        <v>15.705682675509308</v>
      </c>
      <c r="S83" s="8" cm="1">
        <f t="array" aca="1" ref="S83" ca="1">[1]!UNIFORM_INV(RAND(),Sheet2!U$17-SQRT(3)*Sheet2!U$18,Sheet2!U$17+SQRT(3)*Sheet2!U$18)</f>
        <v>21.729218240280094</v>
      </c>
      <c r="T83" s="8" cm="1">
        <f t="array" aca="1" ref="T83" ca="1">[1]!UNIFORM_INV(RAND(),Sheet2!V$17-SQRT(3)*Sheet2!V$18,Sheet2!V$17+SQRT(3)*Sheet2!V$18)</f>
        <v>22.009631854345038</v>
      </c>
      <c r="U83" s="8" cm="1">
        <f t="array" aca="1" ref="U83" ca="1">[1]!UNIFORM_INV(RAND(),Sheet2!W$17-SQRT(3)*Sheet2!W$18,Sheet2!W$17+SQRT(3)*Sheet2!W$18)</f>
        <v>28.040307566870581</v>
      </c>
      <c r="V83" s="8" cm="1">
        <f t="array" aca="1" ref="V83" ca="1">[1]!UNIFORM_INV(RAND(),Sheet2!X$17-SQRT(3)*Sheet2!X$18,Sheet2!X$17+SQRT(3)*Sheet2!X$18)</f>
        <v>24.6635101288363</v>
      </c>
      <c r="W83" s="8" cm="1">
        <f t="array" aca="1" ref="W83" ca="1">[1]!UNIFORM_INV(RAND(),Sheet2!Y$17-SQRT(3)*Sheet2!Y$18,Sheet2!Y$17+SQRT(3)*Sheet2!Y$18)</f>
        <v>17.080437990266809</v>
      </c>
      <c r="X83" s="8" cm="1">
        <f t="array" aca="1" ref="X83" ca="1">[1]!UNIFORM_INV(RAND(),Sheet2!Z$17-SQRT(3)*Sheet2!Z$18,Sheet2!Z$17+SQRT(3)*Sheet2!Z$18)</f>
        <v>10.591261012043905</v>
      </c>
      <c r="AX83" s="7">
        <f ca="1">Sheet2!C$17+('RNG HERE'!A83-'RNG HERE'!Y$62)*Sheet2!C$18/'RNG HERE'!Y$63</f>
        <v>4.3139146148081071</v>
      </c>
      <c r="AY83" s="7">
        <f ca="1">Sheet2!D$17+('RNG HERE'!B83-'RNG HERE'!Z$62)*Sheet2!D$18/'RNG HERE'!Z$63</f>
        <v>4.7649432655802721</v>
      </c>
      <c r="AZ83" s="7">
        <f ca="1">Sheet2!E$17+('RNG HERE'!C83-'RNG HERE'!AA$62)*Sheet2!E$18/'RNG HERE'!AA$63</f>
        <v>26.588832359122357</v>
      </c>
      <c r="BA83" s="7">
        <f ca="1">Sheet2!F$17+('RNG HERE'!D83-'RNG HERE'!AB$62)*Sheet2!F$18/'RNG HERE'!AB$63</f>
        <v>7.7917396864577695</v>
      </c>
      <c r="BB83" s="7">
        <f ca="1">Sheet2!G$17+('RNG HERE'!E83-'RNG HERE'!AC$62)*Sheet2!G$18/'RNG HERE'!AC$63</f>
        <v>32.847430672939936</v>
      </c>
      <c r="BC83" s="7">
        <f ca="1">Sheet2!H$17+('RNG HERE'!F83-'RNG HERE'!AD$62)*Sheet2!H$18/'RNG HERE'!AD$63</f>
        <v>17.174446084737141</v>
      </c>
      <c r="BD83" s="7">
        <f ca="1">Sheet2!I$17+('RNG HERE'!G83-'RNG HERE'!AE$62)*Sheet2!I$18/'RNG HERE'!AE$63</f>
        <v>9.9461982119052497</v>
      </c>
      <c r="BE83" s="7">
        <f ca="1">Sheet2!J$17+('RNG HERE'!H83-'RNG HERE'!AF$62)*Sheet2!J$18/'RNG HERE'!AF$63</f>
        <v>25.615057216219437</v>
      </c>
      <c r="BF83" s="7">
        <f ca="1">Sheet2!K$17+('RNG HERE'!I83-'RNG HERE'!AG$62)*Sheet2!K$18/'RNG HERE'!AG$63</f>
        <v>23.240226938295041</v>
      </c>
      <c r="BG83" s="7">
        <f ca="1">Sheet2!L$17+('RNG HERE'!J83-'RNG HERE'!AH$62)*Sheet2!L$18/'RNG HERE'!AH$63</f>
        <v>25.657460556496527</v>
      </c>
      <c r="BH83" s="7">
        <f ca="1">Sheet2!M$17+('RNG HERE'!K83-'RNG HERE'!AI$62)*Sheet2!M$18/'RNG HERE'!AI$63</f>
        <v>16.483900814897545</v>
      </c>
      <c r="BI83" s="7">
        <f ca="1">Sheet2!N$17+('RNG HERE'!L83-'RNG HERE'!AJ$62)*Sheet2!N$18/'RNG HERE'!AJ$63</f>
        <v>17.328860335494067</v>
      </c>
      <c r="BJ83" s="7">
        <f ca="1">Sheet2!O$17+('RNG HERE'!M83-'RNG HERE'!AK$62)*Sheet2!O$18/'RNG HERE'!AK$63</f>
        <v>3.7908569604880036</v>
      </c>
      <c r="BK83" s="7">
        <f ca="1">Sheet2!P$17+('RNG HERE'!N83-'RNG HERE'!AL$62)*Sheet2!P$18/'RNG HERE'!AL$63</f>
        <v>17.487501302771843</v>
      </c>
      <c r="BL83" s="7">
        <f ca="1">Sheet2!Q$17+('RNG HERE'!O83-'RNG HERE'!AM$62)*Sheet2!Q$18/'RNG HERE'!AM$63</f>
        <v>11.782200456562457</v>
      </c>
      <c r="BM83" s="7">
        <f ca="1">Sheet2!R$17+('RNG HERE'!P83-'RNG HERE'!AN$62)*Sheet2!R$18/'RNG HERE'!AN$63</f>
        <v>9.8343591256959435</v>
      </c>
      <c r="BN83" s="7">
        <f ca="1">Sheet2!S$17+('RNG HERE'!Q83-'RNG HERE'!AO$62)*Sheet2!S$18/'RNG HERE'!AO$63</f>
        <v>4.4555763973645934</v>
      </c>
      <c r="BO83" s="7">
        <f ca="1">Sheet2!T$17+('RNG HERE'!R83-'RNG HERE'!AP$62)*Sheet2!T$18/'RNG HERE'!AP$63</f>
        <v>15.709516155846581</v>
      </c>
      <c r="BP83" s="7">
        <f ca="1">Sheet2!U$17+('RNG HERE'!S83-'RNG HERE'!AQ$62)*Sheet2!U$18/'RNG HERE'!AQ$63</f>
        <v>22.00693103918309</v>
      </c>
      <c r="BQ83" s="7">
        <f ca="1">Sheet2!V$17+('RNG HERE'!T83-'RNG HERE'!AR$62)*Sheet2!V$18/'RNG HERE'!AR$63</f>
        <v>22.291409336060706</v>
      </c>
      <c r="BR83" s="7">
        <f ca="1">Sheet2!W$17+('RNG HERE'!U83-'RNG HERE'!AS$62)*Sheet2!W$18/'RNG HERE'!AS$63</f>
        <v>28.179999752119087</v>
      </c>
      <c r="BS83" s="7">
        <f ca="1">Sheet2!X$17+('RNG HERE'!V83-'RNG HERE'!AT$62)*Sheet2!X$18/'RNG HERE'!AT$63</f>
        <v>23.940820146059121</v>
      </c>
      <c r="BT83" s="7">
        <f ca="1">Sheet2!Y$17+('RNG HERE'!W83-'RNG HERE'!AU$62)*Sheet2!Y$18/'RNG HERE'!AU$63</f>
        <v>17.140933748557334</v>
      </c>
      <c r="BU83" s="7">
        <f ca="1">Sheet2!Z$17+('RNG HERE'!X83-'RNG HERE'!AV$62)*Sheet2!Z$18/'RNG HERE'!AV$63</f>
        <v>10.522051358367893</v>
      </c>
    </row>
    <row r="84" spans="1:97" x14ac:dyDescent="0.3">
      <c r="A84" s="8" cm="1">
        <f t="array" aca="1" ref="A84" ca="1">[1]!UNIFORM_INV(RAND(),Sheet2!C$17-SQRT(3)*Sheet2!C$18,Sheet2!C$17+SQRT(3)*Sheet2!C$18)</f>
        <v>5.61479548707291</v>
      </c>
      <c r="B84" s="8" cm="1">
        <f t="array" aca="1" ref="B84" ca="1">[1]!UNIFORM_INV(RAND(),Sheet2!D$17-SQRT(3)*Sheet2!D$18,Sheet2!D$17+SQRT(3)*Sheet2!D$18)</f>
        <v>4.9439048862222377</v>
      </c>
      <c r="C84" s="8" cm="1">
        <f t="array" aca="1" ref="C84" ca="1">[1]!UNIFORM_INV(RAND(),Sheet2!E$17-SQRT(3)*Sheet2!E$18,Sheet2!E$17+SQRT(3)*Sheet2!E$18)</f>
        <v>26.354592809808537</v>
      </c>
      <c r="D84" s="8" cm="1">
        <f t="array" aca="1" ref="D84" ca="1">[1]!UNIFORM_INV(RAND(),Sheet2!F$17-SQRT(3)*Sheet2!F$18,Sheet2!F$17+SQRT(3)*Sheet2!F$18)</f>
        <v>-0.65432630849959217</v>
      </c>
      <c r="E84" s="8" cm="1">
        <f t="array" aca="1" ref="E84" ca="1">[1]!UNIFORM_INV(RAND(),Sheet2!G$17-SQRT(3)*Sheet2!G$18,Sheet2!G$17+SQRT(3)*Sheet2!G$18)</f>
        <v>26.637109895001725</v>
      </c>
      <c r="F84" s="8" cm="1">
        <f t="array" aca="1" ref="F84" ca="1">[1]!UNIFORM_INV(RAND(),Sheet2!H$17-SQRT(3)*Sheet2!H$18,Sheet2!H$17+SQRT(3)*Sheet2!H$18)</f>
        <v>17.940842876293033</v>
      </c>
      <c r="G84" s="8" cm="1">
        <f t="array" aca="1" ref="G84" ca="1">[1]!UNIFORM_INV(RAND(),Sheet2!I$17-SQRT(3)*Sheet2!I$18,Sheet2!I$17+SQRT(3)*Sheet2!I$18)</f>
        <v>9.7290749814479707</v>
      </c>
      <c r="H84" s="8" cm="1">
        <f t="array" aca="1" ref="H84" ca="1">[1]!UNIFORM_INV(RAND(),Sheet2!J$17-SQRT(3)*Sheet2!J$18,Sheet2!J$17+SQRT(3)*Sheet2!J$18)</f>
        <v>28.107130659870212</v>
      </c>
      <c r="I84" s="8" cm="1">
        <f t="array" aca="1" ref="I84" ca="1">[1]!UNIFORM_INV(RAND(),Sheet2!K$17-SQRT(3)*Sheet2!K$18,Sheet2!K$17+SQRT(3)*Sheet2!K$18)</f>
        <v>24.5284471361229</v>
      </c>
      <c r="J84" s="8" cm="1">
        <f t="array" aca="1" ref="J84" ca="1">[1]!UNIFORM_INV(RAND(),Sheet2!L$17-SQRT(3)*Sheet2!L$18,Sheet2!L$17+SQRT(3)*Sheet2!L$18)</f>
        <v>23.466869737733539</v>
      </c>
      <c r="K84" s="8" cm="1">
        <f t="array" aca="1" ref="K84" ca="1">[1]!UNIFORM_INV(RAND(),Sheet2!M$17-SQRT(3)*Sheet2!M$18,Sheet2!M$17+SQRT(3)*Sheet2!M$18)</f>
        <v>17.858998484917507</v>
      </c>
      <c r="L84" s="8" cm="1">
        <f t="array" aca="1" ref="L84" ca="1">[1]!UNIFORM_INV(RAND(),Sheet2!N$17-SQRT(3)*Sheet2!N$18,Sheet2!N$17+SQRT(3)*Sheet2!N$18)</f>
        <v>13.173275266123357</v>
      </c>
      <c r="M84" s="8" cm="1">
        <f t="array" aca="1" ref="M84" ca="1">[1]!UNIFORM_INV(RAND(),Sheet2!O$17-SQRT(3)*Sheet2!O$18,Sheet2!O$17+SQRT(3)*Sheet2!O$18)</f>
        <v>4.1654513882868898</v>
      </c>
      <c r="N84" s="8" cm="1">
        <f t="array" aca="1" ref="N84" ca="1">[1]!UNIFORM_INV(RAND(),Sheet2!P$17-SQRT(3)*Sheet2!P$18,Sheet2!P$17+SQRT(3)*Sheet2!P$18)</f>
        <v>19.77071436469074</v>
      </c>
      <c r="O84" s="8" cm="1">
        <f t="array" aca="1" ref="O84" ca="1">[1]!UNIFORM_INV(RAND(),Sheet2!Q$17-SQRT(3)*Sheet2!Q$18,Sheet2!Q$17+SQRT(3)*Sheet2!Q$18)</f>
        <v>8.0102522875146942</v>
      </c>
      <c r="P84" s="8" cm="1">
        <f t="array" aca="1" ref="P84" ca="1">[1]!UNIFORM_INV(RAND(),Sheet2!R$17-SQRT(3)*Sheet2!R$18,Sheet2!R$17+SQRT(3)*Sheet2!R$18)</f>
        <v>9.6364293820733504</v>
      </c>
      <c r="Q84" s="8" cm="1">
        <f t="array" aca="1" ref="Q84" ca="1">[1]!UNIFORM_INV(RAND(),Sheet2!S$17-SQRT(3)*Sheet2!S$18,Sheet2!S$17+SQRT(3)*Sheet2!S$18)</f>
        <v>4.0940664553253434</v>
      </c>
      <c r="R84" s="8" cm="1">
        <f t="array" aca="1" ref="R84" ca="1">[1]!UNIFORM_INV(RAND(),Sheet2!T$17-SQRT(3)*Sheet2!T$18,Sheet2!T$17+SQRT(3)*Sheet2!T$18)</f>
        <v>12.233245919151715</v>
      </c>
      <c r="S84" s="8" cm="1">
        <f t="array" aca="1" ref="S84" ca="1">[1]!UNIFORM_INV(RAND(),Sheet2!U$17-SQRT(3)*Sheet2!U$18,Sheet2!U$17+SQRT(3)*Sheet2!U$18)</f>
        <v>20.335930120124178</v>
      </c>
      <c r="T84" s="8" cm="1">
        <f t="array" aca="1" ref="T84" ca="1">[1]!UNIFORM_INV(RAND(),Sheet2!V$17-SQRT(3)*Sheet2!V$18,Sheet2!V$17+SQRT(3)*Sheet2!V$18)</f>
        <v>19.506538750861814</v>
      </c>
      <c r="U84" s="8" cm="1">
        <f t="array" aca="1" ref="U84" ca="1">[1]!UNIFORM_INV(RAND(),Sheet2!W$17-SQRT(3)*Sheet2!W$18,Sheet2!W$17+SQRT(3)*Sheet2!W$18)</f>
        <v>26.429307096368174</v>
      </c>
      <c r="V84" s="8" cm="1">
        <f t="array" aca="1" ref="V84" ca="1">[1]!UNIFORM_INV(RAND(),Sheet2!X$17-SQRT(3)*Sheet2!X$18,Sheet2!X$17+SQRT(3)*Sheet2!X$18)</f>
        <v>21.319157680692168</v>
      </c>
      <c r="W84" s="8" cm="1">
        <f t="array" aca="1" ref="W84" ca="1">[1]!UNIFORM_INV(RAND(),Sheet2!Y$17-SQRT(3)*Sheet2!Y$18,Sheet2!Y$17+SQRT(3)*Sheet2!Y$18)</f>
        <v>18.128227465928422</v>
      </c>
      <c r="X84" s="8" cm="1">
        <f t="array" aca="1" ref="X84" ca="1">[1]!UNIFORM_INV(RAND(),Sheet2!Z$17-SQRT(3)*Sheet2!Z$18,Sheet2!Z$17+SQRT(3)*Sheet2!Z$18)</f>
        <v>9.1109940059281609</v>
      </c>
      <c r="AX84" s="7">
        <f ca="1">Sheet2!C$17+('RNG HERE'!A84-'RNG HERE'!Y$62)*Sheet2!C$18/'RNG HERE'!Y$63</f>
        <v>5.8411486478387946</v>
      </c>
      <c r="AY84" s="7">
        <f ca="1">Sheet2!D$17+('RNG HERE'!B84-'RNG HERE'!Z$62)*Sheet2!D$18/'RNG HERE'!Z$63</f>
        <v>5.1459638471604663</v>
      </c>
      <c r="AZ84" s="7">
        <f ca="1">Sheet2!E$17+('RNG HERE'!C84-'RNG HERE'!AA$62)*Sheet2!E$18/'RNG HERE'!AA$63</f>
        <v>26.240439593145037</v>
      </c>
      <c r="BA84" s="7">
        <f ca="1">Sheet2!F$17+('RNG HERE'!D84-'RNG HERE'!AB$62)*Sheet2!F$18/'RNG HERE'!AB$63</f>
        <v>-0.93313455052858085</v>
      </c>
      <c r="BB84" s="7">
        <f ca="1">Sheet2!G$17+('RNG HERE'!E84-'RNG HERE'!AC$62)*Sheet2!G$18/'RNG HERE'!AC$63</f>
        <v>28.203347913922904</v>
      </c>
      <c r="BC84" s="7">
        <f ca="1">Sheet2!H$17+('RNG HERE'!F84-'RNG HERE'!AD$62)*Sheet2!H$18/'RNG HERE'!AD$63</f>
        <v>18.628989666361559</v>
      </c>
      <c r="BD84" s="7">
        <f ca="1">Sheet2!I$17+('RNG HERE'!G84-'RNG HERE'!AE$62)*Sheet2!I$18/'RNG HERE'!AE$63</f>
        <v>9.9257349958594379</v>
      </c>
      <c r="BE84" s="7">
        <f ca="1">Sheet2!J$17+('RNG HERE'!H84-'RNG HERE'!AF$62)*Sheet2!J$18/'RNG HERE'!AF$63</f>
        <v>28.237828192407463</v>
      </c>
      <c r="BF84" s="7">
        <f ca="1">Sheet2!K$17+('RNG HERE'!I84-'RNG HERE'!AG$62)*Sheet2!K$18/'RNG HERE'!AG$63</f>
        <v>24.297132203933362</v>
      </c>
      <c r="BG84" s="7">
        <f ca="1">Sheet2!L$17+('RNG HERE'!J84-'RNG HERE'!AH$62)*Sheet2!L$18/'RNG HERE'!AH$63</f>
        <v>23.660681928807357</v>
      </c>
      <c r="BH84" s="7">
        <f ca="1">Sheet2!M$17+('RNG HERE'!K84-'RNG HERE'!AI$62)*Sheet2!M$18/'RNG HERE'!AI$63</f>
        <v>18.972349913333936</v>
      </c>
      <c r="BI84" s="7">
        <f ca="1">Sheet2!N$17+('RNG HERE'!L84-'RNG HERE'!AJ$62)*Sheet2!N$18/'RNG HERE'!AJ$63</f>
        <v>12.680761912607807</v>
      </c>
      <c r="BJ84" s="7">
        <f ca="1">Sheet2!O$17+('RNG HERE'!M84-'RNG HERE'!AK$62)*Sheet2!O$18/'RNG HERE'!AK$63</f>
        <v>3.9410666361052469</v>
      </c>
      <c r="BK84" s="7">
        <f ca="1">Sheet2!P$17+('RNG HERE'!N84-'RNG HERE'!AL$62)*Sheet2!P$18/'RNG HERE'!AL$63</f>
        <v>20.45440415103667</v>
      </c>
      <c r="BL84" s="7">
        <f ca="1">Sheet2!Q$17+('RNG HERE'!O84-'RNG HERE'!AM$62)*Sheet2!Q$18/'RNG HERE'!AM$63</f>
        <v>7.9339146905785096</v>
      </c>
      <c r="BM84" s="7">
        <f ca="1">Sheet2!R$17+('RNG HERE'!P84-'RNG HERE'!AN$62)*Sheet2!R$18/'RNG HERE'!AN$63</f>
        <v>9.6774840017729069</v>
      </c>
      <c r="BN84" s="7">
        <f ca="1">Sheet2!S$17+('RNG HERE'!Q84-'RNG HERE'!AO$62)*Sheet2!S$18/'RNG HERE'!AO$63</f>
        <v>4.158475256845402</v>
      </c>
      <c r="BO84" s="7">
        <f ca="1">Sheet2!T$17+('RNG HERE'!R84-'RNG HERE'!AP$62)*Sheet2!T$18/'RNG HERE'!AP$63</f>
        <v>11.691073902417637</v>
      </c>
      <c r="BP84" s="7">
        <f ca="1">Sheet2!U$17+('RNG HERE'!S84-'RNG HERE'!AQ$62)*Sheet2!U$18/'RNG HERE'!AQ$63</f>
        <v>20.357319907849355</v>
      </c>
      <c r="BQ84" s="7">
        <f ca="1">Sheet2!V$17+('RNG HERE'!T84-'RNG HERE'!AR$62)*Sheet2!V$18/'RNG HERE'!AR$63</f>
        <v>19.714368028201569</v>
      </c>
      <c r="BR84" s="7">
        <f ca="1">Sheet2!W$17+('RNG HERE'!U84-'RNG HERE'!AS$62)*Sheet2!W$18/'RNG HERE'!AS$63</f>
        <v>26.288807381100646</v>
      </c>
      <c r="BS84" s="7">
        <f ca="1">Sheet2!X$17+('RNG HERE'!V84-'RNG HERE'!AT$62)*Sheet2!X$18/'RNG HERE'!AT$63</f>
        <v>20.805347003760961</v>
      </c>
      <c r="BT84" s="7">
        <f ca="1">Sheet2!Y$17+('RNG HERE'!W84-'RNG HERE'!AU$62)*Sheet2!Y$18/'RNG HERE'!AU$63</f>
        <v>18.233621852645364</v>
      </c>
      <c r="BU84" s="7">
        <f ca="1">Sheet2!Z$17+('RNG HERE'!X84-'RNG HERE'!AV$62)*Sheet2!Z$18/'RNG HERE'!AV$63</f>
        <v>9.0689817255125806</v>
      </c>
    </row>
    <row r="85" spans="1:97" x14ac:dyDescent="0.3">
      <c r="A85" s="8" cm="1">
        <f t="array" aca="1" ref="A85" ca="1">[1]!UNIFORM_INV(RAND(),Sheet2!C$17-SQRT(3)*Sheet2!C$18,Sheet2!C$17+SQRT(3)*Sheet2!C$18)</f>
        <v>6.6843580626246277</v>
      </c>
      <c r="B85" s="8" cm="1">
        <f t="array" aca="1" ref="B85" ca="1">[1]!UNIFORM_INV(RAND(),Sheet2!D$17-SQRT(3)*Sheet2!D$18,Sheet2!D$17+SQRT(3)*Sheet2!D$18)</f>
        <v>3.9772117520489116</v>
      </c>
      <c r="C85" s="8" cm="1">
        <f t="array" aca="1" ref="C85" ca="1">[1]!UNIFORM_INV(RAND(),Sheet2!E$17-SQRT(3)*Sheet2!E$18,Sheet2!E$17+SQRT(3)*Sheet2!E$18)</f>
        <v>25.97137845193938</v>
      </c>
      <c r="D85" s="8" cm="1">
        <f t="array" aca="1" ref="D85" ca="1">[1]!UNIFORM_INV(RAND(),Sheet2!F$17-SQRT(3)*Sheet2!F$18,Sheet2!F$17+SQRT(3)*Sheet2!F$18)</f>
        <v>9.0113750416130696</v>
      </c>
      <c r="E85" s="8" cm="1">
        <f t="array" aca="1" ref="E85" ca="1">[1]!UNIFORM_INV(RAND(),Sheet2!G$17-SQRT(3)*Sheet2!G$18,Sheet2!G$17+SQRT(3)*Sheet2!G$18)</f>
        <v>33.130788600747699</v>
      </c>
      <c r="F85" s="8" cm="1">
        <f t="array" aca="1" ref="F85" ca="1">[1]!UNIFORM_INV(RAND(),Sheet2!H$17-SQRT(3)*Sheet2!H$18,Sheet2!H$17+SQRT(3)*Sheet2!H$18)</f>
        <v>23.871943331816844</v>
      </c>
      <c r="G85" s="8" cm="1">
        <f t="array" aca="1" ref="G85" ca="1">[1]!UNIFORM_INV(RAND(),Sheet2!I$17-SQRT(3)*Sheet2!I$18,Sheet2!I$17+SQRT(3)*Sheet2!I$18)</f>
        <v>9.1683984878963791</v>
      </c>
      <c r="H85" s="8" cm="1">
        <f t="array" aca="1" ref="H85" ca="1">[1]!UNIFORM_INV(RAND(),Sheet2!J$17-SQRT(3)*Sheet2!J$18,Sheet2!J$17+SQRT(3)*Sheet2!J$18)</f>
        <v>26.509408786012482</v>
      </c>
      <c r="I85" s="8" cm="1">
        <f t="array" aca="1" ref="I85" ca="1">[1]!UNIFORM_INV(RAND(),Sheet2!K$17-SQRT(3)*Sheet2!K$18,Sheet2!K$17+SQRT(3)*Sheet2!K$18)</f>
        <v>17.584997788388797</v>
      </c>
      <c r="J85" s="8" cm="1">
        <f t="array" aca="1" ref="J85" ca="1">[1]!UNIFORM_INV(RAND(),Sheet2!L$17-SQRT(3)*Sheet2!L$18,Sheet2!L$17+SQRT(3)*Sheet2!L$18)</f>
        <v>26.452893156430665</v>
      </c>
      <c r="K85" s="8" cm="1">
        <f t="array" aca="1" ref="K85" ca="1">[1]!UNIFORM_INV(RAND(),Sheet2!M$17-SQRT(3)*Sheet2!M$18,Sheet2!M$17+SQRT(3)*Sheet2!M$18)</f>
        <v>16.797144047063121</v>
      </c>
      <c r="L85" s="8" cm="1">
        <f t="array" aca="1" ref="L85" ca="1">[1]!UNIFORM_INV(RAND(),Sheet2!N$17-SQRT(3)*Sheet2!N$18,Sheet2!N$17+SQRT(3)*Sheet2!N$18)</f>
        <v>17.64935402890903</v>
      </c>
      <c r="M85" s="8" cm="1">
        <f t="array" aca="1" ref="M85" ca="1">[1]!UNIFORM_INV(RAND(),Sheet2!O$17-SQRT(3)*Sheet2!O$18,Sheet2!O$17+SQRT(3)*Sheet2!O$18)</f>
        <v>2.3129827805532721</v>
      </c>
      <c r="N85" s="8" cm="1">
        <f t="array" aca="1" ref="N85" ca="1">[1]!UNIFORM_INV(RAND(),Sheet2!P$17-SQRT(3)*Sheet2!P$18,Sheet2!P$17+SQRT(3)*Sheet2!P$18)</f>
        <v>17.313907209875399</v>
      </c>
      <c r="O85" s="8" cm="1">
        <f t="array" aca="1" ref="O85" ca="1">[1]!UNIFORM_INV(RAND(),Sheet2!Q$17-SQRT(3)*Sheet2!Q$18,Sheet2!Q$17+SQRT(3)*Sheet2!Q$18)</f>
        <v>13.781807509393694</v>
      </c>
      <c r="P85" s="8" cm="1">
        <f t="array" aca="1" ref="P85" ca="1">[1]!UNIFORM_INV(RAND(),Sheet2!R$17-SQRT(3)*Sheet2!R$18,Sheet2!R$17+SQRT(3)*Sheet2!R$18)</f>
        <v>11.52572143247265</v>
      </c>
      <c r="Q85" s="8" cm="1">
        <f t="array" aca="1" ref="Q85" ca="1">[1]!UNIFORM_INV(RAND(),Sheet2!S$17-SQRT(3)*Sheet2!S$18,Sheet2!S$17+SQRT(3)*Sheet2!S$18)</f>
        <v>3.8625624944418431</v>
      </c>
      <c r="R85" s="8" cm="1">
        <f t="array" aca="1" ref="R85" ca="1">[1]!UNIFORM_INV(RAND(),Sheet2!T$17-SQRT(3)*Sheet2!T$18,Sheet2!T$17+SQRT(3)*Sheet2!T$18)</f>
        <v>12.786558890186145</v>
      </c>
      <c r="S85" s="8" cm="1">
        <f t="array" aca="1" ref="S85" ca="1">[1]!UNIFORM_INV(RAND(),Sheet2!U$17-SQRT(3)*Sheet2!U$18,Sheet2!U$17+SQRT(3)*Sheet2!U$18)</f>
        <v>23.250646508256857</v>
      </c>
      <c r="T85" s="8" cm="1">
        <f t="array" aca="1" ref="T85" ca="1">[1]!UNIFORM_INV(RAND(),Sheet2!V$17-SQRT(3)*Sheet2!V$18,Sheet2!V$17+SQRT(3)*Sheet2!V$18)</f>
        <v>21.375618773144929</v>
      </c>
      <c r="U85" s="8" cm="1">
        <f t="array" aca="1" ref="U85" ca="1">[1]!UNIFORM_INV(RAND(),Sheet2!W$17-SQRT(3)*Sheet2!W$18,Sheet2!W$17+SQRT(3)*Sheet2!W$18)</f>
        <v>28.413648866679551</v>
      </c>
      <c r="V85" s="8" cm="1">
        <f t="array" aca="1" ref="V85" ca="1">[1]!UNIFORM_INV(RAND(),Sheet2!X$17-SQRT(3)*Sheet2!X$18,Sheet2!X$17+SQRT(3)*Sheet2!X$18)</f>
        <v>22.485668473554675</v>
      </c>
      <c r="W85" s="8" cm="1">
        <f t="array" aca="1" ref="W85" ca="1">[1]!UNIFORM_INV(RAND(),Sheet2!Y$17-SQRT(3)*Sheet2!Y$18,Sheet2!Y$17+SQRT(3)*Sheet2!Y$18)</f>
        <v>19.625210061323486</v>
      </c>
      <c r="X85" s="8" cm="1">
        <f t="array" aca="1" ref="X85" ca="1">[1]!UNIFORM_INV(RAND(),Sheet2!Z$17-SQRT(3)*Sheet2!Z$18,Sheet2!Z$17+SQRT(3)*Sheet2!Z$18)</f>
        <v>11.151878243983864</v>
      </c>
      <c r="AX85" s="7">
        <f ca="1">Sheet2!C$17+('RNG HERE'!A85-'RNG HERE'!Y$62)*Sheet2!C$18/'RNG HERE'!Y$63</f>
        <v>7.0450953461954748</v>
      </c>
      <c r="AY85" s="7">
        <f ca="1">Sheet2!D$17+('RNG HERE'!B85-'RNG HERE'!Z$62)*Sheet2!D$18/'RNG HERE'!Z$63</f>
        <v>4.1941861755424847</v>
      </c>
      <c r="AZ85" s="7">
        <f ca="1">Sheet2!E$17+('RNG HERE'!C85-'RNG HERE'!AA$62)*Sheet2!E$18/'RNG HERE'!AA$63</f>
        <v>25.810635541871495</v>
      </c>
      <c r="BA85" s="7">
        <f ca="1">Sheet2!F$17+('RNG HERE'!D85-'RNG HERE'!AB$62)*Sheet2!F$18/'RNG HERE'!AB$63</f>
        <v>7.9697524348986857</v>
      </c>
      <c r="BB85" s="7">
        <f ca="1">Sheet2!G$17+('RNG HERE'!E85-'RNG HERE'!AC$62)*Sheet2!G$18/'RNG HERE'!AC$63</f>
        <v>34.373044642410562</v>
      </c>
      <c r="BC85" s="7">
        <f ca="1">Sheet2!H$17+('RNG HERE'!F85-'RNG HERE'!AD$62)*Sheet2!H$18/'RNG HERE'!AD$63</f>
        <v>24.525273533579707</v>
      </c>
      <c r="BD85" s="7">
        <f ca="1">Sheet2!I$17+('RNG HERE'!G85-'RNG HERE'!AE$62)*Sheet2!I$18/'RNG HERE'!AE$63</f>
        <v>9.3757756880731762</v>
      </c>
      <c r="BE85" s="7">
        <f ca="1">Sheet2!J$17+('RNG HERE'!H85-'RNG HERE'!AF$62)*Sheet2!J$18/'RNG HERE'!AF$63</f>
        <v>26.654772867543191</v>
      </c>
      <c r="BF85" s="7">
        <f ca="1">Sheet2!K$17+('RNG HERE'!I85-'RNG HERE'!AG$62)*Sheet2!K$18/'RNG HERE'!AG$63</f>
        <v>17.954585299572319</v>
      </c>
      <c r="BG85" s="7">
        <f ca="1">Sheet2!L$17+('RNG HERE'!J85-'RNG HERE'!AH$62)*Sheet2!L$18/'RNG HERE'!AH$63</f>
        <v>26.872447992691352</v>
      </c>
      <c r="BH85" s="7">
        <f ca="1">Sheet2!M$17+('RNG HERE'!K85-'RNG HERE'!AI$62)*Sheet2!M$18/'RNG HERE'!AI$63</f>
        <v>17.791115027843226</v>
      </c>
      <c r="BI85" s="7">
        <f ca="1">Sheet2!N$17+('RNG HERE'!L85-'RNG HERE'!AJ$62)*Sheet2!N$18/'RNG HERE'!AJ$63</f>
        <v>17.806575627300038</v>
      </c>
      <c r="BJ85" s="7">
        <f ca="1">Sheet2!O$17+('RNG HERE'!M85-'RNG HERE'!AK$62)*Sheet2!O$18/'RNG HERE'!AK$63</f>
        <v>2.0150052667128255</v>
      </c>
      <c r="BK85" s="7">
        <f ca="1">Sheet2!P$17+('RNG HERE'!N85-'RNG HERE'!AL$62)*Sheet2!P$18/'RNG HERE'!AL$63</f>
        <v>17.671840174030169</v>
      </c>
      <c r="BL85" s="7">
        <f ca="1">Sheet2!Q$17+('RNG HERE'!O85-'RNG HERE'!AM$62)*Sheet2!Q$18/'RNG HERE'!AM$63</f>
        <v>13.964712127955014</v>
      </c>
      <c r="BM85" s="7">
        <f ca="1">Sheet2!R$17+('RNG HERE'!P85-'RNG HERE'!AN$62)*Sheet2!R$18/'RNG HERE'!AN$63</f>
        <v>11.474195544322161</v>
      </c>
      <c r="BN85" s="7">
        <f ca="1">Sheet2!S$17+('RNG HERE'!Q85-'RNG HERE'!AO$62)*Sheet2!S$18/'RNG HERE'!AO$63</f>
        <v>3.9010774020231933</v>
      </c>
      <c r="BO85" s="7">
        <f ca="1">Sheet2!T$17+('RNG HERE'!R85-'RNG HERE'!AP$62)*Sheet2!T$18/'RNG HERE'!AP$63</f>
        <v>12.331389731958431</v>
      </c>
      <c r="BP85" s="7">
        <f ca="1">Sheet2!U$17+('RNG HERE'!S85-'RNG HERE'!AQ$62)*Sheet2!U$18/'RNG HERE'!AQ$63</f>
        <v>23.808256242544058</v>
      </c>
      <c r="BQ85" s="7">
        <f ca="1">Sheet2!V$17+('RNG HERE'!T85-'RNG HERE'!AR$62)*Sheet2!V$18/'RNG HERE'!AR$63</f>
        <v>21.638665777420368</v>
      </c>
      <c r="BR85" s="7">
        <f ca="1">Sheet2!W$17+('RNG HERE'!U85-'RNG HERE'!AS$62)*Sheet2!W$18/'RNG HERE'!AS$63</f>
        <v>28.618274123177862</v>
      </c>
      <c r="BS85" s="7">
        <f ca="1">Sheet2!X$17+('RNG HERE'!V85-'RNG HERE'!AT$62)*Sheet2!X$18/'RNG HERE'!AT$63</f>
        <v>21.899000653588146</v>
      </c>
      <c r="BT85" s="7">
        <f ca="1">Sheet2!Y$17+('RNG HERE'!W85-'RNG HERE'!AU$62)*Sheet2!Y$18/'RNG HERE'!AU$63</f>
        <v>19.794751365787445</v>
      </c>
      <c r="BU85" s="7">
        <f ca="1">Sheet2!Z$17+('RNG HERE'!X85-'RNG HERE'!AV$62)*Sheet2!Z$18/'RNG HERE'!AV$63</f>
        <v>11.072368207977972</v>
      </c>
    </row>
    <row r="86" spans="1:97" x14ac:dyDescent="0.3">
      <c r="A86" s="8" cm="1">
        <f t="array" aca="1" ref="A86" ca="1">[1]!UNIFORM_INV(RAND(),Sheet2!C$17-SQRT(3)*Sheet2!C$18,Sheet2!C$17+SQRT(3)*Sheet2!C$18)</f>
        <v>5.6797037857465167</v>
      </c>
      <c r="B86" s="8" cm="1">
        <f t="array" aca="1" ref="B86" ca="1">[1]!UNIFORM_INV(RAND(),Sheet2!D$17-SQRT(3)*Sheet2!D$18,Sheet2!D$17+SQRT(3)*Sheet2!D$18)</f>
        <v>4.4891506743822989</v>
      </c>
      <c r="C86" s="8" cm="1">
        <f t="array" aca="1" ref="C86" ca="1">[1]!UNIFORM_INV(RAND(),Sheet2!E$17-SQRT(3)*Sheet2!E$18,Sheet2!E$17+SQRT(3)*Sheet2!E$18)</f>
        <v>25.964672830043039</v>
      </c>
      <c r="D86" s="8" cm="1">
        <f t="array" aca="1" ref="D86" ca="1">[1]!UNIFORM_INV(RAND(),Sheet2!F$17-SQRT(3)*Sheet2!F$18,Sheet2!F$17+SQRT(3)*Sheet2!F$18)</f>
        <v>5.4585063066012776</v>
      </c>
      <c r="E86" s="8" cm="1">
        <f t="array" aca="1" ref="E86" ca="1">[1]!UNIFORM_INV(RAND(),Sheet2!G$17-SQRT(3)*Sheet2!G$18,Sheet2!G$17+SQRT(3)*Sheet2!G$18)</f>
        <v>27.395276901776224</v>
      </c>
      <c r="F86" s="8" cm="1">
        <f t="array" aca="1" ref="F86" ca="1">[1]!UNIFORM_INV(RAND(),Sheet2!H$17-SQRT(3)*Sheet2!H$18,Sheet2!H$17+SQRT(3)*Sheet2!H$18)</f>
        <v>26.884480021584647</v>
      </c>
      <c r="G86" s="8" cm="1">
        <f t="array" aca="1" ref="G86" ca="1">[1]!UNIFORM_INV(RAND(),Sheet2!I$17-SQRT(3)*Sheet2!I$18,Sheet2!I$17+SQRT(3)*Sheet2!I$18)</f>
        <v>11.297218732477926</v>
      </c>
      <c r="H86" s="8" cm="1">
        <f t="array" aca="1" ref="H86" ca="1">[1]!UNIFORM_INV(RAND(),Sheet2!J$17-SQRT(3)*Sheet2!J$18,Sheet2!J$17+SQRT(3)*Sheet2!J$18)</f>
        <v>28.41258215101492</v>
      </c>
      <c r="I86" s="8" cm="1">
        <f t="array" aca="1" ref="I86" ca="1">[1]!UNIFORM_INV(RAND(),Sheet2!K$17-SQRT(3)*Sheet2!K$18,Sheet2!K$17+SQRT(3)*Sheet2!K$18)</f>
        <v>23.959877960842832</v>
      </c>
      <c r="J86" s="8" cm="1">
        <f t="array" aca="1" ref="J86" ca="1">[1]!UNIFORM_INV(RAND(),Sheet2!L$17-SQRT(3)*Sheet2!L$18,Sheet2!L$17+SQRT(3)*Sheet2!L$18)</f>
        <v>21.038246559441355</v>
      </c>
      <c r="K86" s="8" cm="1">
        <f t="array" aca="1" ref="K86" ca="1">[1]!UNIFORM_INV(RAND(),Sheet2!M$17-SQRT(3)*Sheet2!M$18,Sheet2!M$17+SQRT(3)*Sheet2!M$18)</f>
        <v>15.232881059244358</v>
      </c>
      <c r="L86" s="8" cm="1">
        <f t="array" aca="1" ref="L86" ca="1">[1]!UNIFORM_INV(RAND(),Sheet2!N$17-SQRT(3)*Sheet2!N$18,Sheet2!N$17+SQRT(3)*Sheet2!N$18)</f>
        <v>15.425837689312788</v>
      </c>
      <c r="M86" s="8" cm="1">
        <f t="array" aca="1" ref="M86" ca="1">[1]!UNIFORM_INV(RAND(),Sheet2!O$17-SQRT(3)*Sheet2!O$18,Sheet2!O$17+SQRT(3)*Sheet2!O$18)</f>
        <v>3.5066493578343958</v>
      </c>
      <c r="N86" s="8" cm="1">
        <f t="array" aca="1" ref="N86" ca="1">[1]!UNIFORM_INV(RAND(),Sheet2!P$17-SQRT(3)*Sheet2!P$18,Sheet2!P$17+SQRT(3)*Sheet2!P$18)</f>
        <v>19.890428152320947</v>
      </c>
      <c r="O86" s="8" cm="1">
        <f t="array" aca="1" ref="O86" ca="1">[1]!UNIFORM_INV(RAND(),Sheet2!Q$17-SQRT(3)*Sheet2!Q$18,Sheet2!Q$17+SQRT(3)*Sheet2!Q$18)</f>
        <v>10.555973978804035</v>
      </c>
      <c r="P86" s="8" cm="1">
        <f t="array" aca="1" ref="P86" ca="1">[1]!UNIFORM_INV(RAND(),Sheet2!R$17-SQRT(3)*Sheet2!R$18,Sheet2!R$17+SQRT(3)*Sheet2!R$18)</f>
        <v>10.030463032040396</v>
      </c>
      <c r="Q86" s="8" cm="1">
        <f t="array" aca="1" ref="Q86" ca="1">[1]!UNIFORM_INV(RAND(),Sheet2!S$17-SQRT(3)*Sheet2!S$18,Sheet2!S$17+SQRT(3)*Sheet2!S$18)</f>
        <v>5.2283687677690107</v>
      </c>
      <c r="R86" s="8" cm="1">
        <f t="array" aca="1" ref="R86" ca="1">[1]!UNIFORM_INV(RAND(),Sheet2!T$17-SQRT(3)*Sheet2!T$18,Sheet2!T$17+SQRT(3)*Sheet2!T$18)</f>
        <v>13.890693572276637</v>
      </c>
      <c r="S86" s="8" cm="1">
        <f t="array" aca="1" ref="S86" ca="1">[1]!UNIFORM_INV(RAND(),Sheet2!U$17-SQRT(3)*Sheet2!U$18,Sheet2!U$17+SQRT(3)*Sheet2!U$18)</f>
        <v>20.85461100496105</v>
      </c>
      <c r="T86" s="8" cm="1">
        <f t="array" aca="1" ref="T86" ca="1">[1]!UNIFORM_INV(RAND(),Sheet2!V$17-SQRT(3)*Sheet2!V$18,Sheet2!V$17+SQRT(3)*Sheet2!V$18)</f>
        <v>19.876619189325087</v>
      </c>
      <c r="U86" s="8" cm="1">
        <f t="array" aca="1" ref="U86" ca="1">[1]!UNIFORM_INV(RAND(),Sheet2!W$17-SQRT(3)*Sheet2!W$18,Sheet2!W$17+SQRT(3)*Sheet2!W$18)</f>
        <v>27.222580782208329</v>
      </c>
      <c r="V86" s="8" cm="1">
        <f t="array" aca="1" ref="V86" ca="1">[1]!UNIFORM_INV(RAND(),Sheet2!X$17-SQRT(3)*Sheet2!X$18,Sheet2!X$17+SQRT(3)*Sheet2!X$18)</f>
        <v>24.697629638398091</v>
      </c>
      <c r="W86" s="8" cm="1">
        <f t="array" aca="1" ref="W86" ca="1">[1]!UNIFORM_INV(RAND(),Sheet2!Y$17-SQRT(3)*Sheet2!Y$18,Sheet2!Y$17+SQRT(3)*Sheet2!Y$18)</f>
        <v>18.661961715833222</v>
      </c>
      <c r="X86" s="8" cm="1">
        <f t="array" aca="1" ref="X86" ca="1">[1]!UNIFORM_INV(RAND(),Sheet2!Z$17-SQRT(3)*Sheet2!Z$18,Sheet2!Z$17+SQRT(3)*Sheet2!Z$18)</f>
        <v>9.7649788993105755</v>
      </c>
      <c r="AX86" s="7">
        <f ca="1">Sheet2!C$17+('RNG HERE'!A86-'RNG HERE'!Y$62)*Sheet2!C$18/'RNG HERE'!Y$63</f>
        <v>5.9142122849464487</v>
      </c>
      <c r="AY86" s="7">
        <f ca="1">Sheet2!D$17+('RNG HERE'!B86-'RNG HERE'!Z$62)*Sheet2!D$18/'RNG HERE'!Z$63</f>
        <v>4.6982262046731007</v>
      </c>
      <c r="AZ86" s="7">
        <f ca="1">Sheet2!E$17+('RNG HERE'!C86-'RNG HERE'!AA$62)*Sheet2!E$18/'RNG HERE'!AA$63</f>
        <v>25.803114676856463</v>
      </c>
      <c r="BA86" s="7">
        <f ca="1">Sheet2!F$17+('RNG HERE'!D86-'RNG HERE'!AB$62)*Sheet2!F$18/'RNG HERE'!AB$63</f>
        <v>4.6972750764399294</v>
      </c>
      <c r="BB86" s="7">
        <f ca="1">Sheet2!G$17+('RNG HERE'!E86-'RNG HERE'!AC$62)*Sheet2!G$18/'RNG HERE'!AC$63</f>
        <v>28.92368852720346</v>
      </c>
      <c r="BC86" s="7">
        <f ca="1">Sheet2!H$17+('RNG HERE'!F86-'RNG HERE'!AD$62)*Sheet2!H$18/'RNG HERE'!AD$63</f>
        <v>27.520126110513832</v>
      </c>
      <c r="BD86" s="7">
        <f ca="1">Sheet2!I$17+('RNG HERE'!G86-'RNG HERE'!AE$62)*Sheet2!I$18/'RNG HERE'!AE$63</f>
        <v>11.463904085779436</v>
      </c>
      <c r="BE86" s="7">
        <f ca="1">Sheet2!J$17+('RNG HERE'!H86-'RNG HERE'!AF$62)*Sheet2!J$18/'RNG HERE'!AF$63</f>
        <v>28.540475741681377</v>
      </c>
      <c r="BF86" s="7">
        <f ca="1">Sheet2!K$17+('RNG HERE'!I86-'RNG HERE'!AG$62)*Sheet2!K$18/'RNG HERE'!AG$63</f>
        <v>23.777768342833902</v>
      </c>
      <c r="BG86" s="7">
        <f ca="1">Sheet2!L$17+('RNG HERE'!J86-'RNG HERE'!AH$62)*Sheet2!L$18/'RNG HERE'!AH$63</f>
        <v>21.048455428117578</v>
      </c>
      <c r="BH86" s="7">
        <f ca="1">Sheet2!M$17+('RNG HERE'!K86-'RNG HERE'!AI$62)*Sheet2!M$18/'RNG HERE'!AI$63</f>
        <v>16.050987619206033</v>
      </c>
      <c r="BI86" s="7">
        <f ca="1">Sheet2!N$17+('RNG HERE'!L86-'RNG HERE'!AJ$62)*Sheet2!N$18/'RNG HERE'!AJ$63</f>
        <v>15.260299935481873</v>
      </c>
      <c r="BJ86" s="7">
        <f ca="1">Sheet2!O$17+('RNG HERE'!M86-'RNG HERE'!AK$62)*Sheet2!O$18/'RNG HERE'!AK$63</f>
        <v>3.2560924693989879</v>
      </c>
      <c r="BK86" s="7">
        <f ca="1">Sheet2!P$17+('RNG HERE'!N86-'RNG HERE'!AL$62)*Sheet2!P$18/'RNG HERE'!AL$63</f>
        <v>20.589991216695417</v>
      </c>
      <c r="BL86" s="7">
        <f ca="1">Sheet2!Q$17+('RNG HERE'!O86-'RNG HERE'!AM$62)*Sheet2!Q$18/'RNG HERE'!AM$63</f>
        <v>10.593983123069963</v>
      </c>
      <c r="BM86" s="7">
        <f ca="1">Sheet2!R$17+('RNG HERE'!P86-'RNG HERE'!AN$62)*Sheet2!R$18/'RNG HERE'!AN$63</f>
        <v>10.052208918917916</v>
      </c>
      <c r="BN86" s="7">
        <f ca="1">Sheet2!S$17+('RNG HERE'!Q86-'RNG HERE'!AO$62)*Sheet2!S$18/'RNG HERE'!AO$63</f>
        <v>5.4196501448629633</v>
      </c>
      <c r="BO86" s="7">
        <f ca="1">Sheet2!T$17+('RNG HERE'!R86-'RNG HERE'!AP$62)*Sheet2!T$18/'RNG HERE'!AP$63</f>
        <v>13.609138405671599</v>
      </c>
      <c r="BP86" s="7">
        <f ca="1">Sheet2!U$17+('RNG HERE'!S86-'RNG HERE'!AQ$62)*Sheet2!U$18/'RNG HERE'!AQ$63</f>
        <v>20.971422439019424</v>
      </c>
      <c r="BQ86" s="7">
        <f ca="1">Sheet2!V$17+('RNG HERE'!T86-'RNG HERE'!AR$62)*Sheet2!V$18/'RNG HERE'!AR$63</f>
        <v>20.095381653233463</v>
      </c>
      <c r="BR86" s="7">
        <f ca="1">Sheet2!W$17+('RNG HERE'!U86-'RNG HERE'!AS$62)*Sheet2!W$18/'RNG HERE'!AS$63</f>
        <v>27.220050524886144</v>
      </c>
      <c r="BS86" s="7">
        <f ca="1">Sheet2!X$17+('RNG HERE'!V86-'RNG HERE'!AT$62)*Sheet2!X$18/'RNG HERE'!AT$63</f>
        <v>23.972808642342983</v>
      </c>
      <c r="BT86" s="7">
        <f ca="1">Sheet2!Y$17+('RNG HERE'!W86-'RNG HERE'!AU$62)*Sheet2!Y$18/'RNG HERE'!AU$63</f>
        <v>18.790227047832179</v>
      </c>
      <c r="BU86" s="7">
        <f ca="1">Sheet2!Z$17+('RNG HERE'!X86-'RNG HERE'!AV$62)*Sheet2!Z$18/'RNG HERE'!AV$63</f>
        <v>9.7109507655533225</v>
      </c>
    </row>
    <row r="87" spans="1:97" x14ac:dyDescent="0.3">
      <c r="A87" s="8" cm="1">
        <f t="array" aca="1" ref="A87" ca="1">[1]!UNIFORM_INV(RAND(),Sheet2!C$17-SQRT(3)*Sheet2!C$18,Sheet2!C$17+SQRT(3)*Sheet2!C$18)</f>
        <v>4.7287897862064749</v>
      </c>
      <c r="B87" s="8" cm="1">
        <f t="array" aca="1" ref="B87" ca="1">[1]!UNIFORM_INV(RAND(),Sheet2!D$17-SQRT(3)*Sheet2!D$18,Sheet2!D$17+SQRT(3)*Sheet2!D$18)</f>
        <v>3.9861720785291199</v>
      </c>
      <c r="C87" s="8" cm="1">
        <f t="array" aca="1" ref="C87" ca="1">[1]!UNIFORM_INV(RAND(),Sheet2!E$17-SQRT(3)*Sheet2!E$18,Sheet2!E$17+SQRT(3)*Sheet2!E$18)</f>
        <v>25.767634394148711</v>
      </c>
      <c r="D87" s="8" cm="1">
        <f t="array" aca="1" ref="D87" ca="1">[1]!UNIFORM_INV(RAND(),Sheet2!F$17-SQRT(3)*Sheet2!F$18,Sheet2!F$17+SQRT(3)*Sheet2!F$18)</f>
        <v>5.4258427010037256</v>
      </c>
      <c r="E87" s="8" cm="1">
        <f t="array" aca="1" ref="E87" ca="1">[1]!UNIFORM_INV(RAND(),Sheet2!G$17-SQRT(3)*Sheet2!G$18,Sheet2!G$17+SQRT(3)*Sheet2!G$18)</f>
        <v>40.193196091679575</v>
      </c>
      <c r="F87" s="8" cm="1">
        <f t="array" aca="1" ref="F87" ca="1">[1]!UNIFORM_INV(RAND(),Sheet2!H$17-SQRT(3)*Sheet2!H$18,Sheet2!H$17+SQRT(3)*Sheet2!H$18)</f>
        <v>22.69735551457649</v>
      </c>
      <c r="G87" s="8" cm="1">
        <f t="array" aca="1" ref="G87" ca="1">[1]!UNIFORM_INV(RAND(),Sheet2!I$17-SQRT(3)*Sheet2!I$18,Sheet2!I$17+SQRT(3)*Sheet2!I$18)</f>
        <v>8.9472588438766305</v>
      </c>
      <c r="H87" s="8" cm="1">
        <f t="array" aca="1" ref="H87" ca="1">[1]!UNIFORM_INV(RAND(),Sheet2!J$17-SQRT(3)*Sheet2!J$18,Sheet2!J$17+SQRT(3)*Sheet2!J$18)</f>
        <v>25.600825613702771</v>
      </c>
      <c r="I87" s="8" cm="1">
        <f t="array" aca="1" ref="I87" ca="1">[1]!UNIFORM_INV(RAND(),Sheet2!K$17-SQRT(3)*Sheet2!K$18,Sheet2!K$17+SQRT(3)*Sheet2!K$18)</f>
        <v>21.683575381997336</v>
      </c>
      <c r="J87" s="8" cm="1">
        <f t="array" aca="1" ref="J87" ca="1">[1]!UNIFORM_INV(RAND(),Sheet2!L$17-SQRT(3)*Sheet2!L$18,Sheet2!L$17+SQRT(3)*Sheet2!L$18)</f>
        <v>25.945754916069372</v>
      </c>
      <c r="K87" s="8" cm="1">
        <f t="array" aca="1" ref="K87" ca="1">[1]!UNIFORM_INV(RAND(),Sheet2!M$17-SQRT(3)*Sheet2!M$18,Sheet2!M$17+SQRT(3)*Sheet2!M$18)</f>
        <v>15.442583654270226</v>
      </c>
      <c r="L87" s="8" cm="1">
        <f t="array" aca="1" ref="L87" ca="1">[1]!UNIFORM_INV(RAND(),Sheet2!N$17-SQRT(3)*Sheet2!N$18,Sheet2!N$17+SQRT(3)*Sheet2!N$18)</f>
        <v>20.695373793612323</v>
      </c>
      <c r="M87" s="8" cm="1">
        <f t="array" aca="1" ref="M87" ca="1">[1]!UNIFORM_INV(RAND(),Sheet2!O$17-SQRT(3)*Sheet2!O$18,Sheet2!O$17+SQRT(3)*Sheet2!O$18)</f>
        <v>3.9878247968353269</v>
      </c>
      <c r="N87" s="8" cm="1">
        <f t="array" aca="1" ref="N87" ca="1">[1]!UNIFORM_INV(RAND(),Sheet2!P$17-SQRT(3)*Sheet2!P$18,Sheet2!P$17+SQRT(3)*Sheet2!P$18)</f>
        <v>14.421637679582444</v>
      </c>
      <c r="O87" s="8" cm="1">
        <f t="array" aca="1" ref="O87" ca="1">[1]!UNIFORM_INV(RAND(),Sheet2!Q$17-SQRT(3)*Sheet2!Q$18,Sheet2!Q$17+SQRT(3)*Sheet2!Q$18)</f>
        <v>11.230924624662036</v>
      </c>
      <c r="P87" s="8" cm="1">
        <f t="array" aca="1" ref="P87" ca="1">[1]!UNIFORM_INV(RAND(),Sheet2!R$17-SQRT(3)*Sheet2!R$18,Sheet2!R$17+SQRT(3)*Sheet2!R$18)</f>
        <v>10.443512976411606</v>
      </c>
      <c r="Q87" s="8" cm="1">
        <f t="array" aca="1" ref="Q87" ca="1">[1]!UNIFORM_INV(RAND(),Sheet2!S$17-SQRT(3)*Sheet2!S$18,Sheet2!S$17+SQRT(3)*Sheet2!S$18)</f>
        <v>3.8739798616808225</v>
      </c>
      <c r="R87" s="8" cm="1">
        <f t="array" aca="1" ref="R87" ca="1">[1]!UNIFORM_INV(RAND(),Sheet2!T$17-SQRT(3)*Sheet2!T$18,Sheet2!T$17+SQRT(3)*Sheet2!T$18)</f>
        <v>13.962049380514376</v>
      </c>
      <c r="S87" s="8" cm="1">
        <f t="array" aca="1" ref="S87" ca="1">[1]!UNIFORM_INV(RAND(),Sheet2!U$17-SQRT(3)*Sheet2!U$18,Sheet2!U$17+SQRT(3)*Sheet2!U$18)</f>
        <v>21.349859873058985</v>
      </c>
      <c r="T87" s="8" cm="1">
        <f t="array" aca="1" ref="T87" ca="1">[1]!UNIFORM_INV(RAND(),Sheet2!V$17-SQRT(3)*Sheet2!V$18,Sheet2!V$17+SQRT(3)*Sheet2!V$18)</f>
        <v>20.500803009976838</v>
      </c>
      <c r="U87" s="8" cm="1">
        <f t="array" aca="1" ref="U87" ca="1">[1]!UNIFORM_INV(RAND(),Sheet2!W$17-SQRT(3)*Sheet2!W$18,Sheet2!W$17+SQRT(3)*Sheet2!W$18)</f>
        <v>29.937560747540623</v>
      </c>
      <c r="V87" s="8" cm="1">
        <f t="array" aca="1" ref="V87" ca="1">[1]!UNIFORM_INV(RAND(),Sheet2!X$17-SQRT(3)*Sheet2!X$18,Sheet2!X$17+SQRT(3)*Sheet2!X$18)</f>
        <v>23.97201196697489</v>
      </c>
      <c r="W87" s="8" cm="1">
        <f t="array" aca="1" ref="W87" ca="1">[1]!UNIFORM_INV(RAND(),Sheet2!Y$17-SQRT(3)*Sheet2!Y$18,Sheet2!Y$17+SQRT(3)*Sheet2!Y$18)</f>
        <v>20.476061439643022</v>
      </c>
      <c r="X87" s="8" cm="1">
        <f t="array" aca="1" ref="X87" ca="1">[1]!UNIFORM_INV(RAND(),Sheet2!Z$17-SQRT(3)*Sheet2!Z$18,Sheet2!Z$17+SQRT(3)*Sheet2!Z$18)</f>
        <v>11.130035394638972</v>
      </c>
      <c r="AX87" s="7">
        <f ca="1">Sheet2!C$17+('RNG HERE'!A87-'RNG HERE'!Y$62)*Sheet2!C$18/'RNG HERE'!Y$63</f>
        <v>4.8438216445701006</v>
      </c>
      <c r="AY87" s="7">
        <f ca="1">Sheet2!D$17+('RNG HERE'!B87-'RNG HERE'!Z$62)*Sheet2!D$18/'RNG HERE'!Z$63</f>
        <v>4.2030082498624415</v>
      </c>
      <c r="AZ87" s="7">
        <f ca="1">Sheet2!E$17+('RNG HERE'!C87-'RNG HERE'!AA$62)*Sheet2!E$18/'RNG HERE'!AA$63</f>
        <v>25.582121083414695</v>
      </c>
      <c r="BA87" s="7">
        <f ca="1">Sheet2!F$17+('RNG HERE'!D87-'RNG HERE'!AB$62)*Sheet2!F$18/'RNG HERE'!AB$63</f>
        <v>4.6671892731817746</v>
      </c>
      <c r="BB87" s="7">
        <f ca="1">Sheet2!G$17+('RNG HERE'!E87-'RNG HERE'!AC$62)*Sheet2!G$18/'RNG HERE'!AC$63</f>
        <v>41.083095195649875</v>
      </c>
      <c r="BC87" s="7">
        <f ca="1">Sheet2!H$17+('RNG HERE'!F87-'RNG HERE'!AD$62)*Sheet2!H$18/'RNG HERE'!AD$63</f>
        <v>23.357580750535515</v>
      </c>
      <c r="BD87" s="7">
        <f ca="1">Sheet2!I$17+('RNG HERE'!G87-'RNG HERE'!AE$62)*Sheet2!I$18/'RNG HERE'!AE$63</f>
        <v>9.1588630709972989</v>
      </c>
      <c r="BE87" s="7">
        <f ca="1">Sheet2!J$17+('RNG HERE'!H87-'RNG HERE'!AF$62)*Sheet2!J$18/'RNG HERE'!AF$63</f>
        <v>25.754530182917442</v>
      </c>
      <c r="BF87" s="7">
        <f ca="1">Sheet2!K$17+('RNG HERE'!I87-'RNG HERE'!AG$62)*Sheet2!K$18/'RNG HERE'!AG$63</f>
        <v>21.698462344935745</v>
      </c>
      <c r="BG87" s="7">
        <f ca="1">Sheet2!L$17+('RNG HERE'!J87-'RNG HERE'!AH$62)*Sheet2!L$18/'RNG HERE'!AH$63</f>
        <v>26.326970224536094</v>
      </c>
      <c r="BH87" s="7">
        <f ca="1">Sheet2!M$17+('RNG HERE'!K87-'RNG HERE'!AI$62)*Sheet2!M$18/'RNG HERE'!AI$63</f>
        <v>16.284266317294836</v>
      </c>
      <c r="BI87" s="7">
        <f ca="1">Sheet2!N$17+('RNG HERE'!L87-'RNG HERE'!AJ$62)*Sheet2!N$18/'RNG HERE'!AJ$63</f>
        <v>21.29474701850738</v>
      </c>
      <c r="BJ87" s="7">
        <f ca="1">Sheet2!O$17+('RNG HERE'!M87-'RNG HERE'!AK$62)*Sheet2!O$18/'RNG HERE'!AK$63</f>
        <v>3.7563834978628838</v>
      </c>
      <c r="BK87" s="7">
        <f ca="1">Sheet2!P$17+('RNG HERE'!N87-'RNG HERE'!AL$62)*Sheet2!P$18/'RNG HERE'!AL$63</f>
        <v>14.39607431222341</v>
      </c>
      <c r="BL87" s="7">
        <f ca="1">Sheet2!Q$17+('RNG HERE'!O87-'RNG HERE'!AM$62)*Sheet2!Q$18/'RNG HERE'!AM$63</f>
        <v>11.299250675560062</v>
      </c>
      <c r="BM87" s="7">
        <f ca="1">Sheet2!R$17+('RNG HERE'!P87-'RNG HERE'!AN$62)*Sheet2!R$18/'RNG HERE'!AN$63</f>
        <v>10.445018279728083</v>
      </c>
      <c r="BN87" s="7">
        <f ca="1">Sheet2!S$17+('RNG HERE'!Q87-'RNG HERE'!AO$62)*Sheet2!S$18/'RNG HERE'!AO$63</f>
        <v>3.9137718104636154</v>
      </c>
      <c r="BO87" s="7">
        <f ca="1">Sheet2!T$17+('RNG HERE'!R87-'RNG HERE'!AP$62)*Sheet2!T$18/'RNG HERE'!AP$63</f>
        <v>13.691714191774865</v>
      </c>
      <c r="BP87" s="7">
        <f ca="1">Sheet2!U$17+('RNG HERE'!S87-'RNG HERE'!AQ$62)*Sheet2!U$18/'RNG HERE'!AQ$63</f>
        <v>21.557782168766753</v>
      </c>
      <c r="BQ87" s="7">
        <f ca="1">Sheet2!V$17+('RNG HERE'!T87-'RNG HERE'!AR$62)*Sheet2!V$18/'RNG HERE'!AR$63</f>
        <v>20.738005568132394</v>
      </c>
      <c r="BR87" s="7">
        <f ca="1">Sheet2!W$17+('RNG HERE'!U87-'RNG HERE'!AS$62)*Sheet2!W$18/'RNG HERE'!AS$63</f>
        <v>30.407231094922281</v>
      </c>
      <c r="BS87" s="7">
        <f ca="1">Sheet2!X$17+('RNG HERE'!V87-'RNG HERE'!AT$62)*Sheet2!X$18/'RNG HERE'!AT$63</f>
        <v>23.292511109232521</v>
      </c>
      <c r="BT87" s="7">
        <f ca="1">Sheet2!Y$17+('RNG HERE'!W87-'RNG HERE'!AU$62)*Sheet2!Y$18/'RNG HERE'!AU$63</f>
        <v>20.682062415413711</v>
      </c>
      <c r="BU87" s="7">
        <f ca="1">Sheet2!Z$17+('RNG HERE'!X87-'RNG HERE'!AV$62)*Sheet2!Z$18/'RNG HERE'!AV$63</f>
        <v>11.050926683613135</v>
      </c>
    </row>
    <row r="88" spans="1:97" x14ac:dyDescent="0.3">
      <c r="A88" s="8" cm="1">
        <f t="array" aca="1" ref="A88" ca="1">[1]!UNIFORM_INV(RAND(),Sheet2!C$17-SQRT(3)*Sheet2!C$18,Sheet2!C$17+SQRT(3)*Sheet2!C$18)</f>
        <v>4.849441168335864</v>
      </c>
      <c r="B88" s="8" cm="1">
        <f t="array" aca="1" ref="B88" ca="1">[1]!UNIFORM_INV(RAND(),Sheet2!D$17-SQRT(3)*Sheet2!D$18,Sheet2!D$17+SQRT(3)*Sheet2!D$18)</f>
        <v>6.2131351915101432</v>
      </c>
      <c r="C88" s="8" cm="1">
        <f t="array" aca="1" ref="C88" ca="1">[1]!UNIFORM_INV(RAND(),Sheet2!E$17-SQRT(3)*Sheet2!E$18,Sheet2!E$17+SQRT(3)*Sheet2!E$18)</f>
        <v>26.510597359221514</v>
      </c>
      <c r="D88" s="8" cm="1">
        <f t="array" aca="1" ref="D88" ca="1">[1]!UNIFORM_INV(RAND(),Sheet2!F$17-SQRT(3)*Sheet2!F$18,Sheet2!F$17+SQRT(3)*Sheet2!F$18)</f>
        <v>7.6764818690501837</v>
      </c>
      <c r="E88" s="8" cm="1">
        <f t="array" aca="1" ref="E88" ca="1">[1]!UNIFORM_INV(RAND(),Sheet2!G$17-SQRT(3)*Sheet2!G$18,Sheet2!G$17+SQRT(3)*Sheet2!G$18)</f>
        <v>33.426807894443279</v>
      </c>
      <c r="F88" s="8" cm="1">
        <f t="array" aca="1" ref="F88" ca="1">[1]!UNIFORM_INV(RAND(),Sheet2!H$17-SQRT(3)*Sheet2!H$18,Sheet2!H$17+SQRT(3)*Sheet2!H$18)</f>
        <v>20.852348007700115</v>
      </c>
      <c r="G88" s="8" cm="1">
        <f t="array" aca="1" ref="G88" ca="1">[1]!UNIFORM_INV(RAND(),Sheet2!I$17-SQRT(3)*Sheet2!I$18,Sheet2!I$17+SQRT(3)*Sheet2!I$18)</f>
        <v>9.0517299520324013</v>
      </c>
      <c r="H88" s="8" cm="1">
        <f t="array" aca="1" ref="H88" ca="1">[1]!UNIFORM_INV(RAND(),Sheet2!J$17-SQRT(3)*Sheet2!J$18,Sheet2!J$17+SQRT(3)*Sheet2!J$18)</f>
        <v>26.506314704911851</v>
      </c>
      <c r="I88" s="8" cm="1">
        <f t="array" aca="1" ref="I88" ca="1">[1]!UNIFORM_INV(RAND(),Sheet2!K$17-SQRT(3)*Sheet2!K$18,Sheet2!K$17+SQRT(3)*Sheet2!K$18)</f>
        <v>22.21697949427671</v>
      </c>
      <c r="J88" s="8" cm="1">
        <f t="array" aca="1" ref="J88" ca="1">[1]!UNIFORM_INV(RAND(),Sheet2!L$17-SQRT(3)*Sheet2!L$18,Sheet2!L$17+SQRT(3)*Sheet2!L$18)</f>
        <v>21.668500018652715</v>
      </c>
      <c r="K88" s="8" cm="1">
        <f t="array" aca="1" ref="K88" ca="1">[1]!UNIFORM_INV(RAND(),Sheet2!M$17-SQRT(3)*Sheet2!M$18,Sheet2!M$17+SQRT(3)*Sheet2!M$18)</f>
        <v>15.590933584165727</v>
      </c>
      <c r="L88" s="8" cm="1">
        <f t="array" aca="1" ref="L88" ca="1">[1]!UNIFORM_INV(RAND(),Sheet2!N$17-SQRT(3)*Sheet2!N$18,Sheet2!N$17+SQRT(3)*Sheet2!N$18)</f>
        <v>14.491934928851778</v>
      </c>
      <c r="M88" s="8" cm="1">
        <f t="array" aca="1" ref="M88" ca="1">[1]!UNIFORM_INV(RAND(),Sheet2!O$17-SQRT(3)*Sheet2!O$18,Sheet2!O$17+SQRT(3)*Sheet2!O$18)</f>
        <v>2.6443295010004482</v>
      </c>
      <c r="N88" s="8" cm="1">
        <f t="array" aca="1" ref="N88" ca="1">[1]!UNIFORM_INV(RAND(),Sheet2!P$17-SQRT(3)*Sheet2!P$18,Sheet2!P$17+SQRT(3)*Sheet2!P$18)</f>
        <v>17.283527213626218</v>
      </c>
      <c r="O88" s="8" cm="1">
        <f t="array" aca="1" ref="O88" ca="1">[1]!UNIFORM_INV(RAND(),Sheet2!Q$17-SQRT(3)*Sheet2!Q$18,Sheet2!Q$17+SQRT(3)*Sheet2!Q$18)</f>
        <v>13.056336829985424</v>
      </c>
      <c r="P88" s="8" cm="1">
        <f t="array" aca="1" ref="P88" ca="1">[1]!UNIFORM_INV(RAND(),Sheet2!R$17-SQRT(3)*Sheet2!R$18,Sheet2!R$17+SQRT(3)*Sheet2!R$18)</f>
        <v>11.397801876864659</v>
      </c>
      <c r="Q88" s="8" cm="1">
        <f t="array" aca="1" ref="Q88" ca="1">[1]!UNIFORM_INV(RAND(),Sheet2!S$17-SQRT(3)*Sheet2!S$18,Sheet2!S$17+SQRT(3)*Sheet2!S$18)</f>
        <v>5.3314884022863556</v>
      </c>
      <c r="R88" s="8" cm="1">
        <f t="array" aca="1" ref="R88" ca="1">[1]!UNIFORM_INV(RAND(),Sheet2!T$17-SQRT(3)*Sheet2!T$18,Sheet2!T$17+SQRT(3)*Sheet2!T$18)</f>
        <v>13.557016014862077</v>
      </c>
      <c r="S88" s="8" cm="1">
        <f t="array" aca="1" ref="S88" ca="1">[1]!UNIFORM_INV(RAND(),Sheet2!U$17-SQRT(3)*Sheet2!U$18,Sheet2!U$17+SQRT(3)*Sheet2!U$18)</f>
        <v>22.488567026639984</v>
      </c>
      <c r="T88" s="8" cm="1">
        <f t="array" aca="1" ref="T88" ca="1">[1]!UNIFORM_INV(RAND(),Sheet2!V$17-SQRT(3)*Sheet2!V$18,Sheet2!V$17+SQRT(3)*Sheet2!V$18)</f>
        <v>22.13353339502871</v>
      </c>
      <c r="U88" s="8" cm="1">
        <f t="array" aca="1" ref="U88" ca="1">[1]!UNIFORM_INV(RAND(),Sheet2!W$17-SQRT(3)*Sheet2!W$18,Sheet2!W$17+SQRT(3)*Sheet2!W$18)</f>
        <v>27.119127259511973</v>
      </c>
      <c r="V88" s="8" cm="1">
        <f t="array" aca="1" ref="V88" ca="1">[1]!UNIFORM_INV(RAND(),Sheet2!X$17-SQRT(3)*Sheet2!X$18,Sheet2!X$17+SQRT(3)*Sheet2!X$18)</f>
        <v>23.991222469059277</v>
      </c>
      <c r="W88" s="8" cm="1">
        <f t="array" aca="1" ref="W88" ca="1">[1]!UNIFORM_INV(RAND(),Sheet2!Y$17-SQRT(3)*Sheet2!Y$18,Sheet2!Y$17+SQRT(3)*Sheet2!Y$18)</f>
        <v>17.61239786267204</v>
      </c>
      <c r="X88" s="8" cm="1">
        <f t="array" aca="1" ref="X88" ca="1">[1]!UNIFORM_INV(RAND(),Sheet2!Z$17-SQRT(3)*Sheet2!Z$18,Sheet2!Z$17+SQRT(3)*Sheet2!Z$18)</f>
        <v>8.3317278184914123</v>
      </c>
      <c r="AX88" s="7">
        <f ca="1">Sheet2!C$17+('RNG HERE'!A88-'RNG HERE'!Y$62)*Sheet2!C$18/'RNG HERE'!Y$63</f>
        <v>4.9796321492447984</v>
      </c>
      <c r="AY88" s="7">
        <f ca="1">Sheet2!D$17+('RNG HERE'!B88-'RNG HERE'!Z$62)*Sheet2!D$18/'RNG HERE'!Z$63</f>
        <v>6.395610733032842</v>
      </c>
      <c r="AZ88" s="7">
        <f ca="1">Sheet2!E$17+('RNG HERE'!C88-'RNG HERE'!AA$62)*Sheet2!E$18/'RNG HERE'!AA$63</f>
        <v>26.415410561685036</v>
      </c>
      <c r="BA88" s="7">
        <f ca="1">Sheet2!F$17+('RNG HERE'!D88-'RNG HERE'!AB$62)*Sheet2!F$18/'RNG HERE'!AB$63</f>
        <v>6.7402086467691973</v>
      </c>
      <c r="BB88" s="7">
        <f ca="1">Sheet2!G$17+('RNG HERE'!E88-'RNG HERE'!AC$62)*Sheet2!G$18/'RNG HERE'!AC$63</f>
        <v>34.654294970713195</v>
      </c>
      <c r="BC88" s="7">
        <f ca="1">Sheet2!H$17+('RNG HERE'!F88-'RNG HERE'!AD$62)*Sheet2!H$18/'RNG HERE'!AD$63</f>
        <v>21.523403757704461</v>
      </c>
      <c r="BD88" s="7">
        <f ca="1">Sheet2!I$17+('RNG HERE'!G88-'RNG HERE'!AE$62)*Sheet2!I$18/'RNG HERE'!AE$63</f>
        <v>9.2613372410147807</v>
      </c>
      <c r="BE88" s="7">
        <f ca="1">Sheet2!J$17+('RNG HERE'!H88-'RNG HERE'!AF$62)*Sheet2!J$18/'RNG HERE'!AF$63</f>
        <v>26.651707189065565</v>
      </c>
      <c r="BF88" s="7">
        <f ca="1">Sheet2!K$17+('RNG HERE'!I88-'RNG HERE'!AG$62)*Sheet2!K$18/'RNG HERE'!AG$63</f>
        <v>22.18570441032433</v>
      </c>
      <c r="BG88" s="7">
        <f ca="1">Sheet2!L$17+('RNG HERE'!J88-'RNG HERE'!AH$62)*Sheet2!L$18/'RNG HERE'!AH$63</f>
        <v>21.726355895764868</v>
      </c>
      <c r="BH88" s="7">
        <f ca="1">Sheet2!M$17+('RNG HERE'!K88-'RNG HERE'!AI$62)*Sheet2!M$18/'RNG HERE'!AI$63</f>
        <v>16.449294692376785</v>
      </c>
      <c r="BI88" s="7">
        <f ca="1">Sheet2!N$17+('RNG HERE'!L88-'RNG HERE'!AJ$62)*Sheet2!N$18/'RNG HERE'!AJ$63</f>
        <v>14.190834487831708</v>
      </c>
      <c r="BJ88" s="7">
        <f ca="1">Sheet2!O$17+('RNG HERE'!M88-'RNG HERE'!AK$62)*Sheet2!O$18/'RNG HERE'!AK$63</f>
        <v>2.3595153520464534</v>
      </c>
      <c r="BK88" s="7">
        <f ca="1">Sheet2!P$17+('RNG HERE'!N88-'RNG HERE'!AL$62)*Sheet2!P$18/'RNG HERE'!AL$63</f>
        <v>17.63743198573632</v>
      </c>
      <c r="BL88" s="7">
        <f ca="1">Sheet2!Q$17+('RNG HERE'!O88-'RNG HERE'!AM$62)*Sheet2!Q$18/'RNG HERE'!AM$63</f>
        <v>13.206655322454537</v>
      </c>
      <c r="BM88" s="7">
        <f ca="1">Sheet2!R$17+('RNG HERE'!P88-'RNG HERE'!AN$62)*Sheet2!R$18/'RNG HERE'!AN$63</f>
        <v>11.352544398841463</v>
      </c>
      <c r="BN88" s="7">
        <f ca="1">Sheet2!S$17+('RNG HERE'!Q88-'RNG HERE'!AO$62)*Sheet2!S$18/'RNG HERE'!AO$63</f>
        <v>5.5343037888590239</v>
      </c>
      <c r="BO88" s="7">
        <f ca="1">Sheet2!T$17+('RNG HERE'!R88-'RNG HERE'!AP$62)*Sheet2!T$18/'RNG HERE'!AP$63</f>
        <v>13.222993433187744</v>
      </c>
      <c r="BP88" s="7">
        <f ca="1">Sheet2!U$17+('RNG HERE'!S88-'RNG HERE'!AQ$62)*Sheet2!U$18/'RNG HERE'!AQ$63</f>
        <v>22.905977110432062</v>
      </c>
      <c r="BQ88" s="7">
        <f ca="1">Sheet2!V$17+('RNG HERE'!T88-'RNG HERE'!AR$62)*Sheet2!V$18/'RNG HERE'!AR$63</f>
        <v>22.418971266539792</v>
      </c>
      <c r="BR88" s="7">
        <f ca="1">Sheet2!W$17+('RNG HERE'!U88-'RNG HERE'!AS$62)*Sheet2!W$18/'RNG HERE'!AS$63</f>
        <v>27.098603935353296</v>
      </c>
      <c r="BS88" s="7">
        <f ca="1">Sheet2!X$17+('RNG HERE'!V88-'RNG HERE'!AT$62)*Sheet2!X$18/'RNG HERE'!AT$63</f>
        <v>23.310521774755852</v>
      </c>
      <c r="BT88" s="7">
        <f ca="1">Sheet2!Y$17+('RNG HERE'!W88-'RNG HERE'!AU$62)*Sheet2!Y$18/'RNG HERE'!AU$63</f>
        <v>17.695688532730316</v>
      </c>
      <c r="BU88" s="7">
        <f ca="1">Sheet2!Z$17+('RNG HERE'!X88-'RNG HERE'!AV$62)*Sheet2!Z$18/'RNG HERE'!AV$63</f>
        <v>8.3040332208191394</v>
      </c>
    </row>
    <row r="89" spans="1:97" x14ac:dyDescent="0.3">
      <c r="A89" s="8" cm="1">
        <f t="array" aca="1" ref="A89" ca="1">[1]!UNIFORM_INV(RAND(),Sheet2!C$17-SQRT(3)*Sheet2!C$18,Sheet2!C$17+SQRT(3)*Sheet2!C$18)</f>
        <v>4.7603024705600205</v>
      </c>
      <c r="B89" s="8" cm="1">
        <f t="array" aca="1" ref="B89" ca="1">[1]!UNIFORM_INV(RAND(),Sheet2!D$17-SQRT(3)*Sheet2!D$18,Sheet2!D$17+SQRT(3)*Sheet2!D$18)</f>
        <v>4.606519537241617</v>
      </c>
      <c r="C89" s="8" cm="1">
        <f t="array" aca="1" ref="C89" ca="1">[1]!UNIFORM_INV(RAND(),Sheet2!E$17-SQRT(3)*Sheet2!E$18,Sheet2!E$17+SQRT(3)*Sheet2!E$18)</f>
        <v>26.77126311338445</v>
      </c>
      <c r="D89" s="8" cm="1">
        <f t="array" aca="1" ref="D89" ca="1">[1]!UNIFORM_INV(RAND(),Sheet2!F$17-SQRT(3)*Sheet2!F$18,Sheet2!F$17+SQRT(3)*Sheet2!F$18)</f>
        <v>0.39253164131819107</v>
      </c>
      <c r="E89" s="8" cm="1">
        <f t="array" aca="1" ref="E89" ca="1">[1]!UNIFORM_INV(RAND(),Sheet2!G$17-SQRT(3)*Sheet2!G$18,Sheet2!G$17+SQRT(3)*Sheet2!G$18)</f>
        <v>43.050948335592558</v>
      </c>
      <c r="F89" s="8" cm="1">
        <f t="array" aca="1" ref="F89" ca="1">[1]!UNIFORM_INV(RAND(),Sheet2!H$17-SQRT(3)*Sheet2!H$18,Sheet2!H$17+SQRT(3)*Sheet2!H$18)</f>
        <v>20.463910934124616</v>
      </c>
      <c r="G89" s="8" cm="1">
        <f t="array" aca="1" ref="G89" ca="1">[1]!UNIFORM_INV(RAND(),Sheet2!I$17-SQRT(3)*Sheet2!I$18,Sheet2!I$17+SQRT(3)*Sheet2!I$18)</f>
        <v>9.8525376663555821</v>
      </c>
      <c r="H89" s="8" cm="1">
        <f t="array" aca="1" ref="H89" ca="1">[1]!UNIFORM_INV(RAND(),Sheet2!J$17-SQRT(3)*Sheet2!J$18,Sheet2!J$17+SQRT(3)*Sheet2!J$18)</f>
        <v>23.545404357963903</v>
      </c>
      <c r="I89" s="8" cm="1">
        <f t="array" aca="1" ref="I89" ca="1">[1]!UNIFORM_INV(RAND(),Sheet2!K$17-SQRT(3)*Sheet2!K$18,Sheet2!K$17+SQRT(3)*Sheet2!K$18)</f>
        <v>24.329619251639087</v>
      </c>
      <c r="J89" s="8" cm="1">
        <f t="array" aca="1" ref="J89" ca="1">[1]!UNIFORM_INV(RAND(),Sheet2!L$17-SQRT(3)*Sheet2!L$18,Sheet2!L$17+SQRT(3)*Sheet2!L$18)</f>
        <v>26.655075917482613</v>
      </c>
      <c r="K89" s="8" cm="1">
        <f t="array" aca="1" ref="K89" ca="1">[1]!UNIFORM_INV(RAND(),Sheet2!M$17-SQRT(3)*Sheet2!M$18,Sheet2!M$17+SQRT(3)*Sheet2!M$18)</f>
        <v>19.627049481959993</v>
      </c>
      <c r="L89" s="8" cm="1">
        <f t="array" aca="1" ref="L89" ca="1">[1]!UNIFORM_INV(RAND(),Sheet2!N$17-SQRT(3)*Sheet2!N$18,Sheet2!N$17+SQRT(3)*Sheet2!N$18)</f>
        <v>15.36571008620346</v>
      </c>
      <c r="M89" s="8" cm="1">
        <f t="array" aca="1" ref="M89" ca="1">[1]!UNIFORM_INV(RAND(),Sheet2!O$17-SQRT(3)*Sheet2!O$18,Sheet2!O$17+SQRT(3)*Sheet2!O$18)</f>
        <v>4.3046384965298898</v>
      </c>
      <c r="N89" s="8" cm="1">
        <f t="array" aca="1" ref="N89" ca="1">[1]!UNIFORM_INV(RAND(),Sheet2!P$17-SQRT(3)*Sheet2!P$18,Sheet2!P$17+SQRT(3)*Sheet2!P$18)</f>
        <v>19.596748459980059</v>
      </c>
      <c r="O89" s="8" cm="1">
        <f t="array" aca="1" ref="O89" ca="1">[1]!UNIFORM_INV(RAND(),Sheet2!Q$17-SQRT(3)*Sheet2!Q$18,Sheet2!Q$17+SQRT(3)*Sheet2!Q$18)</f>
        <v>10.768185742271859</v>
      </c>
      <c r="P89" s="8" cm="1">
        <f t="array" aca="1" ref="P89" ca="1">[1]!UNIFORM_INV(RAND(),Sheet2!R$17-SQRT(3)*Sheet2!R$18,Sheet2!R$17+SQRT(3)*Sheet2!R$18)</f>
        <v>11.961649561297573</v>
      </c>
      <c r="Q89" s="8" cm="1">
        <f t="array" aca="1" ref="Q89" ca="1">[1]!UNIFORM_INV(RAND(),Sheet2!S$17-SQRT(3)*Sheet2!S$18,Sheet2!S$17+SQRT(3)*Sheet2!S$18)</f>
        <v>4.2539354407368934</v>
      </c>
      <c r="R89" s="8" cm="1">
        <f t="array" aca="1" ref="R89" ca="1">[1]!UNIFORM_INV(RAND(),Sheet2!T$17-SQRT(3)*Sheet2!T$18,Sheet2!T$17+SQRT(3)*Sheet2!T$18)</f>
        <v>11.789453321747551</v>
      </c>
      <c r="S89" s="8" cm="1">
        <f t="array" aca="1" ref="S89" ca="1">[1]!UNIFORM_INV(RAND(),Sheet2!U$17-SQRT(3)*Sheet2!U$18,Sheet2!U$17+SQRT(3)*Sheet2!U$18)</f>
        <v>21.981571796461797</v>
      </c>
      <c r="T89" s="8" cm="1">
        <f t="array" aca="1" ref="T89" ca="1">[1]!UNIFORM_INV(RAND(),Sheet2!V$17-SQRT(3)*Sheet2!V$18,Sheet2!V$17+SQRT(3)*Sheet2!V$18)</f>
        <v>20.237493478440783</v>
      </c>
      <c r="U89" s="8" cm="1">
        <f t="array" aca="1" ref="U89" ca="1">[1]!UNIFORM_INV(RAND(),Sheet2!W$17-SQRT(3)*Sheet2!W$18,Sheet2!W$17+SQRT(3)*Sheet2!W$18)</f>
        <v>26.091368242629152</v>
      </c>
      <c r="V89" s="8" cm="1">
        <f t="array" aca="1" ref="V89" ca="1">[1]!UNIFORM_INV(RAND(),Sheet2!X$17-SQRT(3)*Sheet2!X$18,Sheet2!X$17+SQRT(3)*Sheet2!X$18)</f>
        <v>24.68825913661809</v>
      </c>
      <c r="W89" s="8" cm="1">
        <f t="array" aca="1" ref="W89" ca="1">[1]!UNIFORM_INV(RAND(),Sheet2!Y$17-SQRT(3)*Sheet2!Y$18,Sheet2!Y$17+SQRT(3)*Sheet2!Y$18)</f>
        <v>17.172478283733785</v>
      </c>
      <c r="X89" s="8" cm="1">
        <f t="array" aca="1" ref="X89" ca="1">[1]!UNIFORM_INV(RAND(),Sheet2!Z$17-SQRT(3)*Sheet2!Z$18,Sheet2!Z$17+SQRT(3)*Sheet2!Z$18)</f>
        <v>10.168653714634909</v>
      </c>
      <c r="AX89" s="7">
        <f ca="1">Sheet2!C$17+('RNG HERE'!A89-'RNG HERE'!Y$62)*Sheet2!C$18/'RNG HERE'!Y$63</f>
        <v>4.8792937087120576</v>
      </c>
      <c r="AY89" s="7">
        <f ca="1">Sheet2!D$17+('RNG HERE'!B89-'RNG HERE'!Z$62)*Sheet2!D$18/'RNG HERE'!Z$63</f>
        <v>4.8137841403444046</v>
      </c>
      <c r="AZ89" s="7">
        <f ca="1">Sheet2!E$17+('RNG HERE'!C89-'RNG HERE'!AA$62)*Sheet2!E$18/'RNG HERE'!AA$63</f>
        <v>26.707767032331045</v>
      </c>
      <c r="BA89" s="7">
        <f ca="1">Sheet2!F$17+('RNG HERE'!D89-'RNG HERE'!AB$62)*Sheet2!F$18/'RNG HERE'!AB$63</f>
        <v>3.110567161682809E-2</v>
      </c>
      <c r="BB89" s="7">
        <f ca="1">Sheet2!G$17+('RNG HERE'!E89-'RNG HERE'!AC$62)*Sheet2!G$18/'RNG HERE'!AC$63</f>
        <v>43.798268746582856</v>
      </c>
      <c r="BC89" s="7">
        <f ca="1">Sheet2!H$17+('RNG HERE'!F89-'RNG HERE'!AD$62)*Sheet2!H$18/'RNG HERE'!AD$63</f>
        <v>21.137246877117558</v>
      </c>
      <c r="BD89" s="7">
        <f ca="1">Sheet2!I$17+('RNG HERE'!G89-'RNG HERE'!AE$62)*Sheet2!I$18/'RNG HERE'!AE$63</f>
        <v>10.046837723564529</v>
      </c>
      <c r="BE89" s="7">
        <f ca="1">Sheet2!J$17+('RNG HERE'!H89-'RNG HERE'!AF$62)*Sheet2!J$18/'RNG HERE'!AF$63</f>
        <v>23.717977002431681</v>
      </c>
      <c r="BF89" s="7">
        <f ca="1">Sheet2!K$17+('RNG HERE'!I89-'RNG HERE'!AG$62)*Sheet2!K$18/'RNG HERE'!AG$63</f>
        <v>24.115511352382828</v>
      </c>
      <c r="BG89" s="7">
        <f ca="1">Sheet2!L$17+('RNG HERE'!J89-'RNG HERE'!AH$62)*Sheet2!L$18/'RNG HERE'!AH$63</f>
        <v>27.089915721371241</v>
      </c>
      <c r="BH89" s="7">
        <f ca="1">Sheet2!M$17+('RNG HERE'!K89-'RNG HERE'!AI$62)*Sheet2!M$18/'RNG HERE'!AI$63</f>
        <v>20.939176478802992</v>
      </c>
      <c r="BI89" s="7">
        <f ca="1">Sheet2!N$17+('RNG HERE'!L89-'RNG HERE'!AJ$62)*Sheet2!N$18/'RNG HERE'!AJ$63</f>
        <v>15.191444379317005</v>
      </c>
      <c r="BJ89" s="7">
        <f ca="1">Sheet2!O$17+('RNG HERE'!M89-'RNG HERE'!AK$62)*Sheet2!O$18/'RNG HERE'!AK$63</f>
        <v>4.08578321115818</v>
      </c>
      <c r="BK89" s="7">
        <f ca="1">Sheet2!P$17+('RNG HERE'!N89-'RNG HERE'!AL$62)*Sheet2!P$18/'RNG HERE'!AL$63</f>
        <v>20.257371486618339</v>
      </c>
      <c r="BL89" s="7">
        <f ca="1">Sheet2!Q$17+('RNG HERE'!O89-'RNG HERE'!AM$62)*Sheet2!Q$18/'RNG HERE'!AM$63</f>
        <v>10.815726848998699</v>
      </c>
      <c r="BM89" s="7">
        <f ca="1">Sheet2!R$17+('RNG HERE'!P89-'RNG HERE'!AN$62)*Sheet2!R$18/'RNG HERE'!AN$63</f>
        <v>11.888761995610674</v>
      </c>
      <c r="BN89" s="7">
        <f ca="1">Sheet2!S$17+('RNG HERE'!Q89-'RNG HERE'!AO$62)*Sheet2!S$18/'RNG HERE'!AO$63</f>
        <v>4.3362257097555519</v>
      </c>
      <c r="BO89" s="7">
        <f ca="1">Sheet2!T$17+('RNG HERE'!R89-'RNG HERE'!AP$62)*Sheet2!T$18/'RNG HERE'!AP$63</f>
        <v>11.177499415595731</v>
      </c>
      <c r="BP89" s="7">
        <f ca="1">Sheet2!U$17+('RNG HERE'!S89-'RNG HERE'!AQ$62)*Sheet2!U$18/'RNG HERE'!AQ$63</f>
        <v>22.305710042094855</v>
      </c>
      <c r="BQ89" s="7">
        <f ca="1">Sheet2!V$17+('RNG HERE'!T89-'RNG HERE'!AR$62)*Sheet2!V$18/'RNG HERE'!AR$63</f>
        <v>20.466917154130854</v>
      </c>
      <c r="BR89" s="7">
        <f ca="1">Sheet2!W$17+('RNG HERE'!U89-'RNG HERE'!AS$62)*Sheet2!W$18/'RNG HERE'!AS$63</f>
        <v>25.89209279673889</v>
      </c>
      <c r="BS89" s="7">
        <f ca="1">Sheet2!X$17+('RNG HERE'!V89-'RNG HERE'!AT$62)*Sheet2!X$18/'RNG HERE'!AT$63</f>
        <v>23.96402339703268</v>
      </c>
      <c r="BT89" s="7">
        <f ca="1">Sheet2!Y$17+('RNG HERE'!W89-'RNG HERE'!AU$62)*Sheet2!Y$18/'RNG HERE'!AU$63</f>
        <v>17.236918043212164</v>
      </c>
      <c r="BU89" s="7">
        <f ca="1">Sheet2!Z$17+('RNG HERE'!X89-'RNG HERE'!AV$62)*Sheet2!Z$18/'RNG HERE'!AV$63</f>
        <v>10.107208746899156</v>
      </c>
    </row>
    <row r="90" spans="1:97" x14ac:dyDescent="0.3">
      <c r="A90" s="8" cm="1">
        <f t="array" aca="1" ref="A90" ca="1">[1]!UNIFORM_INV(RAND(),Sheet2!C$17-SQRT(3)*Sheet2!C$18,Sheet2!C$17+SQRT(3)*Sheet2!C$18)</f>
        <v>7.2019753576681023</v>
      </c>
      <c r="B90" s="8" cm="1">
        <f t="array" aca="1" ref="B90" ca="1">[1]!UNIFORM_INV(RAND(),Sheet2!D$17-SQRT(3)*Sheet2!D$18,Sheet2!D$17+SQRT(3)*Sheet2!D$18)</f>
        <v>4.6616784203450923</v>
      </c>
      <c r="C90" s="8" cm="1">
        <f t="array" aca="1" ref="C90" ca="1">[1]!UNIFORM_INV(RAND(),Sheet2!E$17-SQRT(3)*Sheet2!E$18,Sheet2!E$17+SQRT(3)*Sheet2!E$18)</f>
        <v>25.935621361205868</v>
      </c>
      <c r="D90" s="8" cm="1">
        <f t="array" aca="1" ref="D90" ca="1">[1]!UNIFORM_INV(RAND(),Sheet2!F$17-SQRT(3)*Sheet2!F$18,Sheet2!F$17+SQRT(3)*Sheet2!F$18)</f>
        <v>0.49880325647840468</v>
      </c>
      <c r="E90" s="8" cm="1">
        <f t="array" aca="1" ref="E90" ca="1">[1]!UNIFORM_INV(RAND(),Sheet2!G$17-SQRT(3)*Sheet2!G$18,Sheet2!G$17+SQRT(3)*Sheet2!G$18)</f>
        <v>24.654058771831167</v>
      </c>
      <c r="F90" s="8" cm="1">
        <f t="array" aca="1" ref="F90" ca="1">[1]!UNIFORM_INV(RAND(),Sheet2!H$17-SQRT(3)*Sheet2!H$18,Sheet2!H$17+SQRT(3)*Sheet2!H$18)</f>
        <v>14.542170902850458</v>
      </c>
      <c r="G90" s="8" cm="1">
        <f t="array" aca="1" ref="G90" ca="1">[1]!UNIFORM_INV(RAND(),Sheet2!I$17-SQRT(3)*Sheet2!I$18,Sheet2!I$17+SQRT(3)*Sheet2!I$18)</f>
        <v>8.8162119941995538</v>
      </c>
      <c r="H90" s="8" cm="1">
        <f t="array" aca="1" ref="H90" ca="1">[1]!UNIFORM_INV(RAND(),Sheet2!J$17-SQRT(3)*Sheet2!J$18,Sheet2!J$17+SQRT(3)*Sheet2!J$18)</f>
        <v>26.02998620099126</v>
      </c>
      <c r="I90" s="8" cm="1">
        <f t="array" aca="1" ref="I90" ca="1">[1]!UNIFORM_INV(RAND(),Sheet2!K$17-SQRT(3)*Sheet2!K$18,Sheet2!K$17+SQRT(3)*Sheet2!K$18)</f>
        <v>24.524100954583769</v>
      </c>
      <c r="J90" s="8" cm="1">
        <f t="array" aca="1" ref="J90" ca="1">[1]!UNIFORM_INV(RAND(),Sheet2!L$17-SQRT(3)*Sheet2!L$18,Sheet2!L$17+SQRT(3)*Sheet2!L$18)</f>
        <v>27.424573408797155</v>
      </c>
      <c r="K90" s="8" cm="1">
        <f t="array" aca="1" ref="K90" ca="1">[1]!UNIFORM_INV(RAND(),Sheet2!M$17-SQRT(3)*Sheet2!M$18,Sheet2!M$17+SQRT(3)*Sheet2!M$18)</f>
        <v>19.606874221243025</v>
      </c>
      <c r="L90" s="8" cm="1">
        <f t="array" aca="1" ref="L90" ca="1">[1]!UNIFORM_INV(RAND(),Sheet2!N$17-SQRT(3)*Sheet2!N$18,Sheet2!N$17+SQRT(3)*Sheet2!N$18)</f>
        <v>20.469420378840564</v>
      </c>
      <c r="M90" s="8" cm="1">
        <f t="array" aca="1" ref="M90" ca="1">[1]!UNIFORM_INV(RAND(),Sheet2!O$17-SQRT(3)*Sheet2!O$18,Sheet2!O$17+SQRT(3)*Sheet2!O$18)</f>
        <v>5.0309871760205604</v>
      </c>
      <c r="N90" s="8" cm="1">
        <f t="array" aca="1" ref="N90" ca="1">[1]!UNIFORM_INV(RAND(),Sheet2!P$17-SQRT(3)*Sheet2!P$18,Sheet2!P$17+SQRT(3)*Sheet2!P$18)</f>
        <v>19.867623938098571</v>
      </c>
      <c r="O90" s="8" cm="1">
        <f t="array" aca="1" ref="O90" ca="1">[1]!UNIFORM_INV(RAND(),Sheet2!Q$17-SQRT(3)*Sheet2!Q$18,Sheet2!Q$17+SQRT(3)*Sheet2!Q$18)</f>
        <v>7.9663156821963792</v>
      </c>
      <c r="P90" s="8" cm="1">
        <f t="array" aca="1" ref="P90" ca="1">[1]!UNIFORM_INV(RAND(),Sheet2!R$17-SQRT(3)*Sheet2!R$18,Sheet2!R$17+SQRT(3)*Sheet2!R$18)</f>
        <v>11.783306771888526</v>
      </c>
      <c r="Q90" s="8" cm="1">
        <f t="array" aca="1" ref="Q90" ca="1">[1]!UNIFORM_INV(RAND(),Sheet2!S$17-SQRT(3)*Sheet2!S$18,Sheet2!S$17+SQRT(3)*Sheet2!S$18)</f>
        <v>3.443466409067065</v>
      </c>
      <c r="R90" s="8" cm="1">
        <f t="array" aca="1" ref="R90" ca="1">[1]!UNIFORM_INV(RAND(),Sheet2!T$17-SQRT(3)*Sheet2!T$18,Sheet2!T$17+SQRT(3)*Sheet2!T$18)</f>
        <v>14.44659112694613</v>
      </c>
      <c r="S90" s="8" cm="1">
        <f t="array" aca="1" ref="S90" ca="1">[1]!UNIFORM_INV(RAND(),Sheet2!U$17-SQRT(3)*Sheet2!U$18,Sheet2!U$17+SQRT(3)*Sheet2!U$18)</f>
        <v>19.381401294279996</v>
      </c>
      <c r="T90" s="8" cm="1">
        <f t="array" aca="1" ref="T90" ca="1">[1]!UNIFORM_INV(RAND(),Sheet2!V$17-SQRT(3)*Sheet2!V$18,Sheet2!V$17+SQRT(3)*Sheet2!V$18)</f>
        <v>19.850982711409383</v>
      </c>
      <c r="U90" s="8" cm="1">
        <f t="array" aca="1" ref="U90" ca="1">[1]!UNIFORM_INV(RAND(),Sheet2!W$17-SQRT(3)*Sheet2!W$18,Sheet2!W$17+SQRT(3)*Sheet2!W$18)</f>
        <v>29.860993485220831</v>
      </c>
      <c r="V90" s="8" cm="1">
        <f t="array" aca="1" ref="V90" ca="1">[1]!UNIFORM_INV(RAND(),Sheet2!X$17-SQRT(3)*Sheet2!X$18,Sheet2!X$17+SQRT(3)*Sheet2!X$18)</f>
        <v>20.440957330130228</v>
      </c>
      <c r="W90" s="8" cm="1">
        <f t="array" aca="1" ref="W90" ca="1">[1]!UNIFORM_INV(RAND(),Sheet2!Y$17-SQRT(3)*Sheet2!Y$18,Sheet2!Y$17+SQRT(3)*Sheet2!Y$18)</f>
        <v>18.252138867393892</v>
      </c>
      <c r="X90" s="8" cm="1">
        <f t="array" aca="1" ref="X90" ca="1">[1]!UNIFORM_INV(RAND(),Sheet2!Z$17-SQRT(3)*Sheet2!Z$18,Sheet2!Z$17+SQRT(3)*Sheet2!Z$18)</f>
        <v>11.125765331904311</v>
      </c>
      <c r="AX90" s="7">
        <f ca="1">Sheet2!C$17+('RNG HERE'!A90-'RNG HERE'!Y$62)*Sheet2!C$18/'RNG HERE'!Y$63</f>
        <v>7.6277481498974433</v>
      </c>
      <c r="AY90" s="7">
        <f ca="1">Sheet2!D$17+('RNG HERE'!B90-'RNG HERE'!Z$62)*Sheet2!D$18/'RNG HERE'!Z$63</f>
        <v>4.8680919568307282</v>
      </c>
      <c r="AZ90" s="7">
        <f ca="1">Sheet2!E$17+('RNG HERE'!C90-'RNG HERE'!AA$62)*Sheet2!E$18/'RNG HERE'!AA$63</f>
        <v>25.770531244776585</v>
      </c>
      <c r="BA90" s="7">
        <f ca="1">Sheet2!F$17+('RNG HERE'!D90-'RNG HERE'!AB$62)*Sheet2!F$18/'RNG HERE'!AB$63</f>
        <v>0.12899036153839027</v>
      </c>
      <c r="BB90" s="7">
        <f ca="1">Sheet2!G$17+('RNG HERE'!E90-'RNG HERE'!AC$62)*Sheet2!G$18/'RNG HERE'!AC$63</f>
        <v>26.319234981722687</v>
      </c>
      <c r="BC90" s="7">
        <f ca="1">Sheet2!H$17+('RNG HERE'!F90-'RNG HERE'!AD$62)*Sheet2!H$18/'RNG HERE'!AD$63</f>
        <v>15.250268486835337</v>
      </c>
      <c r="BD90" s="7">
        <f ca="1">Sheet2!I$17+('RNG HERE'!G90-'RNG HERE'!AE$62)*Sheet2!I$18/'RNG HERE'!AE$63</f>
        <v>9.0303211478653918</v>
      </c>
      <c r="BE90" s="7">
        <f ca="1">Sheet2!J$17+('RNG HERE'!H90-'RNG HERE'!AF$62)*Sheet2!J$18/'RNG HERE'!AF$63</f>
        <v>26.179751220474206</v>
      </c>
      <c r="BF90" s="7">
        <f ca="1">Sheet2!K$17+('RNG HERE'!I90-'RNG HERE'!AG$62)*Sheet2!K$18/'RNG HERE'!AG$63</f>
        <v>24.293162151170492</v>
      </c>
      <c r="BG90" s="7">
        <f ca="1">Sheet2!L$17+('RNG HERE'!J90-'RNG HERE'!AH$62)*Sheet2!L$18/'RNG HERE'!AH$63</f>
        <v>27.917587036128133</v>
      </c>
      <c r="BH90" s="7">
        <f ca="1">Sheet2!M$17+('RNG HERE'!K90-'RNG HERE'!AI$62)*Sheet2!M$18/'RNG HERE'!AI$63</f>
        <v>20.916732986613134</v>
      </c>
      <c r="BI90" s="7">
        <f ca="1">Sheet2!N$17+('RNG HERE'!L90-'RNG HERE'!AJ$62)*Sheet2!N$18/'RNG HERE'!AJ$63</f>
        <v>21.035994844182852</v>
      </c>
      <c r="BJ90" s="7">
        <f ca="1">Sheet2!O$17+('RNG HERE'!M90-'RNG HERE'!AK$62)*Sheet2!O$18/'RNG HERE'!AK$63</f>
        <v>4.8409874431952122</v>
      </c>
      <c r="BK90" s="7">
        <f ca="1">Sheet2!P$17+('RNG HERE'!N90-'RNG HERE'!AL$62)*Sheet2!P$18/'RNG HERE'!AL$63</f>
        <v>20.56416331038427</v>
      </c>
      <c r="BL90" s="7">
        <f ca="1">Sheet2!Q$17+('RNG HERE'!O90-'RNG HERE'!AM$62)*Sheet2!Q$18/'RNG HERE'!AM$63</f>
        <v>7.8880045750941683</v>
      </c>
      <c r="BM90" s="7">
        <f ca="1">Sheet2!R$17+('RNG HERE'!P90-'RNG HERE'!AN$62)*Sheet2!R$18/'RNG HERE'!AN$63</f>
        <v>11.719158493497835</v>
      </c>
      <c r="BN90" s="7">
        <f ca="1">Sheet2!S$17+('RNG HERE'!Q90-'RNG HERE'!AO$62)*Sheet2!S$18/'RNG HERE'!AO$63</f>
        <v>3.4351051010389408</v>
      </c>
      <c r="BO90" s="7">
        <f ca="1">Sheet2!T$17+('RNG HERE'!R90-'RNG HERE'!AP$62)*Sheet2!T$18/'RNG HERE'!AP$63</f>
        <v>14.252445218436966</v>
      </c>
      <c r="BP90" s="7">
        <f ca="1">Sheet2!U$17+('RNG HERE'!S90-'RNG HERE'!AQ$62)*Sheet2!U$18/'RNG HERE'!AQ$63</f>
        <v>19.227186553869934</v>
      </c>
      <c r="BQ90" s="7">
        <f ca="1">Sheet2!V$17+('RNG HERE'!T90-'RNG HERE'!AR$62)*Sheet2!V$18/'RNG HERE'!AR$63</f>
        <v>20.068987803765836</v>
      </c>
      <c r="BR90" s="7">
        <f ca="1">Sheet2!W$17+('RNG HERE'!U90-'RNG HERE'!AS$62)*Sheet2!W$18/'RNG HERE'!AS$63</f>
        <v>30.317346935966199</v>
      </c>
      <c r="BS90" s="7">
        <f ca="1">Sheet2!X$17+('RNG HERE'!V90-'RNG HERE'!AT$62)*Sheet2!X$18/'RNG HERE'!AT$63</f>
        <v>19.981996697404398</v>
      </c>
      <c r="BT90" s="7">
        <f ca="1">Sheet2!Y$17+('RNG HERE'!W90-'RNG HERE'!AU$62)*Sheet2!Y$18/'RNG HERE'!AU$63</f>
        <v>18.362842958112854</v>
      </c>
      <c r="BU90" s="7">
        <f ca="1">Sheet2!Z$17+('RNG HERE'!X90-'RNG HERE'!AV$62)*Sheet2!Z$18/'RNG HERE'!AV$63</f>
        <v>11.046735075974453</v>
      </c>
    </row>
    <row r="91" spans="1:97" x14ac:dyDescent="0.3">
      <c r="A91" s="8" cm="1">
        <f t="array" aca="1" ref="A91" ca="1">[1]!UNIFORM_INV(RAND(),Sheet2!C$17-SQRT(3)*Sheet2!C$18,Sheet2!C$17+SQRT(3)*Sheet2!C$18)</f>
        <v>6.8203830770529592</v>
      </c>
      <c r="B91" s="8" cm="1">
        <f t="array" aca="1" ref="B91" ca="1">[1]!UNIFORM_INV(RAND(),Sheet2!D$17-SQRT(3)*Sheet2!D$18,Sheet2!D$17+SQRT(3)*Sheet2!D$18)</f>
        <v>5.8785923498566479</v>
      </c>
      <c r="C91" s="8" cm="1">
        <f t="array" aca="1" ref="C91" ca="1">[1]!UNIFORM_INV(RAND(),Sheet2!E$17-SQRT(3)*Sheet2!E$18,Sheet2!E$17+SQRT(3)*Sheet2!E$18)</f>
        <v>26.67757270253394</v>
      </c>
      <c r="D91" s="8" cm="1">
        <f t="array" aca="1" ref="D91" ca="1">[1]!UNIFORM_INV(RAND(),Sheet2!F$17-SQRT(3)*Sheet2!F$18,Sheet2!F$17+SQRT(3)*Sheet2!F$18)</f>
        <v>1.4104493888315093</v>
      </c>
      <c r="E91" s="8" cm="1">
        <f t="array" aca="1" ref="E91" ca="1">[1]!UNIFORM_INV(RAND(),Sheet2!G$17-SQRT(3)*Sheet2!G$18,Sheet2!G$17+SQRT(3)*Sheet2!G$18)</f>
        <v>31.733772069592071</v>
      </c>
      <c r="F91" s="8" cm="1">
        <f t="array" aca="1" ref="F91" ca="1">[1]!UNIFORM_INV(RAND(),Sheet2!H$17-SQRT(3)*Sheet2!H$18,Sheet2!H$17+SQRT(3)*Sheet2!H$18)</f>
        <v>16.661460232980037</v>
      </c>
      <c r="G91" s="8" cm="1">
        <f t="array" aca="1" ref="G91" ca="1">[1]!UNIFORM_INV(RAND(),Sheet2!I$17-SQRT(3)*Sheet2!I$18,Sheet2!I$17+SQRT(3)*Sheet2!I$18)</f>
        <v>10.916600953336223</v>
      </c>
      <c r="H91" s="8" cm="1">
        <f t="array" aca="1" ref="H91" ca="1">[1]!UNIFORM_INV(RAND(),Sheet2!J$17-SQRT(3)*Sheet2!J$18,Sheet2!J$17+SQRT(3)*Sheet2!J$18)</f>
        <v>24.057552137327882</v>
      </c>
      <c r="I91" s="8" cm="1">
        <f t="array" aca="1" ref="I91" ca="1">[1]!UNIFORM_INV(RAND(),Sheet2!K$17-SQRT(3)*Sheet2!K$18,Sheet2!K$17+SQRT(3)*Sheet2!K$18)</f>
        <v>24.698344746481165</v>
      </c>
      <c r="J91" s="8" cm="1">
        <f t="array" aca="1" ref="J91" ca="1">[1]!UNIFORM_INV(RAND(),Sheet2!L$17-SQRT(3)*Sheet2!L$18,Sheet2!L$17+SQRT(3)*Sheet2!L$18)</f>
        <v>25.530407427327088</v>
      </c>
      <c r="K91" s="8" cm="1">
        <f t="array" aca="1" ref="K91" ca="1">[1]!UNIFORM_INV(RAND(),Sheet2!M$17-SQRT(3)*Sheet2!M$18,Sheet2!M$17+SQRT(3)*Sheet2!M$18)</f>
        <v>15.623320211918728</v>
      </c>
      <c r="L91" s="8" cm="1">
        <f t="array" aca="1" ref="L91" ca="1">[1]!UNIFORM_INV(RAND(),Sheet2!N$17-SQRT(3)*Sheet2!N$18,Sheet2!N$17+SQRT(3)*Sheet2!N$18)</f>
        <v>19.118198346699334</v>
      </c>
      <c r="M91" s="8" cm="1">
        <f t="array" aca="1" ref="M91" ca="1">[1]!UNIFORM_INV(RAND(),Sheet2!O$17-SQRT(3)*Sheet2!O$18,Sheet2!O$17+SQRT(3)*Sheet2!O$18)</f>
        <v>2.5286081417519384</v>
      </c>
      <c r="N91" s="8" cm="1">
        <f t="array" aca="1" ref="N91" ca="1">[1]!UNIFORM_INV(RAND(),Sheet2!P$17-SQRT(3)*Sheet2!P$18,Sheet2!P$17+SQRT(3)*Sheet2!P$18)</f>
        <v>19.561378351103066</v>
      </c>
      <c r="O91" s="8" cm="1">
        <f t="array" aca="1" ref="O91" ca="1">[1]!UNIFORM_INV(RAND(),Sheet2!Q$17-SQRT(3)*Sheet2!Q$18,Sheet2!Q$17+SQRT(3)*Sheet2!Q$18)</f>
        <v>11.96378852293061</v>
      </c>
      <c r="P91" s="8" cm="1">
        <f t="array" aca="1" ref="P91" ca="1">[1]!UNIFORM_INV(RAND(),Sheet2!R$17-SQRT(3)*Sheet2!R$18,Sheet2!R$17+SQRT(3)*Sheet2!R$18)</f>
        <v>10.335111733587011</v>
      </c>
      <c r="Q91" s="8" cm="1">
        <f t="array" aca="1" ref="Q91" ca="1">[1]!UNIFORM_INV(RAND(),Sheet2!S$17-SQRT(3)*Sheet2!S$18,Sheet2!S$17+SQRT(3)*Sheet2!S$18)</f>
        <v>4.0394605804859394</v>
      </c>
      <c r="R91" s="8" cm="1">
        <f t="array" aca="1" ref="R91" ca="1">[1]!UNIFORM_INV(RAND(),Sheet2!T$17-SQRT(3)*Sheet2!T$18,Sheet2!T$17+SQRT(3)*Sheet2!T$18)</f>
        <v>15.387657569511781</v>
      </c>
      <c r="S91" s="8" cm="1">
        <f t="array" aca="1" ref="S91" ca="1">[1]!UNIFORM_INV(RAND(),Sheet2!U$17-SQRT(3)*Sheet2!U$18,Sheet2!U$17+SQRT(3)*Sheet2!U$18)</f>
        <v>20.531658944883343</v>
      </c>
      <c r="T91" s="8" cm="1">
        <f t="array" aca="1" ref="T91" ca="1">[1]!UNIFORM_INV(RAND(),Sheet2!V$17-SQRT(3)*Sheet2!V$18,Sheet2!V$17+SQRT(3)*Sheet2!V$18)</f>
        <v>21.596264405411137</v>
      </c>
      <c r="U91" s="8" cm="1">
        <f t="array" aca="1" ref="U91" ca="1">[1]!UNIFORM_INV(RAND(),Sheet2!W$17-SQRT(3)*Sheet2!W$18,Sheet2!W$17+SQRT(3)*Sheet2!W$18)</f>
        <v>26.001330019545492</v>
      </c>
      <c r="V91" s="8" cm="1">
        <f t="array" aca="1" ref="V91" ca="1">[1]!UNIFORM_INV(RAND(),Sheet2!X$17-SQRT(3)*Sheet2!X$18,Sheet2!X$17+SQRT(3)*Sheet2!X$18)</f>
        <v>19.618405088612832</v>
      </c>
      <c r="W91" s="8" cm="1">
        <f t="array" aca="1" ref="W91" ca="1">[1]!UNIFORM_INV(RAND(),Sheet2!Y$17-SQRT(3)*Sheet2!Y$18,Sheet2!Y$17+SQRT(3)*Sheet2!Y$18)</f>
        <v>19.153140410835476</v>
      </c>
      <c r="X91" s="8" cm="1">
        <f t="array" aca="1" ref="X91" ca="1">[1]!UNIFORM_INV(RAND(),Sheet2!Z$17-SQRT(3)*Sheet2!Z$18,Sheet2!Z$17+SQRT(3)*Sheet2!Z$18)</f>
        <v>8.833874392717556</v>
      </c>
      <c r="AX91" s="7">
        <f ca="1">Sheet2!C$17+('RNG HERE'!A91-'RNG HERE'!Y$62)*Sheet2!C$18/'RNG HERE'!Y$63</f>
        <v>7.1982110878625134</v>
      </c>
      <c r="AY91" s="7">
        <f ca="1">Sheet2!D$17+('RNG HERE'!B91-'RNG HERE'!Z$62)*Sheet2!D$18/'RNG HERE'!Z$63</f>
        <v>6.066229675456885</v>
      </c>
      <c r="AZ91" s="7">
        <f ca="1">Sheet2!E$17+('RNG HERE'!C91-'RNG HERE'!AA$62)*Sheet2!E$18/'RNG HERE'!AA$63</f>
        <v>26.602686110068781</v>
      </c>
      <c r="BA91" s="7">
        <f ca="1">Sheet2!F$17+('RNG HERE'!D91-'RNG HERE'!AB$62)*Sheet2!F$18/'RNG HERE'!AB$63</f>
        <v>0.96868964388244461</v>
      </c>
      <c r="BB91" s="7">
        <f ca="1">Sheet2!G$17+('RNG HERE'!E91-'RNG HERE'!AC$62)*Sheet2!G$18/'RNG HERE'!AC$63</f>
        <v>33.04572792218427</v>
      </c>
      <c r="BC91" s="7">
        <f ca="1">Sheet2!H$17+('RNG HERE'!F91-'RNG HERE'!AD$62)*Sheet2!H$18/'RNG HERE'!AD$63</f>
        <v>17.357117221048355</v>
      </c>
      <c r="BD91" s="7">
        <f ca="1">Sheet2!I$17+('RNG HERE'!G91-'RNG HERE'!AE$62)*Sheet2!I$18/'RNG HERE'!AE$63</f>
        <v>11.090561716774531</v>
      </c>
      <c r="BE91" s="7">
        <f ca="1">Sheet2!J$17+('RNG HERE'!H91-'RNG HERE'!AF$62)*Sheet2!J$18/'RNG HERE'!AF$63</f>
        <v>24.225423437574968</v>
      </c>
      <c r="BF91" s="7">
        <f ca="1">Sheet2!K$17+('RNG HERE'!I91-'RNG HERE'!AG$62)*Sheet2!K$18/'RNG HERE'!AG$63</f>
        <v>24.452326475349455</v>
      </c>
      <c r="BG91" s="7">
        <f ca="1">Sheet2!L$17+('RNG HERE'!J91-'RNG HERE'!AH$62)*Sheet2!L$18/'RNG HERE'!AH$63</f>
        <v>25.880222566527451</v>
      </c>
      <c r="BH91" s="7">
        <f ca="1">Sheet2!M$17+('RNG HERE'!K91-'RNG HERE'!AI$62)*Sheet2!M$18/'RNG HERE'!AI$63</f>
        <v>16.485322431360057</v>
      </c>
      <c r="BI91" s="7">
        <f ca="1">Sheet2!N$17+('RNG HERE'!L91-'RNG HERE'!AJ$62)*Sheet2!N$18/'RNG HERE'!AJ$63</f>
        <v>19.488633237964518</v>
      </c>
      <c r="BJ91" s="7">
        <f ca="1">Sheet2!O$17+('RNG HERE'!M91-'RNG HERE'!AK$62)*Sheet2!O$18/'RNG HERE'!AK$63</f>
        <v>2.239196746521027</v>
      </c>
      <c r="BK91" s="7">
        <f ca="1">Sheet2!P$17+('RNG HERE'!N91-'RNG HERE'!AL$62)*Sheet2!P$18/'RNG HERE'!AL$63</f>
        <v>20.217311528867477</v>
      </c>
      <c r="BL91" s="7">
        <f ca="1">Sheet2!Q$17+('RNG HERE'!O91-'RNG HERE'!AM$62)*Sheet2!Q$18/'RNG HERE'!AM$63</f>
        <v>12.065032782758712</v>
      </c>
      <c r="BM91" s="7">
        <f ca="1">Sheet2!R$17+('RNG HERE'!P91-'RNG HERE'!AN$62)*Sheet2!R$18/'RNG HERE'!AN$63</f>
        <v>10.341928996010159</v>
      </c>
      <c r="BN91" s="7">
        <f ca="1">Sheet2!S$17+('RNG HERE'!Q91-'RNG HERE'!AO$62)*Sheet2!S$18/'RNG HERE'!AO$63</f>
        <v>4.0977616734116147</v>
      </c>
      <c r="BO91" s="7">
        <f ca="1">Sheet2!T$17+('RNG HERE'!R91-'RNG HERE'!AP$62)*Sheet2!T$18/'RNG HERE'!AP$63</f>
        <v>15.341484824173833</v>
      </c>
      <c r="BP91" s="7">
        <f ca="1">Sheet2!U$17+('RNG HERE'!S91-'RNG HERE'!AQ$62)*Sheet2!U$18/'RNG HERE'!AQ$63</f>
        <v>20.589056935801231</v>
      </c>
      <c r="BQ91" s="7">
        <f ca="1">Sheet2!V$17+('RNG HERE'!T91-'RNG HERE'!AR$62)*Sheet2!V$18/'RNG HERE'!AR$63</f>
        <v>21.865829884084018</v>
      </c>
      <c r="BR91" s="7">
        <f ca="1">Sheet2!W$17+('RNG HERE'!U91-'RNG HERE'!AS$62)*Sheet2!W$18/'RNG HERE'!AS$63</f>
        <v>25.786394751509413</v>
      </c>
      <c r="BS91" s="7">
        <f ca="1">Sheet2!X$17+('RNG HERE'!V91-'RNG HERE'!AT$62)*Sheet2!X$18/'RNG HERE'!AT$63</f>
        <v>19.210818868092133</v>
      </c>
      <c r="BT91" s="7">
        <f ca="1">Sheet2!Y$17+('RNG HERE'!W91-'RNG HERE'!AU$62)*Sheet2!Y$18/'RNG HERE'!AU$63</f>
        <v>19.302453148091057</v>
      </c>
      <c r="BU91" s="7">
        <f ca="1">Sheet2!Z$17+('RNG HERE'!X91-'RNG HERE'!AV$62)*Sheet2!Z$18/'RNG HERE'!AV$63</f>
        <v>8.796953710998114</v>
      </c>
    </row>
    <row r="92" spans="1:97" x14ac:dyDescent="0.3">
      <c r="A92" s="8" cm="1">
        <f t="array" aca="1" ref="A92" ca="1">[1]!UNIFORM_INV(RAND(),Sheet2!C$19-SQRT(3)*Sheet2!C$20,Sheet2!C$19+SQRT(3)*Sheet2!C$20)</f>
        <v>5.7450715183883805</v>
      </c>
      <c r="B92" s="8" cm="1">
        <f t="array" aca="1" ref="B92" ca="1">[1]!UNIFORM_INV(RAND(),Sheet2!D$19-SQRT(3)*Sheet2!D$20,Sheet2!D$19+SQRT(3)*Sheet2!D$20)</f>
        <v>10.787518977867357</v>
      </c>
      <c r="C92" s="8" cm="1">
        <f t="array" aca="1" ref="C92" ca="1">[1]!UNIFORM_INV(RAND(),Sheet2!E$19-SQRT(3)*Sheet2!E$20,Sheet2!E$19+SQRT(3)*Sheet2!E$20)</f>
        <v>20.03178580639111</v>
      </c>
      <c r="D92" s="8" cm="1">
        <f t="array" aca="1" ref="D92" ca="1">[1]!UNIFORM_INV(RAND(),Sheet2!F$19-SQRT(3)*Sheet2!F$20,Sheet2!F$19+SQRT(3)*Sheet2!F$20)</f>
        <v>14.250280622347509</v>
      </c>
      <c r="E92" s="8" cm="1">
        <f t="array" aca="1" ref="E92" ca="1">[1]!UNIFORM_INV(RAND(),Sheet2!G$19-SQRT(3)*Sheet2!G$20,Sheet2!G$19+SQRT(3)*Sheet2!G$20)</f>
        <v>19.313539665019999</v>
      </c>
      <c r="F92" s="8" cm="1">
        <f t="array" aca="1" ref="F92" ca="1">[1]!UNIFORM_INV(RAND(),Sheet2!H$19-SQRT(3)*Sheet2!H$20,Sheet2!H$19+SQRT(3)*Sheet2!H$20)</f>
        <v>27.642504310088786</v>
      </c>
      <c r="G92" s="8" cm="1">
        <f t="array" aca="1" ref="G92" ca="1">[1]!UNIFORM_INV(RAND(),Sheet2!I$19-SQRT(3)*Sheet2!I$20,Sheet2!I$19+SQRT(3)*Sheet2!I$20)</f>
        <v>11.823774945610086</v>
      </c>
      <c r="H92" s="8" cm="1">
        <f t="array" aca="1" ref="H92" ca="1">[1]!UNIFORM_INV(RAND(),Sheet2!J$19-SQRT(3)*Sheet2!J$20,Sheet2!J$19+SQRT(3)*Sheet2!J$20)</f>
        <v>24.654976478553039</v>
      </c>
      <c r="I92" s="8" cm="1">
        <f t="array" aca="1" ref="I92" ca="1">[1]!UNIFORM_INV(RAND(),Sheet2!K$19-SQRT(3)*Sheet2!K$20,Sheet2!K$19+SQRT(3)*Sheet2!K$20)</f>
        <v>22.306400976945234</v>
      </c>
      <c r="J92" s="8" cm="1">
        <f t="array" aca="1" ref="J92" ca="1">[1]!UNIFORM_INV(RAND(),Sheet2!L$19-SQRT(3)*Sheet2!L$20,Sheet2!L$19+SQRT(3)*Sheet2!L$20)</f>
        <v>23.056909734076104</v>
      </c>
      <c r="K92" s="8" cm="1">
        <f t="array" aca="1" ref="K92" ca="1">[1]!UNIFORM_INV(RAND(),Sheet2!M$19-SQRT(3)*Sheet2!M$20,Sheet2!M$19+SQRT(3)*Sheet2!M$20)</f>
        <v>17.754859611177022</v>
      </c>
      <c r="L92" s="8" cm="1">
        <f t="array" aca="1" ref="L92" ca="1">[1]!UNIFORM_INV(RAND(),Sheet2!N$19-SQRT(3)*Sheet2!N$20,Sheet2!N$19+SQRT(3)*Sheet2!N$20)</f>
        <v>7.5666954031367322</v>
      </c>
      <c r="M92" s="8" cm="1">
        <f t="array" aca="1" ref="M92" ca="1">[1]!UNIFORM_INV(RAND(),Sheet2!O$19-SQRT(3)*Sheet2!O$20,Sheet2!O$19+SQRT(3)*Sheet2!O$20)</f>
        <v>6.1071092047130087</v>
      </c>
      <c r="N92" s="8" cm="1">
        <f t="array" aca="1" ref="N92" ca="1">[1]!UNIFORM_INV(RAND(),Sheet2!P$19-SQRT(3)*Sheet2!P$20,Sheet2!P$19+SQRT(3)*Sheet2!P$20)</f>
        <v>26.073416386001242</v>
      </c>
      <c r="O92" s="8" cm="1">
        <f t="array" aca="1" ref="O92" ca="1">[1]!UNIFORM_INV(RAND(),Sheet2!Q$19-SQRT(3)*Sheet2!Q$20,Sheet2!Q$19+SQRT(3)*Sheet2!Q$20)</f>
        <v>10.06859994395683</v>
      </c>
      <c r="P92" s="8" cm="1">
        <f t="array" aca="1" ref="P92" ca="1">[1]!UNIFORM_INV(RAND(),Sheet2!R$19-SQRT(3)*Sheet2!R$20,Sheet2!R$19+SQRT(3)*Sheet2!R$20)</f>
        <v>6.5303429485308238</v>
      </c>
      <c r="Q92" s="8" cm="1">
        <f t="array" aca="1" ref="Q92" ca="1">[1]!UNIFORM_INV(RAND(),Sheet2!S$19-SQRT(3)*Sheet2!S$20,Sheet2!S$19+SQRT(3)*Sheet2!S$20)</f>
        <v>3.66060903328377</v>
      </c>
      <c r="R92" s="8" cm="1">
        <f t="array" aca="1" ref="R92" ca="1">[1]!UNIFORM_INV(RAND(),Sheet2!T$19-SQRT(3)*Sheet2!T$20,Sheet2!T$19+SQRT(3)*Sheet2!T$20)</f>
        <v>20.854342084081065</v>
      </c>
      <c r="S92" s="8" cm="1">
        <f t="array" aca="1" ref="S92" ca="1">[1]!UNIFORM_INV(RAND(),Sheet2!U$19-SQRT(3)*Sheet2!U$20,Sheet2!U$19+SQRT(3)*Sheet2!U$20)</f>
        <v>20.659503983860464</v>
      </c>
      <c r="T92" s="8" cm="1">
        <f t="array" aca="1" ref="T92" ca="1">[1]!UNIFORM_INV(RAND(),Sheet2!V$19-SQRT(3)*Sheet2!V$20,Sheet2!V$19+SQRT(3)*Sheet2!V$20)</f>
        <v>20.918956537052555</v>
      </c>
      <c r="U92" s="8" cm="1">
        <f t="array" aca="1" ref="U92" ca="1">[1]!UNIFORM_INV(RAND(),Sheet2!W$19-SQRT(3)*Sheet2!W$20,Sheet2!W$19+SQRT(3)*Sheet2!W$20)</f>
        <v>24.336580892721134</v>
      </c>
      <c r="V92" s="8" cm="1">
        <f t="array" aca="1" ref="V92" ca="1">[1]!UNIFORM_INV(RAND(),Sheet2!X$19-SQRT(3)*Sheet2!X$20,Sheet2!X$19+SQRT(3)*Sheet2!X$20)</f>
        <v>22.32875906132325</v>
      </c>
      <c r="W92" s="8" cm="1">
        <f t="array" aca="1" ref="W92" ca="1">[1]!UNIFORM_INV(RAND(),Sheet2!Y$19-SQRT(3)*Sheet2!Y$20,Sheet2!Y$19+SQRT(3)*Sheet2!Y$20)</f>
        <v>19.639876224405146</v>
      </c>
      <c r="X92" s="8" cm="1">
        <f t="array" aca="1" ref="X92" ca="1">[1]!UNIFORM_INV(RAND(),Sheet2!Z$19-SQRT(3)*Sheet2!Z$20,Sheet2!Z$19+SQRT(3)*Sheet2!Z$20)</f>
        <v>6.5382093799613727</v>
      </c>
      <c r="Y92" s="5">
        <f ca="1">AVERAGE(A92:A121)</f>
        <v>3.5788082485215567</v>
      </c>
      <c r="Z92" s="5">
        <f t="shared" ref="Z92:AQ92" ca="1" si="98">AVERAGE(B92:B121)</f>
        <v>9.0253017512813507</v>
      </c>
      <c r="AA92" s="5">
        <f t="shared" ca="1" si="98"/>
        <v>22.151267038025004</v>
      </c>
      <c r="AB92" s="5">
        <f t="shared" ca="1" si="98"/>
        <v>16.229873523464949</v>
      </c>
      <c r="AC92" s="5">
        <f t="shared" ca="1" si="98"/>
        <v>17.085908638195235</v>
      </c>
      <c r="AD92" s="5">
        <f t="shared" ca="1" si="98"/>
        <v>30.398912704964182</v>
      </c>
      <c r="AE92" s="5">
        <f t="shared" ca="1" si="98"/>
        <v>11.87376554854178</v>
      </c>
      <c r="AF92" s="5">
        <f t="shared" ca="1" si="98"/>
        <v>25.070378156876981</v>
      </c>
      <c r="AG92" s="5">
        <f t="shared" ca="1" si="98"/>
        <v>22.337443193246827</v>
      </c>
      <c r="AH92" s="5">
        <f t="shared" ca="1" si="98"/>
        <v>23.314981198052308</v>
      </c>
      <c r="AI92" s="5">
        <f t="shared" ca="1" si="98"/>
        <v>17.23104876585214</v>
      </c>
      <c r="AJ92" s="5">
        <f t="shared" ca="1" si="98"/>
        <v>8.0142774553204088</v>
      </c>
      <c r="AK92" s="5">
        <f t="shared" ca="1" si="98"/>
        <v>4.8367994954434002</v>
      </c>
      <c r="AL92" s="5">
        <f t="shared" ca="1" si="98"/>
        <v>25.21719498826814</v>
      </c>
      <c r="AM92" s="5">
        <f t="shared" ca="1" si="98"/>
        <v>10.580017101546511</v>
      </c>
      <c r="AN92" s="5">
        <f t="shared" ca="1" si="98"/>
        <v>6.7398821756563798</v>
      </c>
      <c r="AO92" s="5">
        <f t="shared" ca="1" si="98"/>
        <v>3.0153744592807561</v>
      </c>
      <c r="AP92" s="5">
        <f t="shared" ca="1" si="98"/>
        <v>24.512540315520788</v>
      </c>
      <c r="AQ92" s="5">
        <f t="shared" ca="1" si="98"/>
        <v>17.148099126290333</v>
      </c>
      <c r="AR92" s="5">
        <f ca="1">AVERAGE(T92:T121)</f>
        <v>23.009654577932128</v>
      </c>
      <c r="AS92" s="5">
        <f ca="1">AVERAGE(U92:U121)</f>
        <v>23.662120856917493</v>
      </c>
      <c r="AT92" s="5">
        <f t="shared" ref="AT92" ca="1" si="99">AVERAGE(V92:V121)</f>
        <v>24.315445340842441</v>
      </c>
      <c r="AU92" s="5">
        <f ca="1">AVERAGE(W92:W121)</f>
        <v>21.3686259542933</v>
      </c>
      <c r="AV92" s="5">
        <f t="shared" ref="AV92" ca="1" si="100">AVERAGE(X92:X121)</f>
        <v>7.0686606738306237</v>
      </c>
      <c r="AX92" s="7">
        <f ca="1">Sheet2!C$19+('RNG HERE'!A92-'RNG HERE'!Y$92)*Sheet2!C$20/'RNG HERE'!Y$93</f>
        <v>5.844103157513092</v>
      </c>
      <c r="AY92" s="7">
        <f ca="1">Sheet2!D$19+('RNG HERE'!B92-'RNG HERE'!Z$92)*Sheet2!D$20/'RNG HERE'!Z$93</f>
        <v>11.931678157198526</v>
      </c>
      <c r="AZ92" s="7">
        <f ca="1">Sheet2!E$19+('RNG HERE'!C92-'RNG HERE'!AA$92)*Sheet2!E$20/'RNG HERE'!AA$93</f>
        <v>20.233203016598463</v>
      </c>
      <c r="BA92" s="7">
        <f ca="1">Sheet2!F$19+('RNG HERE'!D92-'RNG HERE'!AB$92)*Sheet2!F$20/'RNG HERE'!AB$93</f>
        <v>14.956672341163992</v>
      </c>
      <c r="BB92" s="7">
        <f ca="1">Sheet2!G$19+('RNG HERE'!E92-'RNG HERE'!AC$92)*Sheet2!G$20/'RNG HERE'!AC$93</f>
        <v>19.586403247639723</v>
      </c>
      <c r="BC92" s="7">
        <f ca="1">Sheet2!H$19+('RNG HERE'!F92-'RNG HERE'!AD$92)*Sheet2!H$20/'RNG HERE'!AD$93</f>
        <v>26.928985876633003</v>
      </c>
      <c r="BD92" s="7">
        <f ca="1">Sheet2!I$19+('RNG HERE'!G92-'RNG HERE'!AE$92)*Sheet2!I$20/'RNG HERE'!AE$93</f>
        <v>11.85248091685736</v>
      </c>
      <c r="BE92" s="7">
        <f ca="1">Sheet2!J$19+('RNG HERE'!H92-'RNG HERE'!AF$92)*Sheet2!J$20/'RNG HERE'!AF$93</f>
        <v>24.655192405351407</v>
      </c>
      <c r="BF92" s="7">
        <f ca="1">Sheet2!K$19+('RNG HERE'!I92-'RNG HERE'!AG$92)*Sheet2!K$20/'RNG HERE'!AG$93</f>
        <v>22.563257513387686</v>
      </c>
      <c r="BG92" s="7">
        <f ca="1">Sheet2!L$19+('RNG HERE'!J92-'RNG HERE'!AH$92)*Sheet2!L$20/'RNG HERE'!AH$93</f>
        <v>22.721968792189674</v>
      </c>
      <c r="BH92" s="7">
        <f ca="1">Sheet2!M$19+('RNG HERE'!K92-'RNG HERE'!AI$92)*Sheet2!M$20/'RNG HERE'!AI$93</f>
        <v>17.892510342980017</v>
      </c>
      <c r="BI92" s="7">
        <f ca="1">Sheet2!N$19+('RNG HERE'!L92-'RNG HERE'!AJ$92)*Sheet2!N$20/'RNG HERE'!AJ$93</f>
        <v>6.8934629999501755</v>
      </c>
      <c r="BJ92" s="7">
        <f ca="1">Sheet2!O$19+('RNG HERE'!M92-'RNG HERE'!AK$92)*Sheet2!O$20/'RNG HERE'!AK$93</f>
        <v>6.5134821095129896</v>
      </c>
      <c r="BK92" s="7">
        <f ca="1">Sheet2!P$19+('RNG HERE'!N92-'RNG HERE'!AL$92)*Sheet2!P$20/'RNG HERE'!AL$93</f>
        <v>25.960675124107595</v>
      </c>
      <c r="BL92" s="7">
        <f ca="1">Sheet2!Q$19+('RNG HERE'!O92-'RNG HERE'!AM$92)*Sheet2!Q$20/'RNG HERE'!AM$93</f>
        <v>10.095849695210111</v>
      </c>
      <c r="BM92" s="7">
        <f ca="1">Sheet2!R$19+('RNG HERE'!P92-'RNG HERE'!AN$92)*Sheet2!R$20/'RNG HERE'!AN$93</f>
        <v>6.6985823014904389</v>
      </c>
      <c r="BN92" s="7">
        <f ca="1">Sheet2!S$19+('RNG HERE'!Q92-'RNG HERE'!AO$92)*Sheet2!S$20/'RNG HERE'!AO$93</f>
        <v>3.5172852898887284</v>
      </c>
      <c r="BO92" s="7">
        <f ca="1">Sheet2!T$19+('RNG HERE'!R92-'RNG HERE'!AP$92)*Sheet2!T$20/'RNG HERE'!AP$93</f>
        <v>21.605547705296782</v>
      </c>
      <c r="BP92" s="7">
        <f ca="1">Sheet2!U$19+('RNG HERE'!S92-'RNG HERE'!AQ$92)*Sheet2!U$20/'RNG HERE'!AQ$93</f>
        <v>21.076223784158422</v>
      </c>
      <c r="BQ92" s="7">
        <f ca="1">Sheet2!V$19+('RNG HERE'!T92-'RNG HERE'!AR$92)*Sheet2!V$20/'RNG HERE'!AR$93</f>
        <v>21.484228899454344</v>
      </c>
      <c r="BR92" s="7">
        <f ca="1">Sheet2!W$19+('RNG HERE'!U92-'RNG HERE'!AS$92)*Sheet2!W$20/'RNG HERE'!AS$93</f>
        <v>24.449791643908917</v>
      </c>
      <c r="BS92" s="7">
        <f ca="1">Sheet2!X$19+('RNG HERE'!V92-'RNG HERE'!AT$92)*Sheet2!X$20/'RNG HERE'!AT$93</f>
        <v>22.082958262357092</v>
      </c>
      <c r="BT92" s="7">
        <f ca="1">Sheet2!Y$19+('RNG HERE'!W92-'RNG HERE'!AU$92)*Sheet2!Y$20/'RNG HERE'!AU$93</f>
        <v>19.909455103465081</v>
      </c>
      <c r="BU92" s="7">
        <f ca="1">Sheet2!Z$19+('RNG HERE'!X92-'RNG HERE'!AV$92)*Sheet2!Z$20/'RNG HERE'!AV$93</f>
        <v>6.5316541848243705</v>
      </c>
      <c r="BV92" s="5">
        <f ca="1">AVERAGE(AX92:AX121)</f>
        <v>3.7000000000000006</v>
      </c>
      <c r="BW92" s="5">
        <f t="shared" ref="BW92" ca="1" si="101">AVERAGE(AY92:AY121)</f>
        <v>10</v>
      </c>
      <c r="BX92" s="5">
        <f t="shared" ref="BX92" ca="1" si="102">AVERAGE(AZ92:AZ121)</f>
        <v>22.4</v>
      </c>
      <c r="BY92" s="5">
        <f t="shared" ref="BY92" ca="1" si="103">AVERAGE(BA92:BA121)</f>
        <v>16.900000000000006</v>
      </c>
      <c r="BZ92" s="5">
        <f t="shared" ref="BZ92" ca="1" si="104">AVERAGE(BB92:BB121)</f>
        <v>17.400000000000002</v>
      </c>
      <c r="CA92" s="5">
        <f ca="1">AVERAGE(BC92:BC121)</f>
        <v>29.7</v>
      </c>
      <c r="CB92" s="5">
        <f t="shared" ref="CB92" ca="1" si="105">AVERAGE(BD92:BD121)</f>
        <v>11.900000000000004</v>
      </c>
      <c r="CC92" s="5">
        <f t="shared" ref="CC92" ca="1" si="106">AVERAGE(BE92:BE121)</f>
        <v>25.1</v>
      </c>
      <c r="CD92" s="5">
        <f t="shared" ref="CD92" ca="1" si="107">AVERAGE(BF92:BF121)</f>
        <v>22.600000000000005</v>
      </c>
      <c r="CE92" s="5">
        <f t="shared" ref="CE92" ca="1" si="108">AVERAGE(BG92:BG121)</f>
        <v>23.000000000000007</v>
      </c>
      <c r="CF92" s="5">
        <f t="shared" ref="CF92" ca="1" si="109">AVERAGE(BH92:BH121)</f>
        <v>17.299999999999994</v>
      </c>
      <c r="CG92" s="5">
        <f t="shared" ref="CG92" ca="1" si="110">AVERAGE(BI92:BI121)</f>
        <v>7.3999999999999995</v>
      </c>
      <c r="CH92" s="5">
        <f t="shared" ref="CH92" ca="1" si="111">AVERAGE(BJ92:BJ121)</f>
        <v>4.8</v>
      </c>
      <c r="CI92" s="5">
        <f t="shared" ref="CI92" ca="1" si="112">AVERAGE(BK92:BK121)</f>
        <v>25.100000000000009</v>
      </c>
      <c r="CJ92" s="5">
        <f t="shared" ref="CJ92" ca="1" si="113">AVERAGE(BL92:BL121)</f>
        <v>10.6</v>
      </c>
      <c r="CK92" s="5">
        <f t="shared" ref="CK92" ca="1" si="114">AVERAGE(BM92:BM121)</f>
        <v>6.9000000000000012</v>
      </c>
      <c r="CL92" s="5">
        <f t="shared" ref="CL92" ca="1" si="115">AVERAGE(BN92:BN121)</f>
        <v>2.9</v>
      </c>
      <c r="CM92" s="5">
        <f t="shared" ref="CM92" ca="1" si="116">AVERAGE(BO92:BO121)</f>
        <v>24.800000000000004</v>
      </c>
      <c r="CN92" s="5">
        <f t="shared" ref="CN92" ca="1" si="117">AVERAGE(BP92:BP121)</f>
        <v>17.5</v>
      </c>
      <c r="CO92" s="5">
        <f ca="1">AVERAGE(BQ92:BQ121)</f>
        <v>23.400000000000009</v>
      </c>
      <c r="CP92" s="5">
        <f ca="1">AVERAGE(BR92:BR121)</f>
        <v>23.800000000000008</v>
      </c>
      <c r="CQ92" s="5">
        <f t="shared" ref="CQ92" ca="1" si="118">AVERAGE(BS92:BS121)</f>
        <v>24.100000000000005</v>
      </c>
      <c r="CR92" s="5">
        <f ca="1">AVERAGE(BT92:BT121)</f>
        <v>21.600000000000009</v>
      </c>
      <c r="CS92" s="5">
        <f t="shared" ref="CS92" ca="1" si="119">AVERAGE(BU92:BU121)</f>
        <v>7.1000000000000023</v>
      </c>
    </row>
    <row r="93" spans="1:97" x14ac:dyDescent="0.3">
      <c r="A93" s="8" cm="1">
        <f t="array" aca="1" ref="A93" ca="1">[1]!UNIFORM_INV(RAND(),Sheet2!C$19-SQRT(3)*Sheet2!C$20,Sheet2!C$19+SQRT(3)*Sheet2!C$20)</f>
        <v>4.2776186624743637</v>
      </c>
      <c r="B93" s="8" cm="1">
        <f t="array" aca="1" ref="B93" ca="1">[1]!UNIFORM_INV(RAND(),Sheet2!D$19-SQRT(3)*Sheet2!D$20,Sheet2!D$19+SQRT(3)*Sheet2!D$20)</f>
        <v>12.950736884616733</v>
      </c>
      <c r="C93" s="8" cm="1">
        <f t="array" aca="1" ref="C93" ca="1">[1]!UNIFORM_INV(RAND(),Sheet2!E$19-SQRT(3)*Sheet2!E$20,Sheet2!E$19+SQRT(3)*Sheet2!E$20)</f>
        <v>20.222429182530409</v>
      </c>
      <c r="D93" s="8" cm="1">
        <f t="array" aca="1" ref="D93" ca="1">[1]!UNIFORM_INV(RAND(),Sheet2!F$19-SQRT(3)*Sheet2!F$20,Sheet2!F$19+SQRT(3)*Sheet2!F$20)</f>
        <v>14.863129082257844</v>
      </c>
      <c r="E93" s="8" cm="1">
        <f t="array" aca="1" ref="E93" ca="1">[1]!UNIFORM_INV(RAND(),Sheet2!G$19-SQRT(3)*Sheet2!G$20,Sheet2!G$19+SQRT(3)*Sheet2!G$20)</f>
        <v>19.939306974192725</v>
      </c>
      <c r="F93" s="8" cm="1">
        <f t="array" aca="1" ref="F93" ca="1">[1]!UNIFORM_INV(RAND(),Sheet2!H$19-SQRT(3)*Sheet2!H$20,Sheet2!H$19+SQRT(3)*Sheet2!H$20)</f>
        <v>23.9030408642971</v>
      </c>
      <c r="G93" s="8" cm="1">
        <f t="array" aca="1" ref="G93" ca="1">[1]!UNIFORM_INV(RAND(),Sheet2!I$19-SQRT(3)*Sheet2!I$20,Sheet2!I$19+SQRT(3)*Sheet2!I$20)</f>
        <v>12.125097990100013</v>
      </c>
      <c r="H93" s="8" cm="1">
        <f t="array" aca="1" ref="H93" ca="1">[1]!UNIFORM_INV(RAND(),Sheet2!J$19-SQRT(3)*Sheet2!J$20,Sheet2!J$19+SQRT(3)*Sheet2!J$20)</f>
        <v>25.480728415725718</v>
      </c>
      <c r="I93" s="8" cm="1">
        <f t="array" aca="1" ref="I93" ca="1">[1]!UNIFORM_INV(RAND(),Sheet2!K$19-SQRT(3)*Sheet2!K$20,Sheet2!K$19+SQRT(3)*Sheet2!K$20)</f>
        <v>21.505031976220796</v>
      </c>
      <c r="J93" s="8" cm="1">
        <f t="array" aca="1" ref="J93" ca="1">[1]!UNIFORM_INV(RAND(),Sheet2!L$19-SQRT(3)*Sheet2!L$20,Sheet2!L$19+SQRT(3)*Sheet2!L$20)</f>
        <v>21.443681795344528</v>
      </c>
      <c r="K93" s="8" cm="1">
        <f t="array" aca="1" ref="K93" ca="1">[1]!UNIFORM_INV(RAND(),Sheet2!M$19-SQRT(3)*Sheet2!M$20,Sheet2!M$19+SQRT(3)*Sheet2!M$20)</f>
        <v>17.623547216650653</v>
      </c>
      <c r="L93" s="8" cm="1">
        <f t="array" aca="1" ref="L93" ca="1">[1]!UNIFORM_INV(RAND(),Sheet2!N$19-SQRT(3)*Sheet2!N$20,Sheet2!N$19+SQRT(3)*Sheet2!N$20)</f>
        <v>7.4358641372251801</v>
      </c>
      <c r="M93" s="8" cm="1">
        <f t="array" aca="1" ref="M93" ca="1">[1]!UNIFORM_INV(RAND(),Sheet2!O$19-SQRT(3)*Sheet2!O$20,Sheet2!O$19+SQRT(3)*Sheet2!O$20)</f>
        <v>6.2828243582423573</v>
      </c>
      <c r="N93" s="8" cm="1">
        <f t="array" aca="1" ref="N93" ca="1">[1]!UNIFORM_INV(RAND(),Sheet2!P$19-SQRT(3)*Sheet2!P$20,Sheet2!P$19+SQRT(3)*Sheet2!P$20)</f>
        <v>23.261369464917422</v>
      </c>
      <c r="O93" s="8" cm="1">
        <f t="array" aca="1" ref="O93" ca="1">[1]!UNIFORM_INV(RAND(),Sheet2!Q$19-SQRT(3)*Sheet2!Q$20,Sheet2!Q$19+SQRT(3)*Sheet2!Q$20)</f>
        <v>12.045558873356399</v>
      </c>
      <c r="P93" s="8" cm="1">
        <f t="array" aca="1" ref="P93" ca="1">[1]!UNIFORM_INV(RAND(),Sheet2!R$19-SQRT(3)*Sheet2!R$20,Sheet2!R$19+SQRT(3)*Sheet2!R$20)</f>
        <v>5.1753907916962278</v>
      </c>
      <c r="Q93" s="8" cm="1">
        <f t="array" aca="1" ref="Q93" ca="1">[1]!UNIFORM_INV(RAND(),Sheet2!S$19-SQRT(3)*Sheet2!S$20,Sheet2!S$19+SQRT(3)*Sheet2!S$20)</f>
        <v>2.754198449092403</v>
      </c>
      <c r="R93" s="8" cm="1">
        <f t="array" aca="1" ref="R93" ca="1">[1]!UNIFORM_INV(RAND(),Sheet2!T$19-SQRT(3)*Sheet2!T$20,Sheet2!T$19+SQRT(3)*Sheet2!T$20)</f>
        <v>29.021846381879289</v>
      </c>
      <c r="S93" s="8" cm="1">
        <f t="array" aca="1" ref="S93" ca="1">[1]!UNIFORM_INV(RAND(),Sheet2!U$19-SQRT(3)*Sheet2!U$20,Sheet2!U$19+SQRT(3)*Sheet2!U$20)</f>
        <v>19.180396148694587</v>
      </c>
      <c r="T93" s="8" cm="1">
        <f t="array" aca="1" ref="T93" ca="1">[1]!UNIFORM_INV(RAND(),Sheet2!V$19-SQRT(3)*Sheet2!V$20,Sheet2!V$19+SQRT(3)*Sheet2!V$20)</f>
        <v>21.970644633946968</v>
      </c>
      <c r="U93" s="8" cm="1">
        <f t="array" aca="1" ref="U93" ca="1">[1]!UNIFORM_INV(RAND(),Sheet2!W$19-SQRT(3)*Sheet2!W$20,Sheet2!W$19+SQRT(3)*Sheet2!W$20)</f>
        <v>23.0772494483965</v>
      </c>
      <c r="V93" s="8" cm="1">
        <f t="array" aca="1" ref="V93" ca="1">[1]!UNIFORM_INV(RAND(),Sheet2!X$19-SQRT(3)*Sheet2!X$20,Sheet2!X$19+SQRT(3)*Sheet2!X$20)</f>
        <v>25.005359151773213</v>
      </c>
      <c r="W93" s="8" cm="1">
        <f t="array" aca="1" ref="W93" ca="1">[1]!UNIFORM_INV(RAND(),Sheet2!Y$19-SQRT(3)*Sheet2!Y$20,Sheet2!Y$19+SQRT(3)*Sheet2!Y$20)</f>
        <v>20.379468383345522</v>
      </c>
      <c r="X93" s="8" cm="1">
        <f t="array" aca="1" ref="X93" ca="1">[1]!UNIFORM_INV(RAND(),Sheet2!Z$19-SQRT(3)*Sheet2!Z$20,Sheet2!Z$19+SQRT(3)*Sheet2!Z$20)</f>
        <v>7.5799089793307584</v>
      </c>
      <c r="Y93" s="5">
        <f ca="1">_xlfn.STDEV.P(A92:A121)</f>
        <v>1.2124024512212939</v>
      </c>
      <c r="Z93" s="5">
        <f t="shared" ref="Z93:AQ93" ca="1" si="120">_xlfn.STDEV.P(B92:B121)</f>
        <v>4.0139998312263065</v>
      </c>
      <c r="AA93" s="5">
        <f t="shared" ca="1" si="120"/>
        <v>1.6628775660012618</v>
      </c>
      <c r="AB93" s="5">
        <f t="shared" ca="1" si="120"/>
        <v>2.1391889697266113</v>
      </c>
      <c r="AC93" s="5">
        <f t="shared" ca="1" si="120"/>
        <v>2.8527980288369603</v>
      </c>
      <c r="AD93" s="5">
        <f t="shared" ca="1" si="120"/>
        <v>4.6752267867090112</v>
      </c>
      <c r="AE93" s="5">
        <f t="shared" ca="1" si="120"/>
        <v>0.7364077700561652</v>
      </c>
      <c r="AF93" s="5">
        <f t="shared" ca="1" si="120"/>
        <v>1.6810032696807085</v>
      </c>
      <c r="AG93" s="5">
        <f t="shared" ca="1" si="120"/>
        <v>1.520745994478695</v>
      </c>
      <c r="AH93" s="5">
        <f t="shared" ca="1" si="120"/>
        <v>1.4851366708575366</v>
      </c>
      <c r="AI93" s="5">
        <f t="shared" ca="1" si="120"/>
        <v>0.70724280381724758</v>
      </c>
      <c r="AJ93" s="5">
        <f t="shared" ca="1" si="120"/>
        <v>2.0323070573742839</v>
      </c>
      <c r="AK93" s="5">
        <f t="shared" ca="1" si="120"/>
        <v>1.1120422870630313</v>
      </c>
      <c r="AL93" s="5">
        <f t="shared" ca="1" si="120"/>
        <v>1.492237966016891</v>
      </c>
      <c r="AM93" s="5">
        <f t="shared" ca="1" si="120"/>
        <v>1.1158554661255309</v>
      </c>
      <c r="AN93" s="5">
        <f t="shared" ca="1" si="120"/>
        <v>1.3524183687874476</v>
      </c>
      <c r="AO93" s="5">
        <f t="shared" ca="1" si="120"/>
        <v>0.94074996782669351</v>
      </c>
      <c r="AP93" s="5">
        <f t="shared" ca="1" si="120"/>
        <v>4.6952063656647347</v>
      </c>
      <c r="AQ93" s="5">
        <f t="shared" ca="1" si="120"/>
        <v>2.1601250796647782</v>
      </c>
      <c r="AR93" s="5">
        <f ca="1">_xlfn.STDEV.P(T92:T121)</f>
        <v>1.8552251197875158</v>
      </c>
      <c r="AS93" s="5">
        <f ca="1">_xlfn.STDEV.P(U92:U121)</f>
        <v>1.1417598954042587</v>
      </c>
      <c r="AT93" s="5">
        <f t="shared" ref="AT93" ca="1" si="121">_xlfn.STDEV.P(V92:V121)</f>
        <v>1.2804356574163174</v>
      </c>
      <c r="AU93" s="5">
        <f ca="1">_xlfn.STDEV.P(W92:W121)</f>
        <v>1.2271189485223668</v>
      </c>
      <c r="AV93" s="5">
        <f t="shared" ref="AV93" ca="1" si="122">_xlfn.STDEV.P(X92:X121)</f>
        <v>0.6533274210767831</v>
      </c>
      <c r="AX93" s="7">
        <f ca="1">Sheet2!C$19+('RNG HERE'!A93-'RNG HERE'!Y$92)*Sheet2!C$20/'RNG HERE'!Y$93</f>
        <v>4.3916618288742706</v>
      </c>
      <c r="AY93" s="7">
        <f ca="1">Sheet2!D$19+('RNG HERE'!B93-'RNG HERE'!Z$92)*Sheet2!D$20/'RNG HERE'!Z$93</f>
        <v>14.302918613078013</v>
      </c>
      <c r="AZ93" s="7">
        <f ca="1">Sheet2!E$19+('RNG HERE'!C93-'RNG HERE'!AA$92)*Sheet2!E$20/'RNG HERE'!AA$93</f>
        <v>20.428102356190951</v>
      </c>
      <c r="BA93" s="7">
        <f ca="1">Sheet2!F$19+('RNG HERE'!D93-'RNG HERE'!AB$92)*Sheet2!F$20/'RNG HERE'!AB$93</f>
        <v>15.558293695810459</v>
      </c>
      <c r="BB93" s="7">
        <f ca="1">Sheet2!G$19+('RNG HERE'!E93-'RNG HERE'!AC$92)*Sheet2!G$20/'RNG HERE'!AC$93</f>
        <v>20.200589197003254</v>
      </c>
      <c r="BC93" s="7">
        <f ca="1">Sheet2!H$19+('RNG HERE'!F93-'RNG HERE'!AD$92)*Sheet2!H$20/'RNG HERE'!AD$93</f>
        <v>23.169707664678572</v>
      </c>
      <c r="BD93" s="7">
        <f ca="1">Sheet2!I$19+('RNG HERE'!G93-'RNG HERE'!AE$92)*Sheet2!I$20/'RNG HERE'!AE$93</f>
        <v>12.138906644178055</v>
      </c>
      <c r="BE93" s="7">
        <f ca="1">Sheet2!J$19+('RNG HERE'!H93-'RNG HERE'!AF$92)*Sheet2!J$20/'RNG HERE'!AF$93</f>
        <v>25.539398589669624</v>
      </c>
      <c r="BF93" s="7">
        <f ca="1">Sheet2!K$19+('RNG HERE'!I93-'RNG HERE'!AG$92)*Sheet2!K$20/'RNG HERE'!AG$93</f>
        <v>21.614733429457115</v>
      </c>
      <c r="BG93" s="7">
        <f ca="1">Sheet2!L$19+('RNG HERE'!J93-'RNG HERE'!AH$92)*Sheet2!L$20/'RNG HERE'!AH$93</f>
        <v>20.983970699071332</v>
      </c>
      <c r="BH93" s="7">
        <f ca="1">Sheet2!M$19+('RNG HERE'!K93-'RNG HERE'!AI$92)*Sheet2!M$20/'RNG HERE'!AI$93</f>
        <v>17.743975900417855</v>
      </c>
      <c r="BI93" s="7">
        <f ca="1">Sheet2!N$19+('RNG HERE'!L93-'RNG HERE'!AJ$92)*Sheet2!N$20/'RNG HERE'!AJ$93</f>
        <v>6.7453988033984285</v>
      </c>
      <c r="BJ93" s="7">
        <f ca="1">Sheet2!O$19+('RNG HERE'!M93-'RNG HERE'!AK$92)*Sheet2!O$20/'RNG HERE'!AK$93</f>
        <v>6.7504989328481289</v>
      </c>
      <c r="BK93" s="7">
        <f ca="1">Sheet2!P$19+('RNG HERE'!N93-'RNG HERE'!AL$92)*Sheet2!P$20/'RNG HERE'!AL$93</f>
        <v>23.134001042838452</v>
      </c>
      <c r="BL93" s="7">
        <f ca="1">Sheet2!Q$19+('RNG HERE'!O93-'RNG HERE'!AM$92)*Sheet2!Q$20/'RNG HERE'!AM$93</f>
        <v>12.044717526534498</v>
      </c>
      <c r="BM93" s="7">
        <f ca="1">Sheet2!R$19+('RNG HERE'!P93-'RNG HERE'!AN$92)*Sheet2!R$20/'RNG HERE'!AN$93</f>
        <v>5.3961467205065414</v>
      </c>
      <c r="BN93" s="7">
        <f ca="1">Sheet2!S$19+('RNG HERE'!Q93-'RNG HERE'!AO$92)*Sheet2!S$20/'RNG HERE'!AO$93</f>
        <v>2.6501372126405212</v>
      </c>
      <c r="BO93" s="7">
        <f ca="1">Sheet2!T$19+('RNG HERE'!R93-'RNG HERE'!AP$92)*Sheet2!T$20/'RNG HERE'!AP$93</f>
        <v>28.737666085833983</v>
      </c>
      <c r="BP93" s="7">
        <f ca="1">Sheet2!U$19+('RNG HERE'!S93-'RNG HERE'!AQ$92)*Sheet2!U$20/'RNG HERE'!AQ$93</f>
        <v>19.569812295306161</v>
      </c>
      <c r="BQ93" s="7">
        <f ca="1">Sheet2!V$19+('RNG HERE'!T93-'RNG HERE'!AR$92)*Sheet2!V$20/'RNG HERE'!AR$93</f>
        <v>22.447923141005617</v>
      </c>
      <c r="BR93" s="7">
        <f ca="1">Sheet2!W$19+('RNG HERE'!U93-'RNG HERE'!AS$92)*Sheet2!W$20/'RNG HERE'!AS$93</f>
        <v>23.23652027719427</v>
      </c>
      <c r="BS93" s="7">
        <f ca="1">Sheet2!X$19+('RNG HERE'!V93-'RNG HERE'!AT$92)*Sheet2!X$20/'RNG HERE'!AT$93</f>
        <v>24.800455309109214</v>
      </c>
      <c r="BT93" s="7">
        <f ca="1">Sheet2!Y$19+('RNG HERE'!W93-'RNG HERE'!AU$92)*Sheet2!Y$20/'RNG HERE'!AU$93</f>
        <v>20.632702504865854</v>
      </c>
      <c r="BU93" s="7">
        <f ca="1">Sheet2!Z$19+('RNG HERE'!X93-'RNG HERE'!AV$92)*Sheet2!Z$20/'RNG HERE'!AV$93</f>
        <v>7.6477709985909721</v>
      </c>
      <c r="BV93" s="5">
        <f ca="1">_xlfn.STDEV.P(AX92:AX121)</f>
        <v>1.1999999999999984</v>
      </c>
      <c r="BW93" s="5">
        <f t="shared" ref="BW93" ca="1" si="123">_xlfn.STDEV.P(AY92:AY121)</f>
        <v>4.3999999999999959</v>
      </c>
      <c r="BX93" s="5">
        <f t="shared" ref="BX93" ca="1" si="124">_xlfn.STDEV.P(AZ92:AZ121)</f>
        <v>1.7000000000000002</v>
      </c>
      <c r="BY93" s="5">
        <f t="shared" ref="BY93" ca="1" si="125">_xlfn.STDEV.P(BA92:BA121)</f>
        <v>2.099999999999969</v>
      </c>
      <c r="BZ93" s="5">
        <f t="shared" ref="BZ93" ca="1" si="126">_xlfn.STDEV.P(BB92:BB121)</f>
        <v>2.7999999999999772</v>
      </c>
      <c r="CA93" s="5">
        <f t="shared" ref="CA93" ca="1" si="127">_xlfn.STDEV.P(BC92:BC121)</f>
        <v>4.7</v>
      </c>
      <c r="CB93" s="5">
        <f t="shared" ref="CB93" ca="1" si="128">_xlfn.STDEV.P(BD92:BD121)</f>
        <v>0.70000000000000018</v>
      </c>
      <c r="CC93" s="5">
        <f t="shared" ref="CC93" ca="1" si="129">_xlfn.STDEV.P(BE92:BE121)</f>
        <v>1.8000000000000003</v>
      </c>
      <c r="CD93" s="5">
        <f t="shared" ref="CD93" ca="1" si="130">_xlfn.STDEV.P(BF92:BF121)</f>
        <v>1.8000000000000005</v>
      </c>
      <c r="CE93" s="5">
        <f t="shared" ref="CE93" ca="1" si="131">_xlfn.STDEV.P(BG92:BG121)</f>
        <v>1.6</v>
      </c>
      <c r="CF93" s="5">
        <f t="shared" ref="CF93" ca="1" si="132">_xlfn.STDEV.P(BH92:BH121)</f>
        <v>0.79999999999999982</v>
      </c>
      <c r="CG93" s="5">
        <f t="shared" ref="CG93" ca="1" si="133">_xlfn.STDEV.P(BI92:BI121)</f>
        <v>2.2999999999999998</v>
      </c>
      <c r="CH93" s="5">
        <f t="shared" ref="CH93" ca="1" si="134">_xlfn.STDEV.P(BJ92:BJ121)</f>
        <v>1.4999999999999973</v>
      </c>
      <c r="CI93" s="5">
        <f t="shared" ref="CI93" ca="1" si="135">_xlfn.STDEV.P(BK92:BK121)</f>
        <v>1.4999999999999996</v>
      </c>
      <c r="CJ93" s="5">
        <f t="shared" ref="CJ93" ca="1" si="136">_xlfn.STDEV.P(BL92:BL121)</f>
        <v>1.0999999999999925</v>
      </c>
      <c r="CK93" s="5">
        <f t="shared" ref="CK93" ca="1" si="137">_xlfn.STDEV.P(BM92:BM121)</f>
        <v>1.2999999999999969</v>
      </c>
      <c r="CL93" s="5">
        <f t="shared" ref="CL93" ca="1" si="138">_xlfn.STDEV.P(BN92:BN121)</f>
        <v>0.9</v>
      </c>
      <c r="CM93" s="5">
        <f t="shared" ref="CM93" ca="1" si="139">_xlfn.STDEV.P(BO92:BO121)</f>
        <v>4.1000000000000156</v>
      </c>
      <c r="CN93" s="5">
        <f t="shared" ref="CN93" ca="1" si="140">_xlfn.STDEV.P(BP92:BP121)</f>
        <v>2.2000000000000002</v>
      </c>
      <c r="CO93" s="5">
        <f ca="1">_xlfn.STDEV.P(BQ92:BQ121)</f>
        <v>1.6999999999999993</v>
      </c>
      <c r="CP93" s="5">
        <f ca="1">_xlfn.STDEV.P(BR92:BR121)</f>
        <v>1.1000000000000001</v>
      </c>
      <c r="CQ93" s="5">
        <f t="shared" ref="CQ93" ca="1" si="141">_xlfn.STDEV.P(BS92:BS121)</f>
        <v>1.3</v>
      </c>
      <c r="CR93" s="5">
        <f ca="1">_xlfn.STDEV.P(BT92:BT121)</f>
        <v>1.1999999999999995</v>
      </c>
      <c r="CS93" s="5">
        <f t="shared" ref="CS93" ca="1" si="142">_xlfn.STDEV.P(BU92:BU121)</f>
        <v>0.7</v>
      </c>
    </row>
    <row r="94" spans="1:97" x14ac:dyDescent="0.3">
      <c r="A94" s="8" cm="1">
        <f t="array" aca="1" ref="A94" ca="1">[1]!UNIFORM_INV(RAND(),Sheet2!C$19-SQRT(3)*Sheet2!C$20,Sheet2!C$19+SQRT(3)*Sheet2!C$20)</f>
        <v>4.5749866893025821</v>
      </c>
      <c r="B94" s="8" cm="1">
        <f t="array" aca="1" ref="B94" ca="1">[1]!UNIFORM_INV(RAND(),Sheet2!D$19-SQRT(3)*Sheet2!D$20,Sheet2!D$19+SQRT(3)*Sheet2!D$20)</f>
        <v>3.3747985275648866</v>
      </c>
      <c r="C94" s="8" cm="1">
        <f t="array" aca="1" ref="C94" ca="1">[1]!UNIFORM_INV(RAND(),Sheet2!E$19-SQRT(3)*Sheet2!E$20,Sheet2!E$19+SQRT(3)*Sheet2!E$20)</f>
        <v>22.226309705607289</v>
      </c>
      <c r="D94" s="8" cm="1">
        <f t="array" aca="1" ref="D94" ca="1">[1]!UNIFORM_INV(RAND(),Sheet2!F$19-SQRT(3)*Sheet2!F$20,Sheet2!F$19+SQRT(3)*Sheet2!F$20)</f>
        <v>13.514302274225301</v>
      </c>
      <c r="E94" s="8" cm="1">
        <f t="array" aca="1" ref="E94" ca="1">[1]!UNIFORM_INV(RAND(),Sheet2!G$19-SQRT(3)*Sheet2!G$20,Sheet2!G$19+SQRT(3)*Sheet2!G$20)</f>
        <v>13.06756789912351</v>
      </c>
      <c r="F94" s="8" cm="1">
        <f t="array" aca="1" ref="F94" ca="1">[1]!UNIFORM_INV(RAND(),Sheet2!H$19-SQRT(3)*Sheet2!H$20,Sheet2!H$19+SQRT(3)*Sheet2!H$20)</f>
        <v>35.381622017598161</v>
      </c>
      <c r="G94" s="8" cm="1">
        <f t="array" aca="1" ref="G94" ca="1">[1]!UNIFORM_INV(RAND(),Sheet2!I$19-SQRT(3)*Sheet2!I$20,Sheet2!I$19+SQRT(3)*Sheet2!I$20)</f>
        <v>11.478792397470782</v>
      </c>
      <c r="H94" s="8" cm="1">
        <f t="array" aca="1" ref="H94" ca="1">[1]!UNIFORM_INV(RAND(),Sheet2!J$19-SQRT(3)*Sheet2!J$20,Sheet2!J$19+SQRT(3)*Sheet2!J$20)</f>
        <v>23.138689186562406</v>
      </c>
      <c r="I94" s="8" cm="1">
        <f t="array" aca="1" ref="I94" ca="1">[1]!UNIFORM_INV(RAND(),Sheet2!K$19-SQRT(3)*Sheet2!K$20,Sheet2!K$19+SQRT(3)*Sheet2!K$20)</f>
        <v>22.885133726501561</v>
      </c>
      <c r="J94" s="8" cm="1">
        <f t="array" aca="1" ref="J94" ca="1">[1]!UNIFORM_INV(RAND(),Sheet2!L$19-SQRT(3)*Sheet2!L$20,Sheet2!L$19+SQRT(3)*Sheet2!L$20)</f>
        <v>22.194231968199105</v>
      </c>
      <c r="K94" s="8" cm="1">
        <f t="array" aca="1" ref="K94" ca="1">[1]!UNIFORM_INV(RAND(),Sheet2!M$19-SQRT(3)*Sheet2!M$20,Sheet2!M$19+SQRT(3)*Sheet2!M$20)</f>
        <v>16.690110420703427</v>
      </c>
      <c r="L94" s="8" cm="1">
        <f t="array" aca="1" ref="L94" ca="1">[1]!UNIFORM_INV(RAND(),Sheet2!N$19-SQRT(3)*Sheet2!N$20,Sheet2!N$19+SQRT(3)*Sheet2!N$20)</f>
        <v>10.257496938711265</v>
      </c>
      <c r="M94" s="8" cm="1">
        <f t="array" aca="1" ref="M94" ca="1">[1]!UNIFORM_INV(RAND(),Sheet2!O$19-SQRT(3)*Sheet2!O$20,Sheet2!O$19+SQRT(3)*Sheet2!O$20)</f>
        <v>5.0056733977709849</v>
      </c>
      <c r="N94" s="8" cm="1">
        <f t="array" aca="1" ref="N94" ca="1">[1]!UNIFORM_INV(RAND(),Sheet2!P$19-SQRT(3)*Sheet2!P$20,Sheet2!P$19+SQRT(3)*Sheet2!P$20)</f>
        <v>26.669233105706471</v>
      </c>
      <c r="O94" s="8" cm="1">
        <f t="array" aca="1" ref="O94" ca="1">[1]!UNIFORM_INV(RAND(),Sheet2!Q$19-SQRT(3)*Sheet2!Q$20,Sheet2!Q$19+SQRT(3)*Sheet2!Q$20)</f>
        <v>9.4057899511334977</v>
      </c>
      <c r="P94" s="8" cm="1">
        <f t="array" aca="1" ref="P94" ca="1">[1]!UNIFORM_INV(RAND(),Sheet2!R$19-SQRT(3)*Sheet2!R$20,Sheet2!R$19+SQRT(3)*Sheet2!R$20)</f>
        <v>6.2223988685292939</v>
      </c>
      <c r="Q94" s="8" cm="1">
        <f t="array" aca="1" ref="Q94" ca="1">[1]!UNIFORM_INV(RAND(),Sheet2!S$19-SQRT(3)*Sheet2!S$20,Sheet2!S$19+SQRT(3)*Sheet2!S$20)</f>
        <v>1.5813212005771324</v>
      </c>
      <c r="R94" s="8" cm="1">
        <f t="array" aca="1" ref="R94" ca="1">[1]!UNIFORM_INV(RAND(),Sheet2!T$19-SQRT(3)*Sheet2!T$20,Sheet2!T$19+SQRT(3)*Sheet2!T$20)</f>
        <v>21.542493936421426</v>
      </c>
      <c r="S94" s="8" cm="1">
        <f t="array" aca="1" ref="S94" ca="1">[1]!UNIFORM_INV(RAND(),Sheet2!U$19-SQRT(3)*Sheet2!U$20,Sheet2!U$19+SQRT(3)*Sheet2!U$20)</f>
        <v>16.291434319034817</v>
      </c>
      <c r="T94" s="8" cm="1">
        <f t="array" aca="1" ref="T94" ca="1">[1]!UNIFORM_INV(RAND(),Sheet2!V$19-SQRT(3)*Sheet2!V$20,Sheet2!V$19+SQRT(3)*Sheet2!V$20)</f>
        <v>20.866780232210239</v>
      </c>
      <c r="U94" s="8" cm="1">
        <f t="array" aca="1" ref="U94" ca="1">[1]!UNIFORM_INV(RAND(),Sheet2!W$19-SQRT(3)*Sheet2!W$20,Sheet2!W$19+SQRT(3)*Sheet2!W$20)</f>
        <v>25.634467426604573</v>
      </c>
      <c r="V94" s="8" cm="1">
        <f t="array" aca="1" ref="V94" ca="1">[1]!UNIFORM_INV(RAND(),Sheet2!X$19-SQRT(3)*Sheet2!X$20,Sheet2!X$19+SQRT(3)*Sheet2!X$20)</f>
        <v>25.844393635681662</v>
      </c>
      <c r="W94" s="8" cm="1">
        <f t="array" aca="1" ref="W94" ca="1">[1]!UNIFORM_INV(RAND(),Sheet2!Y$19-SQRT(3)*Sheet2!Y$20,Sheet2!Y$19+SQRT(3)*Sheet2!Y$20)</f>
        <v>23.401686962629419</v>
      </c>
      <c r="X94" s="8" cm="1">
        <f t="array" aca="1" ref="X94" ca="1">[1]!UNIFORM_INV(RAND(),Sheet2!Z$19-SQRT(3)*Sheet2!Z$20,Sheet2!Z$19+SQRT(3)*Sheet2!Z$20)</f>
        <v>7.3302460215827629</v>
      </c>
      <c r="AX94" s="7">
        <f ca="1">Sheet2!C$19+('RNG HERE'!A94-'RNG HERE'!Y$92)*Sheet2!C$20/'RNG HERE'!Y$93</f>
        <v>4.6859878852381485</v>
      </c>
      <c r="AY94" s="7">
        <f ca="1">Sheet2!D$19+('RNG HERE'!B94-'RNG HERE'!Z$92)*Sheet2!D$20/'RNG HERE'!Z$93</f>
        <v>3.8061247559253495</v>
      </c>
      <c r="AZ94" s="7">
        <f ca="1">Sheet2!E$19+('RNG HERE'!C94-'RNG HERE'!AA$92)*Sheet2!E$20/'RNG HERE'!AA$93</f>
        <v>22.476717936123617</v>
      </c>
      <c r="BA94" s="7">
        <f ca="1">Sheet2!F$19+('RNG HERE'!D94-'RNG HERE'!AB$92)*Sheet2!F$20/'RNG HERE'!AB$93</f>
        <v>14.234176781898764</v>
      </c>
      <c r="BB94" s="7">
        <f ca="1">Sheet2!G$19+('RNG HERE'!E94-'RNG HERE'!AC$92)*Sheet2!G$20/'RNG HERE'!AC$93</f>
        <v>13.456028518083411</v>
      </c>
      <c r="BC94" s="7">
        <f ca="1">Sheet2!H$19+('RNG HERE'!F94-'RNG HERE'!AD$92)*Sheet2!H$20/'RNG HERE'!AD$93</f>
        <v>34.709111822330364</v>
      </c>
      <c r="BD94" s="7">
        <f ca="1">Sheet2!I$19+('RNG HERE'!G94-'RNG HERE'!AE$92)*Sheet2!I$20/'RNG HERE'!AE$93</f>
        <v>11.524554198106015</v>
      </c>
      <c r="BE94" s="7">
        <f ca="1">Sheet2!J$19+('RNG HERE'!H94-'RNG HERE'!AF$92)*Sheet2!J$20/'RNG HERE'!AF$93</f>
        <v>23.031568480990124</v>
      </c>
      <c r="BF94" s="7">
        <f ca="1">Sheet2!K$19+('RNG HERE'!I94-'RNG HERE'!AG$92)*Sheet2!K$20/'RNG HERE'!AG$93</f>
        <v>23.248262736471297</v>
      </c>
      <c r="BG94" s="7">
        <f ca="1">Sheet2!L$19+('RNG HERE'!J94-'RNG HERE'!AH$92)*Sheet2!L$20/'RNG HERE'!AH$93</f>
        <v>21.792569867169391</v>
      </c>
      <c r="BH94" s="7">
        <f ca="1">Sheet2!M$19+('RNG HERE'!K94-'RNG HERE'!AI$92)*Sheet2!M$20/'RNG HERE'!AI$93</f>
        <v>16.688115829834878</v>
      </c>
      <c r="BI94" s="7">
        <f ca="1">Sheet2!N$19+('RNG HERE'!L94-'RNG HERE'!AJ$92)*Sheet2!N$20/'RNG HERE'!AJ$93</f>
        <v>9.9386935468623818</v>
      </c>
      <c r="BJ94" s="7">
        <f ca="1">Sheet2!O$19+('RNG HERE'!M94-'RNG HERE'!AK$92)*Sheet2!O$20/'RNG HERE'!AK$93</f>
        <v>5.0277888677780282</v>
      </c>
      <c r="BK94" s="7">
        <f ca="1">Sheet2!P$19+('RNG HERE'!N94-'RNG HERE'!AL$92)*Sheet2!P$20/'RNG HERE'!AL$93</f>
        <v>26.559591047647185</v>
      </c>
      <c r="BL94" s="7">
        <f ca="1">Sheet2!Q$19+('RNG HERE'!O94-'RNG HERE'!AM$92)*Sheet2!Q$20/'RNG HERE'!AM$93</f>
        <v>9.4424577334023585</v>
      </c>
      <c r="BM94" s="7">
        <f ca="1">Sheet2!R$19+('RNG HERE'!P94-'RNG HERE'!AN$92)*Sheet2!R$20/'RNG HERE'!AN$93</f>
        <v>6.4025738227229443</v>
      </c>
      <c r="BN94" s="7">
        <f ca="1">Sheet2!S$19+('RNG HERE'!Q94-'RNG HERE'!AO$92)*Sheet2!S$20/'RNG HERE'!AO$93</f>
        <v>1.5280648663588083</v>
      </c>
      <c r="BO94" s="7">
        <f ca="1">Sheet2!T$19+('RNG HERE'!R94-'RNG HERE'!AP$92)*Sheet2!T$20/'RNG HERE'!AP$93</f>
        <v>22.206463272124278</v>
      </c>
      <c r="BP94" s="7">
        <f ca="1">Sheet2!U$19+('RNG HERE'!S94-'RNG HERE'!AQ$92)*Sheet2!U$20/'RNG HERE'!AQ$93</f>
        <v>16.627521552476669</v>
      </c>
      <c r="BQ94" s="7">
        <f ca="1">Sheet2!V$19+('RNG HERE'!T94-'RNG HERE'!AR$92)*Sheet2!V$20/'RNG HERE'!AR$93</f>
        <v>21.436418141996459</v>
      </c>
      <c r="BR94" s="7">
        <f ca="1">Sheet2!W$19+('RNG HERE'!U94-'RNG HERE'!AS$92)*Sheet2!W$20/'RNG HERE'!AS$93</f>
        <v>25.700207946862253</v>
      </c>
      <c r="BS94" s="7">
        <f ca="1">Sheet2!X$19+('RNG HERE'!V94-'RNG HERE'!AT$92)*Sheet2!X$20/'RNG HERE'!AT$93</f>
        <v>25.652309771895656</v>
      </c>
      <c r="BT94" s="7">
        <f ca="1">Sheet2!Y$19+('RNG HERE'!W94-'RNG HERE'!AU$92)*Sheet2!Y$20/'RNG HERE'!AU$93</f>
        <v>23.588130990024293</v>
      </c>
      <c r="BU94" s="7">
        <f ca="1">Sheet2!Z$19+('RNG HERE'!X94-'RNG HERE'!AV$92)*Sheet2!Z$20/'RNG HERE'!AV$93</f>
        <v>7.3802725517393784</v>
      </c>
    </row>
    <row r="95" spans="1:97" x14ac:dyDescent="0.3">
      <c r="A95" s="8" cm="1">
        <f t="array" aca="1" ref="A95" ca="1">[1]!UNIFORM_INV(RAND(),Sheet2!C$19-SQRT(3)*Sheet2!C$20,Sheet2!C$19+SQRT(3)*Sheet2!C$20)</f>
        <v>5.7257834303896873</v>
      </c>
      <c r="B95" s="8" cm="1">
        <f t="array" aca="1" ref="B95" ca="1">[1]!UNIFORM_INV(RAND(),Sheet2!D$19-SQRT(3)*Sheet2!D$20,Sheet2!D$19+SQRT(3)*Sheet2!D$20)</f>
        <v>6.3857546648593111</v>
      </c>
      <c r="C95" s="8" cm="1">
        <f t="array" aca="1" ref="C95" ca="1">[1]!UNIFORM_INV(RAND(),Sheet2!E$19-SQRT(3)*Sheet2!E$20,Sheet2!E$19+SQRT(3)*Sheet2!E$20)</f>
        <v>24.428136132592471</v>
      </c>
      <c r="D95" s="8" cm="1">
        <f t="array" aca="1" ref="D95" ca="1">[1]!UNIFORM_INV(RAND(),Sheet2!F$19-SQRT(3)*Sheet2!F$20,Sheet2!F$19+SQRT(3)*Sheet2!F$20)</f>
        <v>20.533040339641005</v>
      </c>
      <c r="E95" s="8" cm="1">
        <f t="array" aca="1" ref="E95" ca="1">[1]!UNIFORM_INV(RAND(),Sheet2!G$19-SQRT(3)*Sheet2!G$20,Sheet2!G$19+SQRT(3)*Sheet2!G$20)</f>
        <v>15.062903776174108</v>
      </c>
      <c r="F95" s="8" cm="1">
        <f t="array" aca="1" ref="F95" ca="1">[1]!UNIFORM_INV(RAND(),Sheet2!H$19-SQRT(3)*Sheet2!H$20,Sheet2!H$19+SQRT(3)*Sheet2!H$20)</f>
        <v>31.172881530103702</v>
      </c>
      <c r="G95" s="8" cm="1">
        <f t="array" aca="1" ref="G95" ca="1">[1]!UNIFORM_INV(RAND(),Sheet2!I$19-SQRT(3)*Sheet2!I$20,Sheet2!I$19+SQRT(3)*Sheet2!I$20)</f>
        <v>12.945481097059721</v>
      </c>
      <c r="H95" s="8" cm="1">
        <f t="array" aca="1" ref="H95" ca="1">[1]!UNIFORM_INV(RAND(),Sheet2!J$19-SQRT(3)*Sheet2!J$20,Sheet2!J$19+SQRT(3)*Sheet2!J$20)</f>
        <v>26.131269490734056</v>
      </c>
      <c r="I95" s="8" cm="1">
        <f t="array" aca="1" ref="I95" ca="1">[1]!UNIFORM_INV(RAND(),Sheet2!K$19-SQRT(3)*Sheet2!K$20,Sheet2!K$19+SQRT(3)*Sheet2!K$20)</f>
        <v>22.323667425412179</v>
      </c>
      <c r="J95" s="8" cm="1">
        <f t="array" aca="1" ref="J95" ca="1">[1]!UNIFORM_INV(RAND(),Sheet2!L$19-SQRT(3)*Sheet2!L$20,Sheet2!L$19+SQRT(3)*Sheet2!L$20)</f>
        <v>25.352129506633677</v>
      </c>
      <c r="K95" s="8" cm="1">
        <f t="array" aca="1" ref="K95" ca="1">[1]!UNIFORM_INV(RAND(),Sheet2!M$19-SQRT(3)*Sheet2!M$20,Sheet2!M$19+SQRT(3)*Sheet2!M$20)</f>
        <v>18.105399960643179</v>
      </c>
      <c r="L95" s="8" cm="1">
        <f t="array" aca="1" ref="L95" ca="1">[1]!UNIFORM_INV(RAND(),Sheet2!N$19-SQRT(3)*Sheet2!N$20,Sheet2!N$19+SQRT(3)*Sheet2!N$20)</f>
        <v>7.5756461333613458</v>
      </c>
      <c r="M95" s="8" cm="1">
        <f t="array" aca="1" ref="M95" ca="1">[1]!UNIFORM_INV(RAND(),Sheet2!O$19-SQRT(3)*Sheet2!O$20,Sheet2!O$19+SQRT(3)*Sheet2!O$20)</f>
        <v>4.1139270588116297</v>
      </c>
      <c r="N95" s="8" cm="1">
        <f t="array" aca="1" ref="N95" ca="1">[1]!UNIFORM_INV(RAND(),Sheet2!P$19-SQRT(3)*Sheet2!P$20,Sheet2!P$19+SQRT(3)*Sheet2!P$20)</f>
        <v>22.980519452047126</v>
      </c>
      <c r="O95" s="8" cm="1">
        <f t="array" aca="1" ref="O95" ca="1">[1]!UNIFORM_INV(RAND(),Sheet2!Q$19-SQRT(3)*Sheet2!Q$20,Sheet2!Q$19+SQRT(3)*Sheet2!Q$20)</f>
        <v>10.230676974405295</v>
      </c>
      <c r="P95" s="8" cm="1">
        <f t="array" aca="1" ref="P95" ca="1">[1]!UNIFORM_INV(RAND(),Sheet2!R$19-SQRT(3)*Sheet2!R$20,Sheet2!R$19+SQRT(3)*Sheet2!R$20)</f>
        <v>5.1442072891537292</v>
      </c>
      <c r="Q95" s="8" cm="1">
        <f t="array" aca="1" ref="Q95" ca="1">[1]!UNIFORM_INV(RAND(),Sheet2!S$19-SQRT(3)*Sheet2!S$20,Sheet2!S$19+SQRT(3)*Sheet2!S$20)</f>
        <v>3.0154867406735102</v>
      </c>
      <c r="R95" s="8" cm="1">
        <f t="array" aca="1" ref="R95" ca="1">[1]!UNIFORM_INV(RAND(),Sheet2!T$19-SQRT(3)*Sheet2!T$20,Sheet2!T$19+SQRT(3)*Sheet2!T$20)</f>
        <v>18.2868709204146</v>
      </c>
      <c r="S95" s="8" cm="1">
        <f t="array" aca="1" ref="S95" ca="1">[1]!UNIFORM_INV(RAND(),Sheet2!U$19-SQRT(3)*Sheet2!U$20,Sheet2!U$19+SQRT(3)*Sheet2!U$20)</f>
        <v>17.415322172980499</v>
      </c>
      <c r="T95" s="8" cm="1">
        <f t="array" aca="1" ref="T95" ca="1">[1]!UNIFORM_INV(RAND(),Sheet2!V$19-SQRT(3)*Sheet2!V$20,Sheet2!V$19+SQRT(3)*Sheet2!V$20)</f>
        <v>24.599084046214994</v>
      </c>
      <c r="U95" s="8" cm="1">
        <f t="array" aca="1" ref="U95" ca="1">[1]!UNIFORM_INV(RAND(),Sheet2!W$19-SQRT(3)*Sheet2!W$20,Sheet2!W$19+SQRT(3)*Sheet2!W$20)</f>
        <v>22.604038052976648</v>
      </c>
      <c r="V95" s="8" cm="1">
        <f t="array" aca="1" ref="V95" ca="1">[1]!UNIFORM_INV(RAND(),Sheet2!X$19-SQRT(3)*Sheet2!X$20,Sheet2!X$19+SQRT(3)*Sheet2!X$20)</f>
        <v>24.302930555315022</v>
      </c>
      <c r="W95" s="8" cm="1">
        <f t="array" aca="1" ref="W95" ca="1">[1]!UNIFORM_INV(RAND(),Sheet2!Y$19-SQRT(3)*Sheet2!Y$20,Sheet2!Y$19+SQRT(3)*Sheet2!Y$20)</f>
        <v>22.059948714390188</v>
      </c>
      <c r="X95" s="8" cm="1">
        <f t="array" aca="1" ref="X95" ca="1">[1]!UNIFORM_INV(RAND(),Sheet2!Z$19-SQRT(3)*Sheet2!Z$20,Sheet2!Z$19+SQRT(3)*Sheet2!Z$20)</f>
        <v>6.5777444202981661</v>
      </c>
      <c r="AX95" s="7">
        <f ca="1">Sheet2!C$19+('RNG HERE'!A95-'RNG HERE'!Y$92)*Sheet2!C$20/'RNG HERE'!Y$93</f>
        <v>5.8250123798797109</v>
      </c>
      <c r="AY95" s="7">
        <f ca="1">Sheet2!D$19+('RNG HERE'!B95-'RNG HERE'!Z$92)*Sheet2!D$20/'RNG HERE'!Z$93</f>
        <v>7.1066248957193379</v>
      </c>
      <c r="AZ95" s="7">
        <f ca="1">Sheet2!E$19+('RNG HERE'!C95-'RNG HERE'!AA$92)*Sheet2!E$20/'RNG HERE'!AA$93</f>
        <v>24.727698406607619</v>
      </c>
      <c r="BA95" s="7">
        <f ca="1">Sheet2!F$19+('RNG HERE'!D95-'RNG HERE'!AB$92)*Sheet2!F$20/'RNG HERE'!AB$93</f>
        <v>21.124334755767087</v>
      </c>
      <c r="BB95" s="7">
        <f ca="1">Sheet2!G$19+('RNG HERE'!E95-'RNG HERE'!AC$92)*Sheet2!G$20/'RNG HERE'!AC$93</f>
        <v>15.414435807792376</v>
      </c>
      <c r="BC95" s="7">
        <f ca="1">Sheet2!H$19+('RNG HERE'!F95-'RNG HERE'!AD$92)*Sheet2!H$20/'RNG HERE'!AD$93</f>
        <v>30.478069951279593</v>
      </c>
      <c r="BD95" s="7">
        <f ca="1">Sheet2!I$19+('RNG HERE'!G95-'RNG HERE'!AE$92)*Sheet2!I$20/'RNG HERE'!AE$93</f>
        <v>12.918730266663729</v>
      </c>
      <c r="BE95" s="7">
        <f ca="1">Sheet2!J$19+('RNG HERE'!H95-'RNG HERE'!AF$92)*Sheet2!J$20/'RNG HERE'!AF$93</f>
        <v>26.235990890312458</v>
      </c>
      <c r="BF95" s="7">
        <f ca="1">Sheet2!K$19+('RNG HERE'!I95-'RNG HERE'!AG$92)*Sheet2!K$20/'RNG HERE'!AG$93</f>
        <v>22.58369459318493</v>
      </c>
      <c r="BG95" s="7">
        <f ca="1">Sheet2!L$19+('RNG HERE'!J95-'RNG HERE'!AH$92)*Sheet2!L$20/'RNG HERE'!AH$93</f>
        <v>25.194705280456208</v>
      </c>
      <c r="BH95" s="7">
        <f ca="1">Sheet2!M$19+('RNG HERE'!K95-'RNG HERE'!AI$92)*Sheet2!M$20/'RNG HERE'!AI$93</f>
        <v>18.289025200479209</v>
      </c>
      <c r="BI95" s="7">
        <f ca="1">Sheet2!N$19+('RNG HERE'!L95-'RNG HERE'!AJ$92)*Sheet2!N$20/'RNG HERE'!AJ$93</f>
        <v>6.9035927091601659</v>
      </c>
      <c r="BJ95" s="7">
        <f ca="1">Sheet2!O$19+('RNG HERE'!M95-'RNG HERE'!AK$92)*Sheet2!O$20/'RNG HERE'!AK$93</f>
        <v>3.8249393682578576</v>
      </c>
      <c r="BK95" s="7">
        <f ca="1">Sheet2!P$19+('RNG HERE'!N95-'RNG HERE'!AL$92)*Sheet2!P$20/'RNG HERE'!AL$93</f>
        <v>22.851690158851284</v>
      </c>
      <c r="BL95" s="7">
        <f ca="1">Sheet2!Q$19+('RNG HERE'!O95-'RNG HERE'!AM$92)*Sheet2!Q$20/'RNG HERE'!AM$93</f>
        <v>10.255623733072158</v>
      </c>
      <c r="BM95" s="7">
        <f ca="1">Sheet2!R$19+('RNG HERE'!P95-'RNG HERE'!AN$92)*Sheet2!R$20/'RNG HERE'!AN$93</f>
        <v>5.3661718589985634</v>
      </c>
      <c r="BN95" s="7">
        <f ca="1">Sheet2!S$19+('RNG HERE'!Q95-'RNG HERE'!AO$92)*Sheet2!S$20/'RNG HERE'!AO$93</f>
        <v>2.9001074177591653</v>
      </c>
      <c r="BO95" s="7">
        <f ca="1">Sheet2!T$19+('RNG HERE'!R95-'RNG HERE'!AP$92)*Sheet2!T$20/'RNG HERE'!AP$93</f>
        <v>19.363552156813117</v>
      </c>
      <c r="BP95" s="7">
        <f ca="1">Sheet2!U$19+('RNG HERE'!S95-'RNG HERE'!AQ$92)*Sheet2!U$20/'RNG HERE'!AQ$93</f>
        <v>17.77215586183074</v>
      </c>
      <c r="BQ95" s="7">
        <f ca="1">Sheet2!V$19+('RNG HERE'!T95-'RNG HERE'!AR$92)*Sheet2!V$20/'RNG HERE'!AR$93</f>
        <v>24.856443246300124</v>
      </c>
      <c r="BR95" s="7">
        <f ca="1">Sheet2!W$19+('RNG HERE'!U95-'RNG HERE'!AS$92)*Sheet2!W$20/'RNG HERE'!AS$93</f>
        <v>22.780616599847523</v>
      </c>
      <c r="BS95" s="7">
        <f ca="1">Sheet2!X$19+('RNG HERE'!V95-'RNG HERE'!AT$92)*Sheet2!X$20/'RNG HERE'!AT$93</f>
        <v>24.087293995530811</v>
      </c>
      <c r="BT95" s="7">
        <f ca="1">Sheet2!Y$19+('RNG HERE'!W95-'RNG HERE'!AU$92)*Sheet2!Y$20/'RNG HERE'!AU$93</f>
        <v>22.276044741314781</v>
      </c>
      <c r="BU95" s="7">
        <f ca="1">Sheet2!Z$19+('RNG HERE'!X95-'RNG HERE'!AV$92)*Sheet2!Z$20/'RNG HERE'!AV$93</f>
        <v>6.574013539939366</v>
      </c>
    </row>
    <row r="96" spans="1:97" x14ac:dyDescent="0.3">
      <c r="A96" s="8" cm="1">
        <f t="array" aca="1" ref="A96" ca="1">[1]!UNIFORM_INV(RAND(),Sheet2!C$19-SQRT(3)*Sheet2!C$20,Sheet2!C$19+SQRT(3)*Sheet2!C$20)</f>
        <v>4.780502510251095</v>
      </c>
      <c r="B96" s="8" cm="1">
        <f t="array" aca="1" ref="B96" ca="1">[1]!UNIFORM_INV(RAND(),Sheet2!D$19-SQRT(3)*Sheet2!D$20,Sheet2!D$19+SQRT(3)*Sheet2!D$20)</f>
        <v>4.1655886919964109</v>
      </c>
      <c r="C96" s="8" cm="1">
        <f t="array" aca="1" ref="C96" ca="1">[1]!UNIFORM_INV(RAND(),Sheet2!E$19-SQRT(3)*Sheet2!E$20,Sheet2!E$19+SQRT(3)*Sheet2!E$20)</f>
        <v>19.901134514790648</v>
      </c>
      <c r="D96" s="8" cm="1">
        <f t="array" aca="1" ref="D96" ca="1">[1]!UNIFORM_INV(RAND(),Sheet2!F$19-SQRT(3)*Sheet2!F$20,Sheet2!F$19+SQRT(3)*Sheet2!F$20)</f>
        <v>18.378814681644698</v>
      </c>
      <c r="E96" s="8" cm="1">
        <f t="array" aca="1" ref="E96" ca="1">[1]!UNIFORM_INV(RAND(),Sheet2!G$19-SQRT(3)*Sheet2!G$20,Sheet2!G$19+SQRT(3)*Sheet2!G$20)</f>
        <v>12.608963654199043</v>
      </c>
      <c r="F96" s="8" cm="1">
        <f t="array" aca="1" ref="F96" ca="1">[1]!UNIFORM_INV(RAND(),Sheet2!H$19-SQRT(3)*Sheet2!H$20,Sheet2!H$19+SQRT(3)*Sheet2!H$20)</f>
        <v>37.403286822653499</v>
      </c>
      <c r="G96" s="8" cm="1">
        <f t="array" aca="1" ref="G96" ca="1">[1]!UNIFORM_INV(RAND(),Sheet2!I$19-SQRT(3)*Sheet2!I$20,Sheet2!I$19+SQRT(3)*Sheet2!I$20)</f>
        <v>13.071074525034046</v>
      </c>
      <c r="H96" s="8" cm="1">
        <f t="array" aca="1" ref="H96" ca="1">[1]!UNIFORM_INV(RAND(),Sheet2!J$19-SQRT(3)*Sheet2!J$20,Sheet2!J$19+SQRT(3)*Sheet2!J$20)</f>
        <v>27.195291788986626</v>
      </c>
      <c r="I96" s="8" cm="1">
        <f t="array" aca="1" ref="I96" ca="1">[1]!UNIFORM_INV(RAND(),Sheet2!K$19-SQRT(3)*Sheet2!K$20,Sheet2!K$19+SQRT(3)*Sheet2!K$20)</f>
        <v>19.599997161756679</v>
      </c>
      <c r="J96" s="8" cm="1">
        <f t="array" aca="1" ref="J96" ca="1">[1]!UNIFORM_INV(RAND(),Sheet2!L$19-SQRT(3)*Sheet2!L$20,Sheet2!L$19+SQRT(3)*Sheet2!L$20)</f>
        <v>20.742778654125235</v>
      </c>
      <c r="K96" s="8" cm="1">
        <f t="array" aca="1" ref="K96" ca="1">[1]!UNIFORM_INV(RAND(),Sheet2!M$19-SQRT(3)*Sheet2!M$20,Sheet2!M$19+SQRT(3)*Sheet2!M$20)</f>
        <v>15.924258493131651</v>
      </c>
      <c r="L96" s="8" cm="1">
        <f t="array" aca="1" ref="L96" ca="1">[1]!UNIFORM_INV(RAND(),Sheet2!N$19-SQRT(3)*Sheet2!N$20,Sheet2!N$19+SQRT(3)*Sheet2!N$20)</f>
        <v>5.8585046685640361</v>
      </c>
      <c r="M96" s="8" cm="1">
        <f t="array" aca="1" ref="M96" ca="1">[1]!UNIFORM_INV(RAND(),Sheet2!O$19-SQRT(3)*Sheet2!O$20,Sheet2!O$19+SQRT(3)*Sheet2!O$20)</f>
        <v>4.9355755242293355</v>
      </c>
      <c r="N96" s="8" cm="1">
        <f t="array" aca="1" ref="N96" ca="1">[1]!UNIFORM_INV(RAND(),Sheet2!P$19-SQRT(3)*Sheet2!P$20,Sheet2!P$19+SQRT(3)*Sheet2!P$20)</f>
        <v>26.633318037101024</v>
      </c>
      <c r="O96" s="8" cm="1">
        <f t="array" aca="1" ref="O96" ca="1">[1]!UNIFORM_INV(RAND(),Sheet2!Q$19-SQRT(3)*Sheet2!Q$20,Sheet2!Q$19+SQRT(3)*Sheet2!Q$20)</f>
        <v>10.996050549852599</v>
      </c>
      <c r="P96" s="8" cm="1">
        <f t="array" aca="1" ref="P96" ca="1">[1]!UNIFORM_INV(RAND(),Sheet2!R$19-SQRT(3)*Sheet2!R$20,Sheet2!R$19+SQRT(3)*Sheet2!R$20)</f>
        <v>6.940609264857831</v>
      </c>
      <c r="Q96" s="8" cm="1">
        <f t="array" aca="1" ref="Q96" ca="1">[1]!UNIFORM_INV(RAND(),Sheet2!S$19-SQRT(3)*Sheet2!S$20,Sheet2!S$19+SQRT(3)*Sheet2!S$20)</f>
        <v>3.2474533246885429</v>
      </c>
      <c r="R96" s="8" cm="1">
        <f t="array" aca="1" ref="R96" ca="1">[1]!UNIFORM_INV(RAND(),Sheet2!T$19-SQRT(3)*Sheet2!T$20,Sheet2!T$19+SQRT(3)*Sheet2!T$20)</f>
        <v>17.865959386769436</v>
      </c>
      <c r="S96" s="8" cm="1">
        <f t="array" aca="1" ref="S96" ca="1">[1]!UNIFORM_INV(RAND(),Sheet2!U$19-SQRT(3)*Sheet2!U$20,Sheet2!U$19+SQRT(3)*Sheet2!U$20)</f>
        <v>14.101761981972057</v>
      </c>
      <c r="T96" s="8" cm="1">
        <f t="array" aca="1" ref="T96" ca="1">[1]!UNIFORM_INV(RAND(),Sheet2!V$19-SQRT(3)*Sheet2!V$20,Sheet2!V$19+SQRT(3)*Sheet2!V$20)</f>
        <v>25.891017211338252</v>
      </c>
      <c r="U96" s="8" cm="1">
        <f t="array" aca="1" ref="U96" ca="1">[1]!UNIFORM_INV(RAND(),Sheet2!W$19-SQRT(3)*Sheet2!W$20,Sheet2!W$19+SQRT(3)*Sheet2!W$20)</f>
        <v>22.192267357506733</v>
      </c>
      <c r="V96" s="8" cm="1">
        <f t="array" aca="1" ref="V96" ca="1">[1]!UNIFORM_INV(RAND(),Sheet2!X$19-SQRT(3)*Sheet2!X$20,Sheet2!X$19+SQRT(3)*Sheet2!X$20)</f>
        <v>26.052628503821602</v>
      </c>
      <c r="W96" s="8" cm="1">
        <f t="array" aca="1" ref="W96" ca="1">[1]!UNIFORM_INV(RAND(),Sheet2!Y$19-SQRT(3)*Sheet2!Y$20,Sheet2!Y$19+SQRT(3)*Sheet2!Y$20)</f>
        <v>23.448552941522141</v>
      </c>
      <c r="X96" s="8" cm="1">
        <f t="array" aca="1" ref="X96" ca="1">[1]!UNIFORM_INV(RAND(),Sheet2!Z$19-SQRT(3)*Sheet2!Z$20,Sheet2!Z$19+SQRT(3)*Sheet2!Z$20)</f>
        <v>6.9339837060881351</v>
      </c>
      <c r="AX96" s="7">
        <f ca="1">Sheet2!C$19+('RNG HERE'!A96-'RNG HERE'!Y$92)*Sheet2!C$20/'RNG HERE'!Y$93</f>
        <v>4.8894013515255086</v>
      </c>
      <c r="AY96" s="7">
        <f ca="1">Sheet2!D$19+('RNG HERE'!B96-'RNG HERE'!Z$92)*Sheet2!D$20/'RNG HERE'!Z$93</f>
        <v>4.6729600498460533</v>
      </c>
      <c r="AZ96" s="7">
        <f ca="1">Sheet2!E$19+('RNG HERE'!C96-'RNG HERE'!AA$92)*Sheet2!E$20/'RNG HERE'!AA$93</f>
        <v>20.099635037655258</v>
      </c>
      <c r="BA96" s="7">
        <f ca="1">Sheet2!F$19+('RNG HERE'!D96-'RNG HERE'!AB$92)*Sheet2!F$20/'RNG HERE'!AB$93</f>
        <v>19.009573532792761</v>
      </c>
      <c r="BB96" s="7">
        <f ca="1">Sheet2!G$19+('RNG HERE'!E96-'RNG HERE'!AC$92)*Sheet2!G$20/'RNG HERE'!AC$93</f>
        <v>13.005911870214016</v>
      </c>
      <c r="BC96" s="7">
        <f ca="1">Sheet2!H$19+('RNG HERE'!F96-'RNG HERE'!AD$92)*Sheet2!H$20/'RNG HERE'!AD$93</f>
        <v>36.741489077434302</v>
      </c>
      <c r="BD96" s="7">
        <f ca="1">Sheet2!I$19+('RNG HERE'!G96-'RNG HERE'!AE$92)*Sheet2!I$20/'RNG HERE'!AE$93</f>
        <v>13.038114394801489</v>
      </c>
      <c r="BE96" s="7">
        <f ca="1">Sheet2!J$19+('RNG HERE'!H96-'RNG HERE'!AF$92)*Sheet2!J$20/'RNG HERE'!AF$93</f>
        <v>27.375334383212628</v>
      </c>
      <c r="BF96" s="7">
        <f ca="1">Sheet2!K$19+('RNG HERE'!I96-'RNG HERE'!AG$92)*Sheet2!K$20/'RNG HERE'!AG$93</f>
        <v>19.359877800387462</v>
      </c>
      <c r="BG96" s="7">
        <f ca="1">Sheet2!L$19+('RNG HERE'!J96-'RNG HERE'!AH$92)*Sheet2!L$20/'RNG HERE'!AH$93</f>
        <v>20.228858359610122</v>
      </c>
      <c r="BH96" s="7">
        <f ca="1">Sheet2!M$19+('RNG HERE'!K96-'RNG HERE'!AI$92)*Sheet2!M$20/'RNG HERE'!AI$93</f>
        <v>15.821819928695193</v>
      </c>
      <c r="BI96" s="7">
        <f ca="1">Sheet2!N$19+('RNG HERE'!L96-'RNG HERE'!AJ$92)*Sheet2!N$20/'RNG HERE'!AJ$93</f>
        <v>4.9602715192330775</v>
      </c>
      <c r="BJ96" s="7">
        <f ca="1">Sheet2!O$19+('RNG HERE'!M96-'RNG HERE'!AK$92)*Sheet2!O$20/'RNG HERE'!AK$93</f>
        <v>4.9332359793351142</v>
      </c>
      <c r="BK96" s="7">
        <f ca="1">Sheet2!P$19+('RNG HERE'!N96-'RNG HERE'!AL$92)*Sheet2!P$20/'RNG HERE'!AL$93</f>
        <v>26.523489163004772</v>
      </c>
      <c r="BL96" s="7">
        <f ca="1">Sheet2!Q$19+('RNG HERE'!O96-'RNG HERE'!AM$92)*Sheet2!Q$20/'RNG HERE'!AM$93</f>
        <v>11.010121926207614</v>
      </c>
      <c r="BM96" s="7">
        <f ca="1">Sheet2!R$19+('RNG HERE'!P96-'RNG HERE'!AN$92)*Sheet2!R$20/'RNG HERE'!AN$93</f>
        <v>7.0929471101430286</v>
      </c>
      <c r="BN96" s="7">
        <f ca="1">Sheet2!S$19+('RNG HERE'!Q96-'RNG HERE'!AO$92)*Sheet2!S$20/'RNG HERE'!AO$93</f>
        <v>3.1220260281799836</v>
      </c>
      <c r="BO96" s="7">
        <f ca="1">Sheet2!T$19+('RNG HERE'!R96-'RNG HERE'!AP$92)*Sheet2!T$20/'RNG HERE'!AP$93</f>
        <v>18.995999134955504</v>
      </c>
      <c r="BP96" s="7">
        <f ca="1">Sheet2!U$19+('RNG HERE'!S96-'RNG HERE'!AQ$92)*Sheet2!U$20/'RNG HERE'!AQ$93</f>
        <v>14.397428866230165</v>
      </c>
      <c r="BQ96" s="7">
        <f ca="1">Sheet2!V$19+('RNG HERE'!T96-'RNG HERE'!AR$92)*Sheet2!V$20/'RNG HERE'!AR$93</f>
        <v>26.040281454011051</v>
      </c>
      <c r="BR96" s="7">
        <f ca="1">Sheet2!W$19+('RNG HERE'!U96-'RNG HERE'!AS$92)*Sheet2!W$20/'RNG HERE'!AS$93</f>
        <v>22.383906427384744</v>
      </c>
      <c r="BS96" s="7">
        <f ca="1">Sheet2!X$19+('RNG HERE'!V96-'RNG HERE'!AT$92)*Sheet2!X$20/'RNG HERE'!AT$93</f>
        <v>25.863726352661732</v>
      </c>
      <c r="BT96" s="7">
        <f ca="1">Sheet2!Y$19+('RNG HERE'!W96-'RNG HERE'!AU$92)*Sheet2!Y$20/'RNG HERE'!AU$93</f>
        <v>23.633961245305567</v>
      </c>
      <c r="BU96" s="7">
        <f ca="1">Sheet2!Z$19+('RNG HERE'!X96-'RNG HERE'!AV$92)*Sheet2!Z$20/'RNG HERE'!AV$93</f>
        <v>6.9557019430404976</v>
      </c>
    </row>
    <row r="97" spans="1:73" x14ac:dyDescent="0.3">
      <c r="A97" s="8" cm="1">
        <f t="array" aca="1" ref="A97" ca="1">[1]!UNIFORM_INV(RAND(),Sheet2!C$19-SQRT(3)*Sheet2!C$20,Sheet2!C$19+SQRT(3)*Sheet2!C$20)</f>
        <v>4.7919884868365106</v>
      </c>
      <c r="B97" s="8" cm="1">
        <f t="array" aca="1" ref="B97" ca="1">[1]!UNIFORM_INV(RAND(),Sheet2!D$19-SQRT(3)*Sheet2!D$20,Sheet2!D$19+SQRT(3)*Sheet2!D$20)</f>
        <v>10.20363083367773</v>
      </c>
      <c r="C97" s="8" cm="1">
        <f t="array" aca="1" ref="C97" ca="1">[1]!UNIFORM_INV(RAND(),Sheet2!E$19-SQRT(3)*Sheet2!E$20,Sheet2!E$19+SQRT(3)*Sheet2!E$20)</f>
        <v>20.126742089300727</v>
      </c>
      <c r="D97" s="8" cm="1">
        <f t="array" aca="1" ref="D97" ca="1">[1]!UNIFORM_INV(RAND(),Sheet2!F$19-SQRT(3)*Sheet2!F$20,Sheet2!F$19+SQRT(3)*Sheet2!F$20)</f>
        <v>13.757568941362452</v>
      </c>
      <c r="E97" s="8" cm="1">
        <f t="array" aca="1" ref="E97" ca="1">[1]!UNIFORM_INV(RAND(),Sheet2!G$19-SQRT(3)*Sheet2!G$20,Sheet2!G$19+SQRT(3)*Sheet2!G$20)</f>
        <v>17.26102888840644</v>
      </c>
      <c r="F97" s="8" cm="1">
        <f t="array" aca="1" ref="F97" ca="1">[1]!UNIFORM_INV(RAND(),Sheet2!H$19-SQRT(3)*Sheet2!H$20,Sheet2!H$19+SQRT(3)*Sheet2!H$20)</f>
        <v>35.196462605746099</v>
      </c>
      <c r="G97" s="8" cm="1">
        <f t="array" aca="1" ref="G97" ca="1">[1]!UNIFORM_INV(RAND(),Sheet2!I$19-SQRT(3)*Sheet2!I$20,Sheet2!I$19+SQRT(3)*Sheet2!I$20)</f>
        <v>12.216359790827049</v>
      </c>
      <c r="H97" s="8" cm="1">
        <f t="array" aca="1" ref="H97" ca="1">[1]!UNIFORM_INV(RAND(),Sheet2!J$19-SQRT(3)*Sheet2!J$20,Sheet2!J$19+SQRT(3)*Sheet2!J$20)</f>
        <v>26.935221997915999</v>
      </c>
      <c r="I97" s="8" cm="1">
        <f t="array" aca="1" ref="I97" ca="1">[1]!UNIFORM_INV(RAND(),Sheet2!K$19-SQRT(3)*Sheet2!K$20,Sheet2!K$19+SQRT(3)*Sheet2!K$20)</f>
        <v>22.80615749099498</v>
      </c>
      <c r="J97" s="8" cm="1">
        <f t="array" aca="1" ref="J97" ca="1">[1]!UNIFORM_INV(RAND(),Sheet2!L$19-SQRT(3)*Sheet2!L$20,Sheet2!L$19+SQRT(3)*Sheet2!L$20)</f>
        <v>22.384575486220943</v>
      </c>
      <c r="K97" s="8" cm="1">
        <f t="array" aca="1" ref="K97" ca="1">[1]!UNIFORM_INV(RAND(),Sheet2!M$19-SQRT(3)*Sheet2!M$20,Sheet2!M$19+SQRT(3)*Sheet2!M$20)</f>
        <v>17.866001424117137</v>
      </c>
      <c r="L97" s="8" cm="1">
        <f t="array" aca="1" ref="L97" ca="1">[1]!UNIFORM_INV(RAND(),Sheet2!N$19-SQRT(3)*Sheet2!N$20,Sheet2!N$19+SQRT(3)*Sheet2!N$20)</f>
        <v>10.7994026555475</v>
      </c>
      <c r="M97" s="8" cm="1">
        <f t="array" aca="1" ref="M97" ca="1">[1]!UNIFORM_INV(RAND(),Sheet2!O$19-SQRT(3)*Sheet2!O$20,Sheet2!O$19+SQRT(3)*Sheet2!O$20)</f>
        <v>6.2235529407810288</v>
      </c>
      <c r="N97" s="8" cm="1">
        <f t="array" aca="1" ref="N97" ca="1">[1]!UNIFORM_INV(RAND(),Sheet2!P$19-SQRT(3)*Sheet2!P$20,Sheet2!P$19+SQRT(3)*Sheet2!P$20)</f>
        <v>27.369348229690765</v>
      </c>
      <c r="O97" s="8" cm="1">
        <f t="array" aca="1" ref="O97" ca="1">[1]!UNIFORM_INV(RAND(),Sheet2!Q$19-SQRT(3)*Sheet2!Q$20,Sheet2!Q$19+SQRT(3)*Sheet2!Q$20)</f>
        <v>8.796290514867156</v>
      </c>
      <c r="P97" s="8" cm="1">
        <f t="array" aca="1" ref="P97" ca="1">[1]!UNIFORM_INV(RAND(),Sheet2!R$19-SQRT(3)*Sheet2!R$20,Sheet2!R$19+SQRT(3)*Sheet2!R$20)</f>
        <v>8.274701451089447</v>
      </c>
      <c r="Q97" s="8" cm="1">
        <f t="array" aca="1" ref="Q97" ca="1">[1]!UNIFORM_INV(RAND(),Sheet2!S$19-SQRT(3)*Sheet2!S$20,Sheet2!S$19+SQRT(3)*Sheet2!S$20)</f>
        <v>4.2418080309630275</v>
      </c>
      <c r="R97" s="8" cm="1">
        <f t="array" aca="1" ref="R97" ca="1">[1]!UNIFORM_INV(RAND(),Sheet2!T$19-SQRT(3)*Sheet2!T$20,Sheet2!T$19+SQRT(3)*Sheet2!T$20)</f>
        <v>21.536049800036725</v>
      </c>
      <c r="S97" s="8" cm="1">
        <f t="array" aca="1" ref="S97" ca="1">[1]!UNIFORM_INV(RAND(),Sheet2!U$19-SQRT(3)*Sheet2!U$20,Sheet2!U$19+SQRT(3)*Sheet2!U$20)</f>
        <v>14.045674141670125</v>
      </c>
      <c r="T97" s="8" cm="1">
        <f t="array" aca="1" ref="T97" ca="1">[1]!UNIFORM_INV(RAND(),Sheet2!V$19-SQRT(3)*Sheet2!V$20,Sheet2!V$19+SQRT(3)*Sheet2!V$20)</f>
        <v>25.661495190132154</v>
      </c>
      <c r="U97" s="8" cm="1">
        <f t="array" aca="1" ref="U97" ca="1">[1]!UNIFORM_INV(RAND(),Sheet2!W$19-SQRT(3)*Sheet2!W$20,Sheet2!W$19+SQRT(3)*Sheet2!W$20)</f>
        <v>23.029328340843687</v>
      </c>
      <c r="V97" s="8" cm="1">
        <f t="array" aca="1" ref="V97" ca="1">[1]!UNIFORM_INV(RAND(),Sheet2!X$19-SQRT(3)*Sheet2!X$20,Sheet2!X$19+SQRT(3)*Sheet2!X$20)</f>
        <v>22.692465298756762</v>
      </c>
      <c r="W97" s="8" cm="1">
        <f t="array" aca="1" ref="W97" ca="1">[1]!UNIFORM_INV(RAND(),Sheet2!Y$19-SQRT(3)*Sheet2!Y$20,Sheet2!Y$19+SQRT(3)*Sheet2!Y$20)</f>
        <v>19.986495642072878</v>
      </c>
      <c r="X97" s="8" cm="1">
        <f t="array" aca="1" ref="X97" ca="1">[1]!UNIFORM_INV(RAND(),Sheet2!Z$19-SQRT(3)*Sheet2!Z$20,Sheet2!Z$19+SQRT(3)*Sheet2!Z$20)</f>
        <v>7.6617641089846833</v>
      </c>
      <c r="AX97" s="7">
        <f ca="1">Sheet2!C$19+('RNG HERE'!A97-'RNG HERE'!Y$92)*Sheet2!C$20/'RNG HERE'!Y$93</f>
        <v>4.9007698306048884</v>
      </c>
      <c r="AY97" s="7">
        <f ca="1">Sheet2!D$19+('RNG HERE'!B97-'RNG HERE'!Z$92)*Sheet2!D$20/'RNG HERE'!Z$93</f>
        <v>11.291641300582747</v>
      </c>
      <c r="AZ97" s="7">
        <f ca="1">Sheet2!E$19+('RNG HERE'!C97-'RNG HERE'!AA$92)*Sheet2!E$20/'RNG HERE'!AA$93</f>
        <v>20.330279123851827</v>
      </c>
      <c r="BA97" s="7">
        <f ca="1">Sheet2!F$19+('RNG HERE'!D97-'RNG HERE'!AB$92)*Sheet2!F$20/'RNG HERE'!AB$93</f>
        <v>14.472986914251543</v>
      </c>
      <c r="BB97" s="7">
        <f ca="1">Sheet2!G$19+('RNG HERE'!E97-'RNG HERE'!AC$92)*Sheet2!G$20/'RNG HERE'!AC$93</f>
        <v>17.571879220202376</v>
      </c>
      <c r="BC97" s="7">
        <f ca="1">Sheet2!H$19+('RNG HERE'!F97-'RNG HERE'!AD$92)*Sheet2!H$20/'RNG HERE'!AD$93</f>
        <v>34.522971282971142</v>
      </c>
      <c r="BD97" s="7">
        <f ca="1">Sheet2!I$19+('RNG HERE'!G97-'RNG HERE'!AE$92)*Sheet2!I$20/'RNG HERE'!AE$93</f>
        <v>12.225656489992492</v>
      </c>
      <c r="BE97" s="7">
        <f ca="1">Sheet2!J$19+('RNG HERE'!H97-'RNG HERE'!AF$92)*Sheet2!J$20/'RNG HERE'!AF$93</f>
        <v>27.096854482328173</v>
      </c>
      <c r="BF97" s="7">
        <f ca="1">Sheet2!K$19+('RNG HERE'!I97-'RNG HERE'!AG$92)*Sheet2!K$20/'RNG HERE'!AG$93</f>
        <v>23.154784125034563</v>
      </c>
      <c r="BG97" s="7">
        <f ca="1">Sheet2!L$19+('RNG HERE'!J97-'RNG HERE'!AH$92)*Sheet2!L$20/'RNG HERE'!AH$93</f>
        <v>21.997634919303003</v>
      </c>
      <c r="BH97" s="7">
        <f ca="1">Sheet2!M$19+('RNG HERE'!K97-'RNG HERE'!AI$92)*Sheet2!M$20/'RNG HERE'!AI$93</f>
        <v>18.018228766514614</v>
      </c>
      <c r="BI97" s="7">
        <f ca="1">Sheet2!N$19+('RNG HERE'!L97-'RNG HERE'!AJ$92)*Sheet2!N$20/'RNG HERE'!AJ$93</f>
        <v>10.551978406648113</v>
      </c>
      <c r="BJ97" s="7">
        <f ca="1">Sheet2!O$19+('RNG HERE'!M97-'RNG HERE'!AK$92)*Sheet2!O$20/'RNG HERE'!AK$93</f>
        <v>6.6705495215475921</v>
      </c>
      <c r="BK97" s="7">
        <f ca="1">Sheet2!P$19+('RNG HERE'!N97-'RNG HERE'!AL$92)*Sheet2!P$20/'RNG HERE'!AL$93</f>
        <v>27.263347894673117</v>
      </c>
      <c r="BL97" s="7">
        <f ca="1">Sheet2!Q$19+('RNG HERE'!O97-'RNG HERE'!AM$92)*Sheet2!Q$20/'RNG HERE'!AM$93</f>
        <v>8.8416188252766421</v>
      </c>
      <c r="BM97" s="7">
        <f ca="1">Sheet2!R$19+('RNG HERE'!P97-'RNG HERE'!AN$92)*Sheet2!R$20/'RNG HERE'!AN$93</f>
        <v>8.375331231896757</v>
      </c>
      <c r="BN97" s="7">
        <f ca="1">Sheet2!S$19+('RNG HERE'!Q97-'RNG HERE'!AO$92)*Sheet2!S$20/'RNG HERE'!AO$93</f>
        <v>4.0733087985790783</v>
      </c>
      <c r="BO97" s="7">
        <f ca="1">Sheet2!T$19+('RNG HERE'!R97-'RNG HERE'!AP$92)*Sheet2!T$20/'RNG HERE'!AP$93</f>
        <v>22.200836052121662</v>
      </c>
      <c r="BP97" s="7">
        <f ca="1">Sheet2!U$19+('RNG HERE'!S97-'RNG HERE'!AQ$92)*Sheet2!U$20/'RNG HERE'!AQ$93</f>
        <v>14.340305670066265</v>
      </c>
      <c r="BQ97" s="7">
        <f ca="1">Sheet2!V$19+('RNG HERE'!T97-'RNG HERE'!AR$92)*Sheet2!V$20/'RNG HERE'!AR$93</f>
        <v>25.829963346581017</v>
      </c>
      <c r="BR97" s="7">
        <f ca="1">Sheet2!W$19+('RNG HERE'!U97-'RNG HERE'!AS$92)*Sheet2!W$20/'RNG HERE'!AS$93</f>
        <v>23.190351885293072</v>
      </c>
      <c r="BS97" s="7">
        <f ca="1">Sheet2!X$19+('RNG HERE'!V97-'RNG HERE'!AT$92)*Sheet2!X$20/'RNG HERE'!AT$93</f>
        <v>22.452221728213413</v>
      </c>
      <c r="BT97" s="7">
        <f ca="1">Sheet2!Y$19+('RNG HERE'!W97-'RNG HERE'!AU$92)*Sheet2!Y$20/'RNG HERE'!AU$93</f>
        <v>20.248414339407233</v>
      </c>
      <c r="BU97" s="7">
        <f ca="1">Sheet2!Z$19+('RNG HERE'!X97-'RNG HERE'!AV$92)*Sheet2!Z$20/'RNG HERE'!AV$93</f>
        <v>7.7354737168747247</v>
      </c>
    </row>
    <row r="98" spans="1:73" x14ac:dyDescent="0.3">
      <c r="A98" s="8" cm="1">
        <f t="array" aca="1" ref="A98" ca="1">[1]!UNIFORM_INV(RAND(),Sheet2!C$19-SQRT(3)*Sheet2!C$20,Sheet2!C$19+SQRT(3)*Sheet2!C$20)</f>
        <v>5.2839145600987694</v>
      </c>
      <c r="B98" s="8" cm="1">
        <f t="array" aca="1" ref="B98" ca="1">[1]!UNIFORM_INV(RAND(),Sheet2!D$19-SQRT(3)*Sheet2!D$20,Sheet2!D$19+SQRT(3)*Sheet2!D$20)</f>
        <v>3.1780878729996855</v>
      </c>
      <c r="C98" s="8" cm="1">
        <f t="array" aca="1" ref="C98" ca="1">[1]!UNIFORM_INV(RAND(),Sheet2!E$19-SQRT(3)*Sheet2!E$20,Sheet2!E$19+SQRT(3)*Sheet2!E$20)</f>
        <v>19.970426384804725</v>
      </c>
      <c r="D98" s="8" cm="1">
        <f t="array" aca="1" ref="D98" ca="1">[1]!UNIFORM_INV(RAND(),Sheet2!F$19-SQRT(3)*Sheet2!F$20,Sheet2!F$19+SQRT(3)*Sheet2!F$20)</f>
        <v>14.42135025660324</v>
      </c>
      <c r="E98" s="8" cm="1">
        <f t="array" aca="1" ref="E98" ca="1">[1]!UNIFORM_INV(RAND(),Sheet2!G$19-SQRT(3)*Sheet2!G$20,Sheet2!G$19+SQRT(3)*Sheet2!G$20)</f>
        <v>16.114919318111752</v>
      </c>
      <c r="F98" s="8" cm="1">
        <f t="array" aca="1" ref="F98" ca="1">[1]!UNIFORM_INV(RAND(),Sheet2!H$19-SQRT(3)*Sheet2!H$20,Sheet2!H$19+SQRT(3)*Sheet2!H$20)</f>
        <v>29.748683980506264</v>
      </c>
      <c r="G98" s="8" cm="1">
        <f t="array" aca="1" ref="G98" ca="1">[1]!UNIFORM_INV(RAND(),Sheet2!I$19-SQRT(3)*Sheet2!I$20,Sheet2!I$19+SQRT(3)*Sheet2!I$20)</f>
        <v>11.104732087558968</v>
      </c>
      <c r="H98" s="8" cm="1">
        <f t="array" aca="1" ref="H98" ca="1">[1]!UNIFORM_INV(RAND(),Sheet2!J$19-SQRT(3)*Sheet2!J$20,Sheet2!J$19+SQRT(3)*Sheet2!J$20)</f>
        <v>25.614106295814551</v>
      </c>
      <c r="I98" s="8" cm="1">
        <f t="array" aca="1" ref="I98" ca="1">[1]!UNIFORM_INV(RAND(),Sheet2!K$19-SQRT(3)*Sheet2!K$20,Sheet2!K$19+SQRT(3)*Sheet2!K$20)</f>
        <v>20.253831777312012</v>
      </c>
      <c r="J98" s="8" cm="1">
        <f t="array" aca="1" ref="J98" ca="1">[1]!UNIFORM_INV(RAND(),Sheet2!L$19-SQRT(3)*Sheet2!L$20,Sheet2!L$19+SQRT(3)*Sheet2!L$20)</f>
        <v>21.442292980068707</v>
      </c>
      <c r="K98" s="8" cm="1">
        <f t="array" aca="1" ref="K98" ca="1">[1]!UNIFORM_INV(RAND(),Sheet2!M$19-SQRT(3)*Sheet2!M$20,Sheet2!M$19+SQRT(3)*Sheet2!M$20)</f>
        <v>16.666654620242433</v>
      </c>
      <c r="L98" s="8" cm="1">
        <f t="array" aca="1" ref="L98" ca="1">[1]!UNIFORM_INV(RAND(),Sheet2!N$19-SQRT(3)*Sheet2!N$20,Sheet2!N$19+SQRT(3)*Sheet2!N$20)</f>
        <v>8.1700458577599662</v>
      </c>
      <c r="M98" s="8" cm="1">
        <f t="array" aca="1" ref="M98" ca="1">[1]!UNIFORM_INV(RAND(),Sheet2!O$19-SQRT(3)*Sheet2!O$20,Sheet2!O$19+SQRT(3)*Sheet2!O$20)</f>
        <v>4.0928987091507265</v>
      </c>
      <c r="N98" s="8" cm="1">
        <f t="array" aca="1" ref="N98" ca="1">[1]!UNIFORM_INV(RAND(),Sheet2!P$19-SQRT(3)*Sheet2!P$20,Sheet2!P$19+SQRT(3)*Sheet2!P$20)</f>
        <v>26.030566450873145</v>
      </c>
      <c r="O98" s="8" cm="1">
        <f t="array" aca="1" ref="O98" ca="1">[1]!UNIFORM_INV(RAND(),Sheet2!Q$19-SQRT(3)*Sheet2!Q$20,Sheet2!Q$19+SQRT(3)*Sheet2!Q$20)</f>
        <v>11.36928713875113</v>
      </c>
      <c r="P98" s="8" cm="1">
        <f t="array" aca="1" ref="P98" ca="1">[1]!UNIFORM_INV(RAND(),Sheet2!R$19-SQRT(3)*Sheet2!R$20,Sheet2!R$19+SQRT(3)*Sheet2!R$20)</f>
        <v>5.4621630394994707</v>
      </c>
      <c r="Q98" s="8" cm="1">
        <f t="array" aca="1" ref="Q98" ca="1">[1]!UNIFORM_INV(RAND(),Sheet2!S$19-SQRT(3)*Sheet2!S$20,Sheet2!S$19+SQRT(3)*Sheet2!S$20)</f>
        <v>1.3535954243326513</v>
      </c>
      <c r="R98" s="8" cm="1">
        <f t="array" aca="1" ref="R98" ca="1">[1]!UNIFORM_INV(RAND(),Sheet2!T$19-SQRT(3)*Sheet2!T$20,Sheet2!T$19+SQRT(3)*Sheet2!T$20)</f>
        <v>30.788521350846047</v>
      </c>
      <c r="S98" s="8" cm="1">
        <f t="array" aca="1" ref="S98" ca="1">[1]!UNIFORM_INV(RAND(),Sheet2!U$19-SQRT(3)*Sheet2!U$20,Sheet2!U$19+SQRT(3)*Sheet2!U$20)</f>
        <v>18.193694511112874</v>
      </c>
      <c r="T98" s="8" cm="1">
        <f t="array" aca="1" ref="T98" ca="1">[1]!UNIFORM_INV(RAND(),Sheet2!V$19-SQRT(3)*Sheet2!V$20,Sheet2!V$19+SQRT(3)*Sheet2!V$20)</f>
        <v>20.484084327724101</v>
      </c>
      <c r="U98" s="8" cm="1">
        <f t="array" aca="1" ref="U98" ca="1">[1]!UNIFORM_INV(RAND(),Sheet2!W$19-SQRT(3)*Sheet2!W$20,Sheet2!W$19+SQRT(3)*Sheet2!W$20)</f>
        <v>23.910133191750035</v>
      </c>
      <c r="V98" s="8" cm="1">
        <f t="array" aca="1" ref="V98" ca="1">[1]!UNIFORM_INV(RAND(),Sheet2!X$19-SQRT(3)*Sheet2!X$20,Sheet2!X$19+SQRT(3)*Sheet2!X$20)</f>
        <v>25.502447153402873</v>
      </c>
      <c r="W98" s="8" cm="1">
        <f t="array" aca="1" ref="W98" ca="1">[1]!UNIFORM_INV(RAND(),Sheet2!Y$19-SQRT(3)*Sheet2!Y$20,Sheet2!Y$19+SQRT(3)*Sheet2!Y$20)</f>
        <v>20.045638210905942</v>
      </c>
      <c r="X98" s="8" cm="1">
        <f t="array" aca="1" ref="X98" ca="1">[1]!UNIFORM_INV(RAND(),Sheet2!Z$19-SQRT(3)*Sheet2!Z$20,Sheet2!Z$19+SQRT(3)*Sheet2!Z$20)</f>
        <v>6.5895098433736345</v>
      </c>
      <c r="AX98" s="7">
        <f ca="1">Sheet2!C$19+('RNG HERE'!A98-'RNG HERE'!Y$92)*Sheet2!C$20/'RNG HERE'!Y$93</f>
        <v>5.3876636729260339</v>
      </c>
      <c r="AY98" s="7">
        <f ca="1">Sheet2!D$19+('RNG HERE'!B98-'RNG HERE'!Z$92)*Sheet2!D$20/'RNG HERE'!Z$93</f>
        <v>3.5904977214263329</v>
      </c>
      <c r="AZ98" s="7">
        <f ca="1">Sheet2!E$19+('RNG HERE'!C98-'RNG HERE'!AA$92)*Sheet2!E$20/'RNG HERE'!AA$93</f>
        <v>20.170473794177301</v>
      </c>
      <c r="BA98" s="7">
        <f ca="1">Sheet2!F$19+('RNG HERE'!D98-'RNG HERE'!AB$92)*Sheet2!F$20/'RNG HERE'!AB$93</f>
        <v>15.1246080574663</v>
      </c>
      <c r="BB98" s="7">
        <f ca="1">Sheet2!G$19+('RNG HERE'!E98-'RNG HERE'!AC$92)*Sheet2!G$20/'RNG HERE'!AC$93</f>
        <v>16.446981220278619</v>
      </c>
      <c r="BC98" s="7">
        <f ca="1">Sheet2!H$19+('RNG HERE'!F98-'RNG HERE'!AD$92)*Sheet2!H$20/'RNG HERE'!AD$93</f>
        <v>29.046325826665736</v>
      </c>
      <c r="BD98" s="7">
        <f ca="1">Sheet2!I$19+('RNG HERE'!G98-'RNG HERE'!AE$92)*Sheet2!I$20/'RNG HERE'!AE$93</f>
        <v>11.168987313038658</v>
      </c>
      <c r="BE98" s="7">
        <f ca="1">Sheet2!J$19+('RNG HERE'!H98-'RNG HERE'!AF$92)*Sheet2!J$20/'RNG HERE'!AF$93</f>
        <v>25.682218171576505</v>
      </c>
      <c r="BF98" s="7">
        <f ca="1">Sheet2!K$19+('RNG HERE'!I98-'RNG HERE'!AG$92)*Sheet2!K$20/'RNG HERE'!AG$93</f>
        <v>20.133775816408892</v>
      </c>
      <c r="BG98" s="7">
        <f ca="1">Sheet2!L$19+('RNG HERE'!J98-'RNG HERE'!AH$92)*Sheet2!L$20/'RNG HERE'!AH$93</f>
        <v>20.982474470148489</v>
      </c>
      <c r="BH98" s="7">
        <f ca="1">Sheet2!M$19+('RNG HERE'!K98-'RNG HERE'!AI$92)*Sheet2!M$20/'RNG HERE'!AI$93</f>
        <v>16.661583724781966</v>
      </c>
      <c r="BI98" s="7">
        <f ca="1">Sheet2!N$19+('RNG HERE'!L98-'RNG HERE'!AJ$92)*Sheet2!N$20/'RNG HERE'!AJ$93</f>
        <v>7.5762860215000485</v>
      </c>
      <c r="BJ98" s="7">
        <f ca="1">Sheet2!O$19+('RNG HERE'!M98-'RNG HERE'!AK$92)*Sheet2!O$20/'RNG HERE'!AK$93</f>
        <v>3.7965748673226818</v>
      </c>
      <c r="BK98" s="7">
        <f ca="1">Sheet2!P$19+('RNG HERE'!N98-'RNG HERE'!AL$92)*Sheet2!P$20/'RNG HERE'!AL$93</f>
        <v>25.917602300499102</v>
      </c>
      <c r="BL98" s="7">
        <f ca="1">Sheet2!Q$19+('RNG HERE'!O98-'RNG HERE'!AM$92)*Sheet2!Q$20/'RNG HERE'!AM$93</f>
        <v>11.378055104161142</v>
      </c>
      <c r="BM98" s="7">
        <f ca="1">Sheet2!R$19+('RNG HERE'!P98-'RNG HERE'!AN$92)*Sheet2!R$20/'RNG HERE'!AN$93</f>
        <v>5.671803965888726</v>
      </c>
      <c r="BN98" s="7">
        <f ca="1">Sheet2!S$19+('RNG HERE'!Q98-'RNG HERE'!AO$92)*Sheet2!S$20/'RNG HERE'!AO$93</f>
        <v>1.3102033668856672</v>
      </c>
      <c r="BO98" s="7">
        <f ca="1">Sheet2!T$19+('RNG HERE'!R98-'RNG HERE'!AP$92)*Sheet2!T$20/'RNG HERE'!AP$93</f>
        <v>30.280381529767023</v>
      </c>
      <c r="BP98" s="7">
        <f ca="1">Sheet2!U$19+('RNG HERE'!S98-'RNG HERE'!AQ$92)*Sheet2!U$20/'RNG HERE'!AQ$93</f>
        <v>18.564896597083425</v>
      </c>
      <c r="BQ98" s="7">
        <f ca="1">Sheet2!V$19+('RNG HERE'!T98-'RNG HERE'!AR$92)*Sheet2!V$20/'RNG HERE'!AR$93</f>
        <v>21.085742080807211</v>
      </c>
      <c r="BR98" s="7">
        <f ca="1">Sheet2!W$19+('RNG HERE'!U98-'RNG HERE'!AS$92)*Sheet2!W$20/'RNG HERE'!AS$93</f>
        <v>24.038941277771194</v>
      </c>
      <c r="BS98" s="7">
        <f ca="1">Sheet2!X$19+('RNG HERE'!V98-'RNG HERE'!AT$92)*Sheet2!X$20/'RNG HERE'!AT$93</f>
        <v>25.305138538114644</v>
      </c>
      <c r="BT98" s="7">
        <f ca="1">Sheet2!Y$19+('RNG HERE'!W98-'RNG HERE'!AU$92)*Sheet2!Y$20/'RNG HERE'!AU$93</f>
        <v>20.306249875795238</v>
      </c>
      <c r="BU98" s="7">
        <f ca="1">Sheet2!Z$19+('RNG HERE'!X98-'RNG HERE'!AV$92)*Sheet2!Z$20/'RNG HERE'!AV$93</f>
        <v>6.5866194644530713</v>
      </c>
    </row>
    <row r="99" spans="1:73" x14ac:dyDescent="0.3">
      <c r="A99" s="8" cm="1">
        <f t="array" aca="1" ref="A99" ca="1">[1]!UNIFORM_INV(RAND(),Sheet2!C$19-SQRT(3)*Sheet2!C$20,Sheet2!C$19+SQRT(3)*Sheet2!C$20)</f>
        <v>3.1120757763415114</v>
      </c>
      <c r="B99" s="8" cm="1">
        <f t="array" aca="1" ref="B99" ca="1">[1]!UNIFORM_INV(RAND(),Sheet2!D$19-SQRT(3)*Sheet2!D$20,Sheet2!D$19+SQRT(3)*Sheet2!D$20)</f>
        <v>7.496828086742747</v>
      </c>
      <c r="C99" s="8" cm="1">
        <f t="array" aca="1" ref="C99" ca="1">[1]!UNIFORM_INV(RAND(),Sheet2!E$19-SQRT(3)*Sheet2!E$20,Sheet2!E$19+SQRT(3)*Sheet2!E$20)</f>
        <v>20.268245740777047</v>
      </c>
      <c r="D99" s="8" cm="1">
        <f t="array" aca="1" ref="D99" ca="1">[1]!UNIFORM_INV(RAND(),Sheet2!F$19-SQRT(3)*Sheet2!F$20,Sheet2!F$19+SQRT(3)*Sheet2!F$20)</f>
        <v>17.508527792488145</v>
      </c>
      <c r="E99" s="8" cm="1">
        <f t="array" aca="1" ref="E99" ca="1">[1]!UNIFORM_INV(RAND(),Sheet2!G$19-SQRT(3)*Sheet2!G$20,Sheet2!G$19+SQRT(3)*Sheet2!G$20)</f>
        <v>16.498312895433212</v>
      </c>
      <c r="F99" s="8" cm="1">
        <f t="array" aca="1" ref="F99" ca="1">[1]!UNIFORM_INV(RAND(),Sheet2!H$19-SQRT(3)*Sheet2!H$20,Sheet2!H$19+SQRT(3)*Sheet2!H$20)</f>
        <v>31.73600658106411</v>
      </c>
      <c r="G99" s="8" cm="1">
        <f t="array" aca="1" ref="G99" ca="1">[1]!UNIFORM_INV(RAND(),Sheet2!I$19-SQRT(3)*Sheet2!I$20,Sheet2!I$19+SQRT(3)*Sheet2!I$20)</f>
        <v>11.822116617641448</v>
      </c>
      <c r="H99" s="8" cm="1">
        <f t="array" aca="1" ref="H99" ca="1">[1]!UNIFORM_INV(RAND(),Sheet2!J$19-SQRT(3)*Sheet2!J$20,Sheet2!J$19+SQRT(3)*Sheet2!J$20)</f>
        <v>25.038141995174445</v>
      </c>
      <c r="I99" s="8" cm="1">
        <f t="array" aca="1" ref="I99" ca="1">[1]!UNIFORM_INV(RAND(),Sheet2!K$19-SQRT(3)*Sheet2!K$20,Sheet2!K$19+SQRT(3)*Sheet2!K$20)</f>
        <v>21.203449689150901</v>
      </c>
      <c r="J99" s="8" cm="1">
        <f t="array" aca="1" ref="J99" ca="1">[1]!UNIFORM_INV(RAND(),Sheet2!L$19-SQRT(3)*Sheet2!L$20,Sheet2!L$19+SQRT(3)*Sheet2!L$20)</f>
        <v>24.571453245636214</v>
      </c>
      <c r="K99" s="8" cm="1">
        <f t="array" aca="1" ref="K99" ca="1">[1]!UNIFORM_INV(RAND(),Sheet2!M$19-SQRT(3)*Sheet2!M$20,Sheet2!M$19+SQRT(3)*Sheet2!M$20)</f>
        <v>18.444674927682016</v>
      </c>
      <c r="L99" s="8" cm="1">
        <f t="array" aca="1" ref="L99" ca="1">[1]!UNIFORM_INV(RAND(),Sheet2!N$19-SQRT(3)*Sheet2!N$20,Sheet2!N$19+SQRT(3)*Sheet2!N$20)</f>
        <v>7.1401970822253524</v>
      </c>
      <c r="M99" s="8" cm="1">
        <f t="array" aca="1" ref="M99" ca="1">[1]!UNIFORM_INV(RAND(),Sheet2!O$19-SQRT(3)*Sheet2!O$20,Sheet2!O$19+SQRT(3)*Sheet2!O$20)</f>
        <v>5.2310213523080717</v>
      </c>
      <c r="N99" s="8" cm="1">
        <f t="array" aca="1" ref="N99" ca="1">[1]!UNIFORM_INV(RAND(),Sheet2!P$19-SQRT(3)*Sheet2!P$20,Sheet2!P$19+SQRT(3)*Sheet2!P$20)</f>
        <v>25.440571828785352</v>
      </c>
      <c r="O99" s="8" cm="1">
        <f t="array" aca="1" ref="O99" ca="1">[1]!UNIFORM_INV(RAND(),Sheet2!Q$19-SQRT(3)*Sheet2!Q$20,Sheet2!Q$19+SQRT(3)*Sheet2!Q$20)</f>
        <v>11.778748001654535</v>
      </c>
      <c r="P99" s="8" cm="1">
        <f t="array" aca="1" ref="P99" ca="1">[1]!UNIFORM_INV(RAND(),Sheet2!R$19-SQRT(3)*Sheet2!R$20,Sheet2!R$19+SQRT(3)*Sheet2!R$20)</f>
        <v>6.4630096173791154</v>
      </c>
      <c r="Q99" s="8" cm="1">
        <f t="array" aca="1" ref="Q99" ca="1">[1]!UNIFORM_INV(RAND(),Sheet2!S$19-SQRT(3)*Sheet2!S$20,Sheet2!S$19+SQRT(3)*Sheet2!S$20)</f>
        <v>4.3001198717206783</v>
      </c>
      <c r="R99" s="8" cm="1">
        <f t="array" aca="1" ref="R99" ca="1">[1]!UNIFORM_INV(RAND(),Sheet2!T$19-SQRT(3)*Sheet2!T$20,Sheet2!T$19+SQRT(3)*Sheet2!T$20)</f>
        <v>25.209897577029565</v>
      </c>
      <c r="S99" s="8" cm="1">
        <f t="array" aca="1" ref="S99" ca="1">[1]!UNIFORM_INV(RAND(),Sheet2!U$19-SQRT(3)*Sheet2!U$20,Sheet2!U$19+SQRT(3)*Sheet2!U$20)</f>
        <v>16.591659942771667</v>
      </c>
      <c r="T99" s="8" cm="1">
        <f t="array" aca="1" ref="T99" ca="1">[1]!UNIFORM_INV(RAND(),Sheet2!V$19-SQRT(3)*Sheet2!V$20,Sheet2!V$19+SQRT(3)*Sheet2!V$20)</f>
        <v>25.258977904522474</v>
      </c>
      <c r="U99" s="8" cm="1">
        <f t="array" aca="1" ref="U99" ca="1">[1]!UNIFORM_INV(RAND(),Sheet2!W$19-SQRT(3)*Sheet2!W$20,Sheet2!W$19+SQRT(3)*Sheet2!W$20)</f>
        <v>22.04091829578628</v>
      </c>
      <c r="V99" s="8" cm="1">
        <f t="array" aca="1" ref="V99" ca="1">[1]!UNIFORM_INV(RAND(),Sheet2!X$19-SQRT(3)*Sheet2!X$20,Sheet2!X$19+SQRT(3)*Sheet2!X$20)</f>
        <v>22.563166516858765</v>
      </c>
      <c r="W99" s="8" cm="1">
        <f t="array" aca="1" ref="W99" ca="1">[1]!UNIFORM_INV(RAND(),Sheet2!Y$19-SQRT(3)*Sheet2!Y$20,Sheet2!Y$19+SQRT(3)*Sheet2!Y$20)</f>
        <v>21.873252381999116</v>
      </c>
      <c r="X99" s="8" cm="1">
        <f t="array" aca="1" ref="X99" ca="1">[1]!UNIFORM_INV(RAND(),Sheet2!Z$19-SQRT(3)*Sheet2!Z$20,Sheet2!Z$19+SQRT(3)*Sheet2!Z$20)</f>
        <v>6.0754193312476339</v>
      </c>
      <c r="AX99" s="7">
        <f ca="1">Sheet2!C$19+('RNG HERE'!A99-'RNG HERE'!Y$92)*Sheet2!C$20/'RNG HERE'!Y$93</f>
        <v>3.2380420370712155</v>
      </c>
      <c r="AY99" s="7">
        <f ca="1">Sheet2!D$19+('RNG HERE'!B99-'RNG HERE'!Z$92)*Sheet2!D$20/'RNG HERE'!Z$93</f>
        <v>8.3245429978218919</v>
      </c>
      <c r="AZ99" s="7">
        <f ca="1">Sheet2!E$19+('RNG HERE'!C99-'RNG HERE'!AA$92)*Sheet2!E$20/'RNG HERE'!AA$93</f>
        <v>20.474941733070985</v>
      </c>
      <c r="BA99" s="7">
        <f ca="1">Sheet2!F$19+('RNG HERE'!D99-'RNG HERE'!AB$92)*Sheet2!F$20/'RNG HERE'!AB$93</f>
        <v>18.155229903925633</v>
      </c>
      <c r="BB99" s="7">
        <f ca="1">Sheet2!G$19+('RNG HERE'!E99-'RNG HERE'!AC$92)*Sheet2!G$20/'RNG HERE'!AC$93</f>
        <v>16.823279158530401</v>
      </c>
      <c r="BC99" s="7">
        <f ca="1">Sheet2!H$19+('RNG HERE'!F99-'RNG HERE'!AD$92)*Sheet2!H$20/'RNG HERE'!AD$93</f>
        <v>31.044178903905824</v>
      </c>
      <c r="BD99" s="7">
        <f ca="1">Sheet2!I$19+('RNG HERE'!G99-'RNG HERE'!AE$92)*Sheet2!I$20/'RNG HERE'!AE$93</f>
        <v>11.850904576105336</v>
      </c>
      <c r="BE99" s="7">
        <f ca="1">Sheet2!J$19+('RNG HERE'!H99-'RNG HERE'!AF$92)*Sheet2!J$20/'RNG HERE'!AF$93</f>
        <v>25.065481869005772</v>
      </c>
      <c r="BF99" s="7">
        <f ca="1">Sheet2!K$19+('RNG HERE'!I99-'RNG HERE'!AG$92)*Sheet2!K$20/'RNG HERE'!AG$93</f>
        <v>21.257771702320099</v>
      </c>
      <c r="BG99" s="7">
        <f ca="1">Sheet2!L$19+('RNG HERE'!J99-'RNG HERE'!AH$92)*Sheet2!L$20/'RNG HERE'!AH$93</f>
        <v>24.35365001456293</v>
      </c>
      <c r="BH99" s="7">
        <f ca="1">Sheet2!M$19+('RNG HERE'!K99-'RNG HERE'!AI$92)*Sheet2!M$20/'RNG HERE'!AI$93</f>
        <v>18.672797183970758</v>
      </c>
      <c r="BI99" s="7">
        <f ca="1">Sheet2!N$19+('RNG HERE'!L99-'RNG HERE'!AJ$92)*Sheet2!N$20/'RNG HERE'!AJ$93</f>
        <v>6.4107868538743249</v>
      </c>
      <c r="BJ99" s="7">
        <f ca="1">Sheet2!O$19+('RNG HERE'!M99-'RNG HERE'!AK$92)*Sheet2!O$20/'RNG HERE'!AK$93</f>
        <v>5.3317538659961858</v>
      </c>
      <c r="BK99" s="7">
        <f ca="1">Sheet2!P$19+('RNG HERE'!N99-'RNG HERE'!AL$92)*Sheet2!P$20/'RNG HERE'!AL$93</f>
        <v>25.324538758834947</v>
      </c>
      <c r="BL99" s="7">
        <f ca="1">Sheet2!Q$19+('RNG HERE'!O99-'RNG HERE'!AM$92)*Sheet2!Q$20/'RNG HERE'!AM$93</f>
        <v>11.781697836456614</v>
      </c>
      <c r="BM99" s="7">
        <f ca="1">Sheet2!R$19+('RNG HERE'!P99-'RNG HERE'!AN$92)*Sheet2!R$20/'RNG HERE'!AN$93</f>
        <v>6.633858742185561</v>
      </c>
      <c r="BN99" s="7">
        <f ca="1">Sheet2!S$19+('RNG HERE'!Q99-'RNG HERE'!AO$92)*Sheet2!S$20/'RNG HERE'!AO$93</f>
        <v>4.1290947762317014</v>
      </c>
      <c r="BO99" s="7">
        <f ca="1">Sheet2!T$19+('RNG HERE'!R99-'RNG HERE'!AP$92)*Sheet2!T$20/'RNG HERE'!AP$93</f>
        <v>25.408954015971393</v>
      </c>
      <c r="BP99" s="7">
        <f ca="1">Sheet2!U$19+('RNG HERE'!S99-'RNG HERE'!AQ$92)*Sheet2!U$20/'RNG HERE'!AQ$93</f>
        <v>16.933289203821921</v>
      </c>
      <c r="BQ99" s="7">
        <f ca="1">Sheet2!V$19+('RNG HERE'!T99-'RNG HERE'!AR$92)*Sheet2!V$20/'RNG HERE'!AR$93</f>
        <v>25.461124342495719</v>
      </c>
      <c r="BR99" s="7">
        <f ca="1">Sheet2!W$19+('RNG HERE'!U99-'RNG HERE'!AS$92)*Sheet2!W$20/'RNG HERE'!AS$93</f>
        <v>22.238092961206245</v>
      </c>
      <c r="BS99" s="7">
        <f ca="1">Sheet2!X$19+('RNG HERE'!V99-'RNG HERE'!AT$92)*Sheet2!X$20/'RNG HERE'!AT$93</f>
        <v>22.320947333054374</v>
      </c>
      <c r="BT99" s="7">
        <f ca="1">Sheet2!Y$19+('RNG HERE'!W99-'RNG HERE'!AU$92)*Sheet2!Y$20/'RNG HERE'!AU$93</f>
        <v>22.093474340019078</v>
      </c>
      <c r="BU99" s="7">
        <f ca="1">Sheet2!Z$19+('RNG HERE'!X99-'RNG HERE'!AV$92)*Sheet2!Z$20/'RNG HERE'!AV$93</f>
        <v>6.0358032169196516</v>
      </c>
    </row>
    <row r="100" spans="1:73" x14ac:dyDescent="0.3">
      <c r="A100" s="8" cm="1">
        <f t="array" aca="1" ref="A100" ca="1">[1]!UNIFORM_INV(RAND(),Sheet2!C$19-SQRT(3)*Sheet2!C$20,Sheet2!C$19+SQRT(3)*Sheet2!C$20)</f>
        <v>3.939514875289666</v>
      </c>
      <c r="B100" s="8" cm="1">
        <f t="array" aca="1" ref="B100" ca="1">[1]!UNIFORM_INV(RAND(),Sheet2!D$19-SQRT(3)*Sheet2!D$20,Sheet2!D$19+SQRT(3)*Sheet2!D$20)</f>
        <v>5.4055738168131002</v>
      </c>
      <c r="C100" s="8" cm="1">
        <f t="array" aca="1" ref="C100" ca="1">[1]!UNIFORM_INV(RAND(),Sheet2!E$19-SQRT(3)*Sheet2!E$20,Sheet2!E$19+SQRT(3)*Sheet2!E$20)</f>
        <v>21.338032669454918</v>
      </c>
      <c r="D100" s="8" cm="1">
        <f t="array" aca="1" ref="D100" ca="1">[1]!UNIFORM_INV(RAND(),Sheet2!F$19-SQRT(3)*Sheet2!F$20,Sheet2!F$19+SQRT(3)*Sheet2!F$20)</f>
        <v>17.915640622236801</v>
      </c>
      <c r="E100" s="8" cm="1">
        <f t="array" aca="1" ref="E100" ca="1">[1]!UNIFORM_INV(RAND(),Sheet2!G$19-SQRT(3)*Sheet2!G$20,Sheet2!G$19+SQRT(3)*Sheet2!G$20)</f>
        <v>13.702884166178453</v>
      </c>
      <c r="F100" s="8" cm="1">
        <f t="array" aca="1" ref="F100" ca="1">[1]!UNIFORM_INV(RAND(),Sheet2!H$19-SQRT(3)*Sheet2!H$20,Sheet2!H$19+SQRT(3)*Sheet2!H$20)</f>
        <v>27.041285245467662</v>
      </c>
      <c r="G100" s="8" cm="1">
        <f t="array" aca="1" ref="G100" ca="1">[1]!UNIFORM_INV(RAND(),Sheet2!I$19-SQRT(3)*Sheet2!I$20,Sheet2!I$19+SQRT(3)*Sheet2!I$20)</f>
        <v>10.761599651026415</v>
      </c>
      <c r="H100" s="8" cm="1">
        <f t="array" aca="1" ref="H100" ca="1">[1]!UNIFORM_INV(RAND(),Sheet2!J$19-SQRT(3)*Sheet2!J$20,Sheet2!J$19+SQRT(3)*Sheet2!J$20)</f>
        <v>24.880741965640073</v>
      </c>
      <c r="I100" s="8" cm="1">
        <f t="array" aca="1" ref="I100" ca="1">[1]!UNIFORM_INV(RAND(),Sheet2!K$19-SQRT(3)*Sheet2!K$20,Sheet2!K$19+SQRT(3)*Sheet2!K$20)</f>
        <v>22.596825971999326</v>
      </c>
      <c r="J100" s="8" cm="1">
        <f t="array" aca="1" ref="J100" ca="1">[1]!UNIFORM_INV(RAND(),Sheet2!L$19-SQRT(3)*Sheet2!L$20,Sheet2!L$19+SQRT(3)*Sheet2!L$20)</f>
        <v>24.946632253600576</v>
      </c>
      <c r="K100" s="8" cm="1">
        <f t="array" aca="1" ref="K100" ca="1">[1]!UNIFORM_INV(RAND(),Sheet2!M$19-SQRT(3)*Sheet2!M$20,Sheet2!M$19+SQRT(3)*Sheet2!M$20)</f>
        <v>17.613747900032354</v>
      </c>
      <c r="L100" s="8" cm="1">
        <f t="array" aca="1" ref="L100" ca="1">[1]!UNIFORM_INV(RAND(),Sheet2!N$19-SQRT(3)*Sheet2!N$20,Sheet2!N$19+SQRT(3)*Sheet2!N$20)</f>
        <v>10.307412732407496</v>
      </c>
      <c r="M100" s="8" cm="1">
        <f t="array" aca="1" ref="M100" ca="1">[1]!UNIFORM_INV(RAND(),Sheet2!O$19-SQRT(3)*Sheet2!O$20,Sheet2!O$19+SQRT(3)*Sheet2!O$20)</f>
        <v>5.1333308430119065</v>
      </c>
      <c r="N100" s="8" cm="1">
        <f t="array" aca="1" ref="N100" ca="1">[1]!UNIFORM_INV(RAND(),Sheet2!P$19-SQRT(3)*Sheet2!P$20,Sheet2!P$19+SQRT(3)*Sheet2!P$20)</f>
        <v>25.167832433792654</v>
      </c>
      <c r="O100" s="8" cm="1">
        <f t="array" aca="1" ref="O100" ca="1">[1]!UNIFORM_INV(RAND(),Sheet2!Q$19-SQRT(3)*Sheet2!Q$20,Sheet2!Q$19+SQRT(3)*Sheet2!Q$20)</f>
        <v>11.63833850958815</v>
      </c>
      <c r="P100" s="8" cm="1">
        <f t="array" aca="1" ref="P100" ca="1">[1]!UNIFORM_INV(RAND(),Sheet2!R$19-SQRT(3)*Sheet2!R$20,Sheet2!R$19+SQRT(3)*Sheet2!R$20)</f>
        <v>5.3540340178385861</v>
      </c>
      <c r="Q100" s="8" cm="1">
        <f t="array" aca="1" ref="Q100" ca="1">[1]!UNIFORM_INV(RAND(),Sheet2!S$19-SQRT(3)*Sheet2!S$20,Sheet2!S$19+SQRT(3)*Sheet2!S$20)</f>
        <v>2.5591893061650106</v>
      </c>
      <c r="R100" s="8" cm="1">
        <f t="array" aca="1" ref="R100" ca="1">[1]!UNIFORM_INV(RAND(),Sheet2!T$19-SQRT(3)*Sheet2!T$20,Sheet2!T$19+SQRT(3)*Sheet2!T$20)</f>
        <v>18.169409544054631</v>
      </c>
      <c r="S100" s="8" cm="1">
        <f t="array" aca="1" ref="S100" ca="1">[1]!UNIFORM_INV(RAND(),Sheet2!U$19-SQRT(3)*Sheet2!U$20,Sheet2!U$19+SQRT(3)*Sheet2!U$20)</f>
        <v>13.84820362647355</v>
      </c>
      <c r="T100" s="8" cm="1">
        <f t="array" aca="1" ref="T100" ca="1">[1]!UNIFORM_INV(RAND(),Sheet2!V$19-SQRT(3)*Sheet2!V$20,Sheet2!V$19+SQRT(3)*Sheet2!V$20)</f>
        <v>21.753592604297282</v>
      </c>
      <c r="U100" s="8" cm="1">
        <f t="array" aca="1" ref="U100" ca="1">[1]!UNIFORM_INV(RAND(),Sheet2!W$19-SQRT(3)*Sheet2!W$20,Sheet2!W$19+SQRT(3)*Sheet2!W$20)</f>
        <v>23.500790054689709</v>
      </c>
      <c r="V100" s="8" cm="1">
        <f t="array" aca="1" ref="V100" ca="1">[1]!UNIFORM_INV(RAND(),Sheet2!X$19-SQRT(3)*Sheet2!X$20,Sheet2!X$19+SQRT(3)*Sheet2!X$20)</f>
        <v>25.673603059100568</v>
      </c>
      <c r="W100" s="8" cm="1">
        <f t="array" aca="1" ref="W100" ca="1">[1]!UNIFORM_INV(RAND(),Sheet2!Y$19-SQRT(3)*Sheet2!Y$20,Sheet2!Y$19+SQRT(3)*Sheet2!Y$20)</f>
        <v>23.327638492814899</v>
      </c>
      <c r="X100" s="8" cm="1">
        <f t="array" aca="1" ref="X100" ca="1">[1]!UNIFORM_INV(RAND(),Sheet2!Z$19-SQRT(3)*Sheet2!Z$20,Sheet2!Z$19+SQRT(3)*Sheet2!Z$20)</f>
        <v>6.3415057906929269</v>
      </c>
      <c r="AX100" s="7">
        <f ca="1">Sheet2!C$19+('RNG HERE'!A100-'RNG HERE'!Y$92)*Sheet2!C$20/'RNG HERE'!Y$93</f>
        <v>4.0570167246739803</v>
      </c>
      <c r="AY100" s="7">
        <f ca="1">Sheet2!D$19+('RNG HERE'!B100-'RNG HERE'!Z$92)*Sheet2!D$20/'RNG HERE'!Z$93</f>
        <v>6.0321864520869823</v>
      </c>
      <c r="AZ100" s="7">
        <f ca="1">Sheet2!E$19+('RNG HERE'!C100-'RNG HERE'!AA$92)*Sheet2!E$20/'RNG HERE'!AA$93</f>
        <v>21.568610813667025</v>
      </c>
      <c r="BA100" s="7">
        <f ca="1">Sheet2!F$19+('RNG HERE'!D100-'RNG HERE'!AB$92)*Sheet2!F$20/'RNG HERE'!AB$93</f>
        <v>18.55488461165416</v>
      </c>
      <c r="BB100" s="7">
        <f ca="1">Sheet2!G$19+('RNG HERE'!E100-'RNG HERE'!AC$92)*Sheet2!G$20/'RNG HERE'!AC$93</f>
        <v>14.079586698428573</v>
      </c>
      <c r="BC100" s="7">
        <f ca="1">Sheet2!H$19+('RNG HERE'!F100-'RNG HERE'!AD$92)*Sheet2!H$20/'RNG HERE'!AD$93</f>
        <v>26.324581056795726</v>
      </c>
      <c r="BD100" s="7">
        <f ca="1">Sheet2!I$19+('RNG HERE'!G100-'RNG HERE'!AE$92)*Sheet2!I$20/'RNG HERE'!AE$93</f>
        <v>10.842819236954305</v>
      </c>
      <c r="BE100" s="7">
        <f ca="1">Sheet2!J$19+('RNG HERE'!H100-'RNG HERE'!AF$92)*Sheet2!J$20/'RNG HERE'!AF$93</f>
        <v>24.896939631003058</v>
      </c>
      <c r="BF100" s="7">
        <f ca="1">Sheet2!K$19+('RNG HERE'!I100-'RNG HERE'!AG$92)*Sheet2!K$20/'RNG HERE'!AG$93</f>
        <v>22.907013139241933</v>
      </c>
      <c r="BG100" s="7">
        <f ca="1">Sheet2!L$19+('RNG HERE'!J100-'RNG HERE'!AH$92)*Sheet2!L$20/'RNG HERE'!AH$93</f>
        <v>24.757846089255754</v>
      </c>
      <c r="BH100" s="7">
        <f ca="1">Sheet2!M$19+('RNG HERE'!K100-'RNG HERE'!AI$92)*Sheet2!M$20/'RNG HERE'!AI$93</f>
        <v>17.732891371522932</v>
      </c>
      <c r="BI100" s="7">
        <f ca="1">Sheet2!N$19+('RNG HERE'!L100-'RNG HERE'!AJ$92)*Sheet2!N$20/'RNG HERE'!AJ$93</f>
        <v>9.9951841864459787</v>
      </c>
      <c r="BJ100" s="7">
        <f ca="1">Sheet2!O$19+('RNG HERE'!M100-'RNG HERE'!AK$92)*Sheet2!O$20/'RNG HERE'!AK$93</f>
        <v>5.1999821108669293</v>
      </c>
      <c r="BK100" s="7">
        <f ca="1">Sheet2!P$19+('RNG HERE'!N100-'RNG HERE'!AL$92)*Sheet2!P$20/'RNG HERE'!AL$93</f>
        <v>25.050380680964132</v>
      </c>
      <c r="BL100" s="7">
        <f ca="1">Sheet2!Q$19+('RNG HERE'!O100-'RNG HERE'!AM$92)*Sheet2!Q$20/'RNG HERE'!AM$93</f>
        <v>11.643283457568185</v>
      </c>
      <c r="BM100" s="7">
        <f ca="1">Sheet2!R$19+('RNG HERE'!P100-'RNG HERE'!AN$92)*Sheet2!R$20/'RNG HERE'!AN$93</f>
        <v>5.5678659157976291</v>
      </c>
      <c r="BN100" s="7">
        <f ca="1">Sheet2!S$19+('RNG HERE'!Q100-'RNG HERE'!AO$92)*Sheet2!S$20/'RNG HERE'!AO$93</f>
        <v>2.4635751774165286</v>
      </c>
      <c r="BO100" s="7">
        <f ca="1">Sheet2!T$19+('RNG HERE'!R100-'RNG HERE'!AP$92)*Sheet2!T$20/'RNG HERE'!AP$93</f>
        <v>19.260981235415993</v>
      </c>
      <c r="BP100" s="7">
        <f ca="1">Sheet2!U$19+('RNG HERE'!S100-'RNG HERE'!AQ$92)*Sheet2!U$20/'RNG HERE'!AQ$93</f>
        <v>14.139189939536493</v>
      </c>
      <c r="BQ100" s="7">
        <f ca="1">Sheet2!V$19+('RNG HERE'!T100-'RNG HERE'!AR$92)*Sheet2!V$20/'RNG HERE'!AR$93</f>
        <v>22.249031671464323</v>
      </c>
      <c r="BR100" s="7">
        <f ca="1">Sheet2!W$19+('RNG HERE'!U100-'RNG HERE'!AS$92)*Sheet2!W$20/'RNG HERE'!AS$93</f>
        <v>23.644569875711277</v>
      </c>
      <c r="BS100" s="7">
        <f ca="1">Sheet2!X$19+('RNG HERE'!V100-'RNG HERE'!AT$92)*Sheet2!X$20/'RNG HERE'!AT$93</f>
        <v>25.478909610576007</v>
      </c>
      <c r="BT100" s="7">
        <f ca="1">Sheet2!Y$19+('RNG HERE'!W100-'RNG HERE'!AU$92)*Sheet2!Y$20/'RNG HERE'!AU$93</f>
        <v>23.515718968447722</v>
      </c>
      <c r="BU100" s="7">
        <f ca="1">Sheet2!Z$19+('RNG HERE'!X100-'RNG HERE'!AV$92)*Sheet2!Z$20/'RNG HERE'!AV$93</f>
        <v>6.320898431972342</v>
      </c>
    </row>
    <row r="101" spans="1:73" x14ac:dyDescent="0.3">
      <c r="A101" s="8" cm="1">
        <f t="array" aca="1" ref="A101" ca="1">[1]!UNIFORM_INV(RAND(),Sheet2!C$19-SQRT(3)*Sheet2!C$20,Sheet2!C$19+SQRT(3)*Sheet2!C$20)</f>
        <v>1.8119657650899028</v>
      </c>
      <c r="B101" s="8" cm="1">
        <f t="array" aca="1" ref="B101" ca="1">[1]!UNIFORM_INV(RAND(),Sheet2!D$19-SQRT(3)*Sheet2!D$20,Sheet2!D$19+SQRT(3)*Sheet2!D$20)</f>
        <v>12.269122696823827</v>
      </c>
      <c r="C101" s="8" cm="1">
        <f t="array" aca="1" ref="C101" ca="1">[1]!UNIFORM_INV(RAND(),Sheet2!E$19-SQRT(3)*Sheet2!E$20,Sheet2!E$19+SQRT(3)*Sheet2!E$20)</f>
        <v>20.492745354761947</v>
      </c>
      <c r="D101" s="8" cm="1">
        <f t="array" aca="1" ref="D101" ca="1">[1]!UNIFORM_INV(RAND(),Sheet2!F$19-SQRT(3)*Sheet2!F$20,Sheet2!F$19+SQRT(3)*Sheet2!F$20)</f>
        <v>13.490781789062416</v>
      </c>
      <c r="E101" s="8" cm="1">
        <f t="array" aca="1" ref="E101" ca="1">[1]!UNIFORM_INV(RAND(),Sheet2!G$19-SQRT(3)*Sheet2!G$20,Sheet2!G$19+SQRT(3)*Sheet2!G$20)</f>
        <v>15.736049529544601</v>
      </c>
      <c r="F101" s="8" cm="1">
        <f t="array" aca="1" ref="F101" ca="1">[1]!UNIFORM_INV(RAND(),Sheet2!H$19-SQRT(3)*Sheet2!H$20,Sheet2!H$19+SQRT(3)*Sheet2!H$20)</f>
        <v>34.118467404574147</v>
      </c>
      <c r="G101" s="8" cm="1">
        <f t="array" aca="1" ref="G101" ca="1">[1]!UNIFORM_INV(RAND(),Sheet2!I$19-SQRT(3)*Sheet2!I$20,Sheet2!I$19+SQRT(3)*Sheet2!I$20)</f>
        <v>11.705586306906101</v>
      </c>
      <c r="H101" s="8" cm="1">
        <f t="array" aca="1" ref="H101" ca="1">[1]!UNIFORM_INV(RAND(),Sheet2!J$19-SQRT(3)*Sheet2!J$20,Sheet2!J$19+SQRT(3)*Sheet2!J$20)</f>
        <v>22.796144077354668</v>
      </c>
      <c r="I101" s="8" cm="1">
        <f t="array" aca="1" ref="I101" ca="1">[1]!UNIFORM_INV(RAND(),Sheet2!K$19-SQRT(3)*Sheet2!K$20,Sheet2!K$19+SQRT(3)*Sheet2!K$20)</f>
        <v>23.09358708230517</v>
      </c>
      <c r="J101" s="8" cm="1">
        <f t="array" aca="1" ref="J101" ca="1">[1]!UNIFORM_INV(RAND(),Sheet2!L$19-SQRT(3)*Sheet2!L$20,Sheet2!L$19+SQRT(3)*Sheet2!L$20)</f>
        <v>25.237334269525654</v>
      </c>
      <c r="K101" s="8" cm="1">
        <f t="array" aca="1" ref="K101" ca="1">[1]!UNIFORM_INV(RAND(),Sheet2!M$19-SQRT(3)*Sheet2!M$20,Sheet2!M$19+SQRT(3)*Sheet2!M$20)</f>
        <v>18.295769227176386</v>
      </c>
      <c r="L101" s="8" cm="1">
        <f t="array" aca="1" ref="L101" ca="1">[1]!UNIFORM_INV(RAND(),Sheet2!N$19-SQRT(3)*Sheet2!N$20,Sheet2!N$19+SQRT(3)*Sheet2!N$20)</f>
        <v>9.0415412161217539</v>
      </c>
      <c r="M101" s="8" cm="1">
        <f t="array" aca="1" ref="M101" ca="1">[1]!UNIFORM_INV(RAND(),Sheet2!O$19-SQRT(3)*Sheet2!O$20,Sheet2!O$19+SQRT(3)*Sheet2!O$20)</f>
        <v>3.3812335594266694</v>
      </c>
      <c r="N101" s="8" cm="1">
        <f t="array" aca="1" ref="N101" ca="1">[1]!UNIFORM_INV(RAND(),Sheet2!P$19-SQRT(3)*Sheet2!P$20,Sheet2!P$19+SQRT(3)*Sheet2!P$20)</f>
        <v>24.857685574876907</v>
      </c>
      <c r="O101" s="8" cm="1">
        <f t="array" aca="1" ref="O101" ca="1">[1]!UNIFORM_INV(RAND(),Sheet2!Q$19-SQRT(3)*Sheet2!Q$20,Sheet2!Q$19+SQRT(3)*Sheet2!Q$20)</f>
        <v>11.681713595225901</v>
      </c>
      <c r="P101" s="8" cm="1">
        <f t="array" aca="1" ref="P101" ca="1">[1]!UNIFORM_INV(RAND(),Sheet2!R$19-SQRT(3)*Sheet2!R$20,Sheet2!R$19+SQRT(3)*Sheet2!R$20)</f>
        <v>8.9312966604309327</v>
      </c>
      <c r="Q101" s="8" cm="1">
        <f t="array" aca="1" ref="Q101" ca="1">[1]!UNIFORM_INV(RAND(),Sheet2!S$19-SQRT(3)*Sheet2!S$20,Sheet2!S$19+SQRT(3)*Sheet2!S$20)</f>
        <v>1.6573862269289124</v>
      </c>
      <c r="R101" s="8" cm="1">
        <f t="array" aca="1" ref="R101" ca="1">[1]!UNIFORM_INV(RAND(),Sheet2!T$19-SQRT(3)*Sheet2!T$20,Sheet2!T$19+SQRT(3)*Sheet2!T$20)</f>
        <v>30.132077735552635</v>
      </c>
      <c r="S101" s="8" cm="1">
        <f t="array" aca="1" ref="S101" ca="1">[1]!UNIFORM_INV(RAND(),Sheet2!U$19-SQRT(3)*Sheet2!U$20,Sheet2!U$19+SQRT(3)*Sheet2!U$20)</f>
        <v>13.972393825116287</v>
      </c>
      <c r="T101" s="8" cm="1">
        <f t="array" aca="1" ref="T101" ca="1">[1]!UNIFORM_INV(RAND(),Sheet2!V$19-SQRT(3)*Sheet2!V$20,Sheet2!V$19+SQRT(3)*Sheet2!V$20)</f>
        <v>26.216175681740992</v>
      </c>
      <c r="U101" s="8" cm="1">
        <f t="array" aca="1" ref="U101" ca="1">[1]!UNIFORM_INV(RAND(),Sheet2!W$19-SQRT(3)*Sheet2!W$20,Sheet2!W$19+SQRT(3)*Sheet2!W$20)</f>
        <v>24.437211836787505</v>
      </c>
      <c r="V101" s="8" cm="1">
        <f t="array" aca="1" ref="V101" ca="1">[1]!UNIFORM_INV(RAND(),Sheet2!X$19-SQRT(3)*Sheet2!X$20,Sheet2!X$19+SQRT(3)*Sheet2!X$20)</f>
        <v>25.940939770343558</v>
      </c>
      <c r="W101" s="8" cm="1">
        <f t="array" aca="1" ref="W101" ca="1">[1]!UNIFORM_INV(RAND(),Sheet2!Y$19-SQRT(3)*Sheet2!Y$20,Sheet2!Y$19+SQRT(3)*Sheet2!Y$20)</f>
        <v>22.880806361900532</v>
      </c>
      <c r="X101" s="8" cm="1">
        <f t="array" aca="1" ref="X101" ca="1">[1]!UNIFORM_INV(RAND(),Sheet2!Z$19-SQRT(3)*Sheet2!Z$20,Sheet2!Z$19+SQRT(3)*Sheet2!Z$20)</f>
        <v>6.1875319711489087</v>
      </c>
      <c r="AX101" s="7">
        <f ca="1">Sheet2!C$19+('RNG HERE'!A101-'RNG HERE'!Y$92)*Sheet2!C$20/'RNG HERE'!Y$93</f>
        <v>1.9512316945728503</v>
      </c>
      <c r="AY101" s="7">
        <f ca="1">Sheet2!D$19+('RNG HERE'!B101-'RNG HERE'!Z$92)*Sheet2!D$20/'RNG HERE'!Z$93</f>
        <v>13.555758036996838</v>
      </c>
      <c r="AZ101" s="7">
        <f ca="1">Sheet2!E$19+('RNG HERE'!C101-'RNG HERE'!AA$92)*Sheet2!E$20/'RNG HERE'!AA$93</f>
        <v>20.704453124394931</v>
      </c>
      <c r="BA101" s="7">
        <f ca="1">Sheet2!F$19+('RNG HERE'!D101-'RNG HERE'!AB$92)*Sheet2!F$20/'RNG HERE'!AB$93</f>
        <v>14.21108718133469</v>
      </c>
      <c r="BB101" s="7">
        <f ca="1">Sheet2!G$19+('RNG HERE'!E101-'RNG HERE'!AC$92)*Sheet2!G$20/'RNG HERE'!AC$93</f>
        <v>16.075123346968006</v>
      </c>
      <c r="BC101" s="7">
        <f ca="1">Sheet2!H$19+('RNG HERE'!F101-'RNG HERE'!AD$92)*Sheet2!H$20/'RNG HERE'!AD$93</f>
        <v>33.439263972790656</v>
      </c>
      <c r="BD101" s="7">
        <f ca="1">Sheet2!I$19+('RNG HERE'!G101-'RNG HERE'!AE$92)*Sheet2!I$20/'RNG HERE'!AE$93</f>
        <v>11.740135487522089</v>
      </c>
      <c r="BE101" s="7">
        <f ca="1">Sheet2!J$19+('RNG HERE'!H101-'RNG HERE'!AF$92)*Sheet2!J$20/'RNG HERE'!AF$93</f>
        <v>22.664774907357732</v>
      </c>
      <c r="BF101" s="7">
        <f ca="1">Sheet2!K$19+('RNG HERE'!I101-'RNG HERE'!AG$92)*Sheet2!K$20/'RNG HERE'!AG$93</f>
        <v>23.494994302300686</v>
      </c>
      <c r="BG101" s="7">
        <f ca="1">Sheet2!L$19+('RNG HERE'!J101-'RNG HERE'!AH$92)*Sheet2!L$20/'RNG HERE'!AH$93</f>
        <v>25.071031558719351</v>
      </c>
      <c r="BH101" s="7">
        <f ca="1">Sheet2!M$19+('RNG HERE'!K101-'RNG HERE'!AI$92)*Sheet2!M$20/'RNG HERE'!AI$93</f>
        <v>18.504362016074325</v>
      </c>
      <c r="BI101" s="7">
        <f ca="1">Sheet2!N$19+('RNG HERE'!L101-'RNG HERE'!AJ$92)*Sheet2!N$20/'RNG HERE'!AJ$93</f>
        <v>8.5625736579863485</v>
      </c>
      <c r="BJ101" s="7">
        <f ca="1">Sheet2!O$19+('RNG HERE'!M101-'RNG HERE'!AK$92)*Sheet2!O$20/'RNG HERE'!AK$93</f>
        <v>2.8366314038367655</v>
      </c>
      <c r="BK101" s="7">
        <f ca="1">Sheet2!P$19+('RNG HERE'!N101-'RNG HERE'!AL$92)*Sheet2!P$20/'RNG HERE'!AL$93</f>
        <v>24.738620560280836</v>
      </c>
      <c r="BL101" s="7">
        <f ca="1">Sheet2!Q$19+('RNG HERE'!O101-'RNG HERE'!AM$92)*Sheet2!Q$20/'RNG HERE'!AM$93</f>
        <v>11.686042215893035</v>
      </c>
      <c r="BM101" s="7">
        <f ca="1">Sheet2!R$19+('RNG HERE'!P101-'RNG HERE'!AN$92)*Sheet2!R$20/'RNG HERE'!AN$93</f>
        <v>9.006477474689385</v>
      </c>
      <c r="BN101" s="7">
        <f ca="1">Sheet2!S$19+('RNG HERE'!Q101-'RNG HERE'!AO$92)*Sheet2!S$20/'RNG HERE'!AO$93</f>
        <v>1.600835024273088</v>
      </c>
      <c r="BO101" s="7">
        <f ca="1">Sheet2!T$19+('RNG HERE'!R101-'RNG HERE'!AP$92)*Sheet2!T$20/'RNG HERE'!AP$93</f>
        <v>29.707154580173309</v>
      </c>
      <c r="BP101" s="7">
        <f ca="1">Sheet2!U$19+('RNG HERE'!S101-'RNG HERE'!AQ$92)*Sheet2!U$20/'RNG HERE'!AQ$93</f>
        <v>14.265672632407416</v>
      </c>
      <c r="BQ101" s="7">
        <f ca="1">Sheet2!V$19+('RNG HERE'!T101-'RNG HERE'!AR$92)*Sheet2!V$20/'RNG HERE'!AR$93</f>
        <v>26.338234189659634</v>
      </c>
      <c r="BR101" s="7">
        <f ca="1">Sheet2!W$19+('RNG HERE'!U101-'RNG HERE'!AS$92)*Sheet2!W$20/'RNG HERE'!AS$93</f>
        <v>24.546742008796112</v>
      </c>
      <c r="BS101" s="7">
        <f ca="1">Sheet2!X$19+('RNG HERE'!V101-'RNG HERE'!AT$92)*Sheet2!X$20/'RNG HERE'!AT$93</f>
        <v>25.750331077639142</v>
      </c>
      <c r="BT101" s="7">
        <f ca="1">Sheet2!Y$19+('RNG HERE'!W101-'RNG HERE'!AU$92)*Sheet2!Y$20/'RNG HERE'!AU$93</f>
        <v>23.078761689169372</v>
      </c>
      <c r="BU101" s="7">
        <f ca="1">Sheet2!Z$19+('RNG HERE'!X101-'RNG HERE'!AV$92)*Sheet2!Z$20/'RNG HERE'!AV$93</f>
        <v>6.1559249895547978</v>
      </c>
    </row>
    <row r="102" spans="1:73" x14ac:dyDescent="0.3">
      <c r="A102" s="8" cm="1">
        <f t="array" aca="1" ref="A102" ca="1">[1]!UNIFORM_INV(RAND(),Sheet2!C$19-SQRT(3)*Sheet2!C$20,Sheet2!C$19+SQRT(3)*Sheet2!C$20)</f>
        <v>2.9699754960171592</v>
      </c>
      <c r="B102" s="8" cm="1">
        <f t="array" aca="1" ref="B102" ca="1">[1]!UNIFORM_INV(RAND(),Sheet2!D$19-SQRT(3)*Sheet2!D$20,Sheet2!D$19+SQRT(3)*Sheet2!D$20)</f>
        <v>17.054893262735181</v>
      </c>
      <c r="C102" s="8" cm="1">
        <f t="array" aca="1" ref="C102" ca="1">[1]!UNIFORM_INV(RAND(),Sheet2!E$19-SQRT(3)*Sheet2!E$20,Sheet2!E$19+SQRT(3)*Sheet2!E$20)</f>
        <v>19.548533969542444</v>
      </c>
      <c r="D102" s="8" cm="1">
        <f t="array" aca="1" ref="D102" ca="1">[1]!UNIFORM_INV(RAND(),Sheet2!F$19-SQRT(3)*Sheet2!F$20,Sheet2!F$19+SQRT(3)*Sheet2!F$20)</f>
        <v>13.604720201851006</v>
      </c>
      <c r="E102" s="8" cm="1">
        <f t="array" aca="1" ref="E102" ca="1">[1]!UNIFORM_INV(RAND(),Sheet2!G$19-SQRT(3)*Sheet2!G$20,Sheet2!G$19+SQRT(3)*Sheet2!G$20)</f>
        <v>21.345083684886514</v>
      </c>
      <c r="F102" s="8" cm="1">
        <f t="array" aca="1" ref="F102" ca="1">[1]!UNIFORM_INV(RAND(),Sheet2!H$19-SQRT(3)*Sheet2!H$20,Sheet2!H$19+SQRT(3)*Sheet2!H$20)</f>
        <v>26.615871362103462</v>
      </c>
      <c r="G102" s="8" cm="1">
        <f t="array" aca="1" ref="G102" ca="1">[1]!UNIFORM_INV(RAND(),Sheet2!I$19-SQRT(3)*Sheet2!I$20,Sheet2!I$19+SQRT(3)*Sheet2!I$20)</f>
        <v>11.40095872485832</v>
      </c>
      <c r="H102" s="8" cm="1">
        <f t="array" aca="1" ref="H102" ca="1">[1]!UNIFORM_INV(RAND(),Sheet2!J$19-SQRT(3)*Sheet2!J$20,Sheet2!J$19+SQRT(3)*Sheet2!J$20)</f>
        <v>27.542607874982654</v>
      </c>
      <c r="I102" s="8" cm="1">
        <f t="array" aca="1" ref="I102" ca="1">[1]!UNIFORM_INV(RAND(),Sheet2!K$19-SQRT(3)*Sheet2!K$20,Sheet2!K$19+SQRT(3)*Sheet2!K$20)</f>
        <v>21.755475662373662</v>
      </c>
      <c r="J102" s="8" cm="1">
        <f t="array" aca="1" ref="J102" ca="1">[1]!UNIFORM_INV(RAND(),Sheet2!L$19-SQRT(3)*Sheet2!L$20,Sheet2!L$19+SQRT(3)*Sheet2!L$20)</f>
        <v>25.728443021219359</v>
      </c>
      <c r="K102" s="8" cm="1">
        <f t="array" aca="1" ref="K102" ca="1">[1]!UNIFORM_INV(RAND(),Sheet2!M$19-SQRT(3)*Sheet2!M$20,Sheet2!M$19+SQRT(3)*Sheet2!M$20)</f>
        <v>17.085527088284508</v>
      </c>
      <c r="L102" s="8" cm="1">
        <f t="array" aca="1" ref="L102" ca="1">[1]!UNIFORM_INV(RAND(),Sheet2!N$19-SQRT(3)*Sheet2!N$20,Sheet2!N$19+SQRT(3)*Sheet2!N$20)</f>
        <v>11.092929827539322</v>
      </c>
      <c r="M102" s="8" cm="1">
        <f t="array" aca="1" ref="M102" ca="1">[1]!UNIFORM_INV(RAND(),Sheet2!O$19-SQRT(3)*Sheet2!O$20,Sheet2!O$19+SQRT(3)*Sheet2!O$20)</f>
        <v>4.2907147630803237</v>
      </c>
      <c r="N102" s="8" cm="1">
        <f t="array" aca="1" ref="N102" ca="1">[1]!UNIFORM_INV(RAND(),Sheet2!P$19-SQRT(3)*Sheet2!P$20,Sheet2!P$19+SQRT(3)*Sheet2!P$20)</f>
        <v>23.986668105681783</v>
      </c>
      <c r="O102" s="8" cm="1">
        <f t="array" aca="1" ref="O102" ca="1">[1]!UNIFORM_INV(RAND(),Sheet2!Q$19-SQRT(3)*Sheet2!Q$20,Sheet2!Q$19+SQRT(3)*Sheet2!Q$20)</f>
        <v>10.852090344536116</v>
      </c>
      <c r="P102" s="8" cm="1">
        <f t="array" aca="1" ref="P102" ca="1">[1]!UNIFORM_INV(RAND(),Sheet2!R$19-SQRT(3)*Sheet2!R$20,Sheet2!R$19+SQRT(3)*Sheet2!R$20)</f>
        <v>5.6351977831210771</v>
      </c>
      <c r="Q102" s="8" cm="1">
        <f t="array" aca="1" ref="Q102" ca="1">[1]!UNIFORM_INV(RAND(),Sheet2!S$19-SQRT(3)*Sheet2!S$20,Sheet2!S$19+SQRT(3)*Sheet2!S$20)</f>
        <v>3.6302892928797155</v>
      </c>
      <c r="R102" s="8" cm="1">
        <f t="array" aca="1" ref="R102" ca="1">[1]!UNIFORM_INV(RAND(),Sheet2!T$19-SQRT(3)*Sheet2!T$20,Sheet2!T$19+SQRT(3)*Sheet2!T$20)</f>
        <v>23.213654336047796</v>
      </c>
      <c r="S102" s="8" cm="1">
        <f t="array" aca="1" ref="S102" ca="1">[1]!UNIFORM_INV(RAND(),Sheet2!U$19-SQRT(3)*Sheet2!U$20,Sheet2!U$19+SQRT(3)*Sheet2!U$20)</f>
        <v>19.528999776643058</v>
      </c>
      <c r="T102" s="8" cm="1">
        <f t="array" aca="1" ref="T102" ca="1">[1]!UNIFORM_INV(RAND(),Sheet2!V$19-SQRT(3)*Sheet2!V$20,Sheet2!V$19+SQRT(3)*Sheet2!V$20)</f>
        <v>21.34659790102533</v>
      </c>
      <c r="U102" s="8" cm="1">
        <f t="array" aca="1" ref="U102" ca="1">[1]!UNIFORM_INV(RAND(),Sheet2!W$19-SQRT(3)*Sheet2!W$20,Sheet2!W$19+SQRT(3)*Sheet2!W$20)</f>
        <v>23.280028784448927</v>
      </c>
      <c r="V102" s="8" cm="1">
        <f t="array" aca="1" ref="V102" ca="1">[1]!UNIFORM_INV(RAND(),Sheet2!X$19-SQRT(3)*Sheet2!X$20,Sheet2!X$19+SQRT(3)*Sheet2!X$20)</f>
        <v>24.338225972036753</v>
      </c>
      <c r="W102" s="8" cm="1">
        <f t="array" aca="1" ref="W102" ca="1">[1]!UNIFORM_INV(RAND(),Sheet2!Y$19-SQRT(3)*Sheet2!Y$20,Sheet2!Y$19+SQRT(3)*Sheet2!Y$20)</f>
        <v>20.33756887705086</v>
      </c>
      <c r="X102" s="8" cm="1">
        <f t="array" aca="1" ref="X102" ca="1">[1]!UNIFORM_INV(RAND(),Sheet2!Z$19-SQRT(3)*Sheet2!Z$20,Sheet2!Z$19+SQRT(3)*Sheet2!Z$20)</f>
        <v>6.6785669143020936</v>
      </c>
      <c r="AX102" s="7">
        <f ca="1">Sheet2!C$19+('RNG HERE'!A102-'RNG HERE'!Y$92)*Sheet2!C$20/'RNG HERE'!Y$93</f>
        <v>3.0973953927020523</v>
      </c>
      <c r="AY102" s="7">
        <f ca="1">Sheet2!D$19+('RNG HERE'!B102-'RNG HERE'!Z$92)*Sheet2!D$20/'RNG HERE'!Z$93</f>
        <v>18.801744926731402</v>
      </c>
      <c r="AZ102" s="7">
        <f ca="1">Sheet2!E$19+('RNG HERE'!C102-'RNG HERE'!AA$92)*Sheet2!E$20/'RNG HERE'!AA$93</f>
        <v>19.739162962514225</v>
      </c>
      <c r="BA102" s="7">
        <f ca="1">Sheet2!F$19+('RNG HERE'!D102-'RNG HERE'!AB$92)*Sheet2!F$20/'RNG HERE'!AB$93</f>
        <v>14.322938294182666</v>
      </c>
      <c r="BB102" s="7">
        <f ca="1">Sheet2!G$19+('RNG HERE'!E102-'RNG HERE'!AC$92)*Sheet2!G$20/'RNG HERE'!AC$93</f>
        <v>21.580348559620077</v>
      </c>
      <c r="BC102" s="7">
        <f ca="1">Sheet2!H$19+('RNG HERE'!F102-'RNG HERE'!AD$92)*Sheet2!H$20/'RNG HERE'!AD$93</f>
        <v>25.896912979282167</v>
      </c>
      <c r="BD102" s="7">
        <f ca="1">Sheet2!I$19+('RNG HERE'!G102-'RNG HERE'!AE$92)*Sheet2!I$20/'RNG HERE'!AE$93</f>
        <v>11.450568597947875</v>
      </c>
      <c r="BE102" s="7">
        <f ca="1">Sheet2!J$19+('RNG HERE'!H102-'RNG HERE'!AF$92)*Sheet2!J$20/'RNG HERE'!AF$93</f>
        <v>27.747236666848039</v>
      </c>
      <c r="BF102" s="7">
        <f ca="1">Sheet2!K$19+('RNG HERE'!I102-'RNG HERE'!AG$92)*Sheet2!K$20/'RNG HERE'!AG$93</f>
        <v>21.911165993943133</v>
      </c>
      <c r="BG102" s="7">
        <f ca="1">Sheet2!L$19+('RNG HERE'!J102-'RNG HERE'!AH$92)*Sheet2!L$20/'RNG HERE'!AH$93</f>
        <v>25.600123606696467</v>
      </c>
      <c r="BH102" s="7">
        <f ca="1">Sheet2!M$19+('RNG HERE'!K102-'RNG HERE'!AI$92)*Sheet2!M$20/'RNG HERE'!AI$93</f>
        <v>17.135392680666726</v>
      </c>
      <c r="BI102" s="7">
        <f ca="1">Sheet2!N$19+('RNG HERE'!L102-'RNG HERE'!AJ$92)*Sheet2!N$20/'RNG HERE'!AJ$93</f>
        <v>10.884168610451976</v>
      </c>
      <c r="BJ102" s="7">
        <f ca="1">Sheet2!O$19+('RNG HERE'!M102-'RNG HERE'!AK$92)*Sheet2!O$20/'RNG HERE'!AK$93</f>
        <v>4.0634029226460644</v>
      </c>
      <c r="BK102" s="7">
        <f ca="1">Sheet2!P$19+('RNG HERE'!N102-'RNG HERE'!AL$92)*Sheet2!P$20/'RNG HERE'!AL$93</f>
        <v>23.863072401376872</v>
      </c>
      <c r="BL102" s="7">
        <f ca="1">Sheet2!Q$19+('RNG HERE'!O102-'RNG HERE'!AM$92)*Sheet2!Q$20/'RNG HERE'!AM$93</f>
        <v>10.868207287031289</v>
      </c>
      <c r="BM102" s="7">
        <f ca="1">Sheet2!R$19+('RNG HERE'!P102-'RNG HERE'!AN$92)*Sheet2!R$20/'RNG HERE'!AN$93</f>
        <v>5.8381320577718387</v>
      </c>
      <c r="BN102" s="7">
        <f ca="1">Sheet2!S$19+('RNG HERE'!Q102-'RNG HERE'!AO$92)*Sheet2!S$20/'RNG HERE'!AO$93</f>
        <v>3.4882788936124798</v>
      </c>
      <c r="BO102" s="7">
        <f ca="1">Sheet2!T$19+('RNG HERE'!R102-'RNG HERE'!AP$92)*Sheet2!T$20/'RNG HERE'!AP$93</f>
        <v>23.665772428069772</v>
      </c>
      <c r="BP102" s="7">
        <f ca="1">Sheet2!U$19+('RNG HERE'!S102-'RNG HERE'!AQ$92)*Sheet2!U$20/'RNG HERE'!AQ$93</f>
        <v>19.924850986679374</v>
      </c>
      <c r="BQ102" s="7">
        <f ca="1">Sheet2!V$19+('RNG HERE'!T102-'RNG HERE'!AR$92)*Sheet2!V$20/'RNG HERE'!AR$93</f>
        <v>21.876089871473191</v>
      </c>
      <c r="BR102" s="7">
        <f ca="1">Sheet2!W$19+('RNG HERE'!U102-'RNG HERE'!AS$92)*Sheet2!W$20/'RNG HERE'!AS$93</f>
        <v>23.431882954194492</v>
      </c>
      <c r="BS102" s="7">
        <f ca="1">Sheet2!X$19+('RNG HERE'!V102-'RNG HERE'!AT$92)*Sheet2!X$20/'RNG HERE'!AT$93</f>
        <v>24.123128706531311</v>
      </c>
      <c r="BT102" s="7">
        <f ca="1">Sheet2!Y$19+('RNG HERE'!W102-'RNG HERE'!AU$92)*Sheet2!Y$20/'RNG HERE'!AU$93</f>
        <v>20.591728964677156</v>
      </c>
      <c r="BU102" s="7">
        <f ca="1">Sheet2!Z$19+('RNG HERE'!X102-'RNG HERE'!AV$92)*Sheet2!Z$20/'RNG HERE'!AV$93</f>
        <v>6.6820386182170077</v>
      </c>
    </row>
    <row r="103" spans="1:73" x14ac:dyDescent="0.3">
      <c r="A103" s="8" cm="1">
        <f t="array" aca="1" ref="A103" ca="1">[1]!UNIFORM_INV(RAND(),Sheet2!C$19-SQRT(3)*Sheet2!C$20,Sheet2!C$19+SQRT(3)*Sheet2!C$20)</f>
        <v>4.2658171491760202</v>
      </c>
      <c r="B103" s="8" cm="1">
        <f t="array" aca="1" ref="B103" ca="1">[1]!UNIFORM_INV(RAND(),Sheet2!D$19-SQRT(3)*Sheet2!D$20,Sheet2!D$19+SQRT(3)*Sheet2!D$20)</f>
        <v>8.5243691213035522</v>
      </c>
      <c r="C103" s="8" cm="1">
        <f t="array" aca="1" ref="C103" ca="1">[1]!UNIFORM_INV(RAND(),Sheet2!E$19-SQRT(3)*Sheet2!E$20,Sheet2!E$19+SQRT(3)*Sheet2!E$20)</f>
        <v>23.618569790941386</v>
      </c>
      <c r="D103" s="8" cm="1">
        <f t="array" aca="1" ref="D103" ca="1">[1]!UNIFORM_INV(RAND(),Sheet2!F$19-SQRT(3)*Sheet2!F$20,Sheet2!F$19+SQRT(3)*Sheet2!F$20)</f>
        <v>15.556981141663019</v>
      </c>
      <c r="E103" s="8" cm="1">
        <f t="array" aca="1" ref="E103" ca="1">[1]!UNIFORM_INV(RAND(),Sheet2!G$19-SQRT(3)*Sheet2!G$20,Sheet2!G$19+SQRT(3)*Sheet2!G$20)</f>
        <v>15.28527446714557</v>
      </c>
      <c r="F103" s="8" cm="1">
        <f t="array" aca="1" ref="F103" ca="1">[1]!UNIFORM_INV(RAND(),Sheet2!H$19-SQRT(3)*Sheet2!H$20,Sheet2!H$19+SQRT(3)*Sheet2!H$20)</f>
        <v>26.312391718700855</v>
      </c>
      <c r="G103" s="8" cm="1">
        <f t="array" aca="1" ref="G103" ca="1">[1]!UNIFORM_INV(RAND(),Sheet2!I$19-SQRT(3)*Sheet2!I$20,Sheet2!I$19+SQRT(3)*Sheet2!I$20)</f>
        <v>10.733506385311598</v>
      </c>
      <c r="H103" s="8" cm="1">
        <f t="array" aca="1" ref="H103" ca="1">[1]!UNIFORM_INV(RAND(),Sheet2!J$19-SQRT(3)*Sheet2!J$20,Sheet2!J$19+SQRT(3)*Sheet2!J$20)</f>
        <v>26.269014813791451</v>
      </c>
      <c r="I103" s="8" cm="1">
        <f t="array" aca="1" ref="I103" ca="1">[1]!UNIFORM_INV(RAND(),Sheet2!K$19-SQRT(3)*Sheet2!K$20,Sheet2!K$19+SQRT(3)*Sheet2!K$20)</f>
        <v>23.909701537435431</v>
      </c>
      <c r="J103" s="8" cm="1">
        <f t="array" aca="1" ref="J103" ca="1">[1]!UNIFORM_INV(RAND(),Sheet2!L$19-SQRT(3)*Sheet2!L$20,Sheet2!L$19+SQRT(3)*Sheet2!L$20)</f>
        <v>24.193390788670499</v>
      </c>
      <c r="K103" s="8" cm="1">
        <f t="array" aca="1" ref="K103" ca="1">[1]!UNIFORM_INV(RAND(),Sheet2!M$19-SQRT(3)*Sheet2!M$20,Sheet2!M$19+SQRT(3)*Sheet2!M$20)</f>
        <v>17.517098147596073</v>
      </c>
      <c r="L103" s="8" cm="1">
        <f t="array" aca="1" ref="L103" ca="1">[1]!UNIFORM_INV(RAND(),Sheet2!N$19-SQRT(3)*Sheet2!N$20,Sheet2!N$19+SQRT(3)*Sheet2!N$20)</f>
        <v>7.5844304528926871</v>
      </c>
      <c r="M103" s="8" cm="1">
        <f t="array" aca="1" ref="M103" ca="1">[1]!UNIFORM_INV(RAND(),Sheet2!O$19-SQRT(3)*Sheet2!O$20,Sheet2!O$19+SQRT(3)*Sheet2!O$20)</f>
        <v>4.0268605208050934</v>
      </c>
      <c r="N103" s="8" cm="1">
        <f t="array" aca="1" ref="N103" ca="1">[1]!UNIFORM_INV(RAND(),Sheet2!P$19-SQRT(3)*Sheet2!P$20,Sheet2!P$19+SQRT(3)*Sheet2!P$20)</f>
        <v>26.789303116743184</v>
      </c>
      <c r="O103" s="8" cm="1">
        <f t="array" aca="1" ref="O103" ca="1">[1]!UNIFORM_INV(RAND(),Sheet2!Q$19-SQRT(3)*Sheet2!Q$20,Sheet2!Q$19+SQRT(3)*Sheet2!Q$20)</f>
        <v>10.179166699888889</v>
      </c>
      <c r="P103" s="8" cm="1">
        <f t="array" aca="1" ref="P103" ca="1">[1]!UNIFORM_INV(RAND(),Sheet2!R$19-SQRT(3)*Sheet2!R$20,Sheet2!R$19+SQRT(3)*Sheet2!R$20)</f>
        <v>5.2515776101005054</v>
      </c>
      <c r="Q103" s="8" cm="1">
        <f t="array" aca="1" ref="Q103" ca="1">[1]!UNIFORM_INV(RAND(),Sheet2!S$19-SQRT(3)*Sheet2!S$20,Sheet2!S$19+SQRT(3)*Sheet2!S$20)</f>
        <v>1.8033476516076159</v>
      </c>
      <c r="R103" s="8" cm="1">
        <f t="array" aca="1" ref="R103" ca="1">[1]!UNIFORM_INV(RAND(),Sheet2!T$19-SQRT(3)*Sheet2!T$20,Sheet2!T$19+SQRT(3)*Sheet2!T$20)</f>
        <v>31.776651335915012</v>
      </c>
      <c r="S103" s="8" cm="1">
        <f t="array" aca="1" ref="S103" ca="1">[1]!UNIFORM_INV(RAND(),Sheet2!U$19-SQRT(3)*Sheet2!U$20,Sheet2!U$19+SQRT(3)*Sheet2!U$20)</f>
        <v>16.64598511509941</v>
      </c>
      <c r="T103" s="8" cm="1">
        <f t="array" aca="1" ref="T103" ca="1">[1]!UNIFORM_INV(RAND(),Sheet2!V$19-SQRT(3)*Sheet2!V$20,Sheet2!V$19+SQRT(3)*Sheet2!V$20)</f>
        <v>26.251722512838146</v>
      </c>
      <c r="U103" s="8" cm="1">
        <f t="array" aca="1" ref="U103" ca="1">[1]!UNIFORM_INV(RAND(),Sheet2!W$19-SQRT(3)*Sheet2!W$20,Sheet2!W$19+SQRT(3)*Sheet2!W$20)</f>
        <v>24.224023134965716</v>
      </c>
      <c r="V103" s="8" cm="1">
        <f t="array" aca="1" ref="V103" ca="1">[1]!UNIFORM_INV(RAND(),Sheet2!X$19-SQRT(3)*Sheet2!X$20,Sheet2!X$19+SQRT(3)*Sheet2!X$20)</f>
        <v>23.644149073283678</v>
      </c>
      <c r="W103" s="8" cm="1">
        <f t="array" aca="1" ref="W103" ca="1">[1]!UNIFORM_INV(RAND(),Sheet2!Y$19-SQRT(3)*Sheet2!Y$20,Sheet2!Y$19+SQRT(3)*Sheet2!Y$20)</f>
        <v>22.474363437507524</v>
      </c>
      <c r="X103" s="8" cm="1">
        <f t="array" aca="1" ref="X103" ca="1">[1]!UNIFORM_INV(RAND(),Sheet2!Z$19-SQRT(3)*Sheet2!Z$20,Sheet2!Z$19+SQRT(3)*Sheet2!Z$20)</f>
        <v>7.2383932942889171</v>
      </c>
      <c r="AX103" s="7">
        <f ca="1">Sheet2!C$19+('RNG HERE'!A103-'RNG HERE'!Y$92)*Sheet2!C$20/'RNG HERE'!Y$93</f>
        <v>4.3799810409117033</v>
      </c>
      <c r="AY103" s="7">
        <f ca="1">Sheet2!D$19+('RNG HERE'!B103-'RNG HERE'!Z$92)*Sheet2!D$20/'RNG HERE'!Z$93</f>
        <v>9.4508959480377097</v>
      </c>
      <c r="AZ103" s="7">
        <f ca="1">Sheet2!E$19+('RNG HERE'!C103-'RNG HERE'!AA$92)*Sheet2!E$20/'RNG HERE'!AA$93</f>
        <v>23.900059133010128</v>
      </c>
      <c r="BA103" s="7">
        <f ca="1">Sheet2!F$19+('RNG HERE'!D103-'RNG HERE'!AB$92)*Sheet2!F$20/'RNG HERE'!AB$93</f>
        <v>16.239434700822788</v>
      </c>
      <c r="BB103" s="7">
        <f ca="1">Sheet2!G$19+('RNG HERE'!E103-'RNG HERE'!AC$92)*Sheet2!G$20/'RNG HERE'!AC$93</f>
        <v>15.6326909833871</v>
      </c>
      <c r="BC103" s="7">
        <f ca="1">Sheet2!H$19+('RNG HERE'!F103-'RNG HERE'!AD$92)*Sheet2!H$20/'RNG HERE'!AD$93</f>
        <v>25.591825250052182</v>
      </c>
      <c r="BD103" s="7">
        <f ca="1">Sheet2!I$19+('RNG HERE'!G103-'RNG HERE'!AE$92)*Sheet2!I$20/'RNG HERE'!AE$93</f>
        <v>10.816114893518504</v>
      </c>
      <c r="BE103" s="7">
        <f ca="1">Sheet2!J$19+('RNG HERE'!H103-'RNG HERE'!AF$92)*Sheet2!J$20/'RNG HERE'!AF$93</f>
        <v>26.383487082601484</v>
      </c>
      <c r="BF103" s="7">
        <f ca="1">Sheet2!K$19+('RNG HERE'!I103-'RNG HERE'!AG$92)*Sheet2!K$20/'RNG HERE'!AG$93</f>
        <v>24.460971542791814</v>
      </c>
      <c r="BG103" s="7">
        <f ca="1">Sheet2!L$19+('RNG HERE'!J103-'RNG HERE'!AH$92)*Sheet2!L$20/'RNG HERE'!AH$93</f>
        <v>23.946347479372101</v>
      </c>
      <c r="BH103" s="7">
        <f ca="1">Sheet2!M$19+('RNG HERE'!K103-'RNG HERE'!AI$92)*Sheet2!M$20/'RNG HERE'!AI$93</f>
        <v>17.623565689406828</v>
      </c>
      <c r="BI103" s="7">
        <f ca="1">Sheet2!N$19+('RNG HERE'!L103-'RNG HERE'!AJ$92)*Sheet2!N$20/'RNG HERE'!AJ$93</f>
        <v>6.9135340882685901</v>
      </c>
      <c r="BJ103" s="7">
        <f ca="1">Sheet2!O$19+('RNG HERE'!M103-'RNG HERE'!AK$92)*Sheet2!O$20/'RNG HERE'!AK$93</f>
        <v>3.7074979646987125</v>
      </c>
      <c r="BK103" s="7">
        <f ca="1">Sheet2!P$19+('RNG HERE'!N103-'RNG HERE'!AL$92)*Sheet2!P$20/'RNG HERE'!AL$93</f>
        <v>26.680285615575791</v>
      </c>
      <c r="BL103" s="7">
        <f ca="1">Sheet2!Q$19+('RNG HERE'!O103-'RNG HERE'!AM$92)*Sheet2!Q$20/'RNG HERE'!AM$93</f>
        <v>10.204845380778211</v>
      </c>
      <c r="BM103" s="7">
        <f ca="1">Sheet2!R$19+('RNG HERE'!P103-'RNG HERE'!AN$92)*Sheet2!R$20/'RNG HERE'!AN$93</f>
        <v>5.4693806148482462</v>
      </c>
      <c r="BN103" s="7">
        <f ca="1">Sheet2!S$19+('RNG HERE'!Q103-'RNG HERE'!AO$92)*Sheet2!S$20/'RNG HERE'!AO$93</f>
        <v>1.7404739152680153</v>
      </c>
      <c r="BO103" s="7">
        <f ca="1">Sheet2!T$19+('RNG HERE'!R103-'RNG HERE'!AP$92)*Sheet2!T$20/'RNG HERE'!AP$93</f>
        <v>31.143247317394483</v>
      </c>
      <c r="BP103" s="7">
        <f ca="1">Sheet2!U$19+('RNG HERE'!S103-'RNG HERE'!AQ$92)*Sheet2!U$20/'RNG HERE'!AQ$93</f>
        <v>16.988617193967556</v>
      </c>
      <c r="BQ103" s="7">
        <f ca="1">Sheet2!V$19+('RNG HERE'!T103-'RNG HERE'!AR$92)*Sheet2!V$20/'RNG HERE'!AR$93</f>
        <v>26.370806847403767</v>
      </c>
      <c r="BR103" s="7">
        <f ca="1">Sheet2!W$19+('RNG HERE'!U103-'RNG HERE'!AS$92)*Sheet2!W$20/'RNG HERE'!AS$93</f>
        <v>24.341350688827795</v>
      </c>
      <c r="BS103" s="7">
        <f ca="1">Sheet2!X$19+('RNG HERE'!V103-'RNG HERE'!AT$92)*Sheet2!X$20/'RNG HERE'!AT$93</f>
        <v>23.418446699940155</v>
      </c>
      <c r="BT103" s="7">
        <f ca="1">Sheet2!Y$19+('RNG HERE'!W103-'RNG HERE'!AU$92)*Sheet2!Y$20/'RNG HERE'!AU$93</f>
        <v>22.681301027463423</v>
      </c>
      <c r="BU103" s="7">
        <f ca="1">Sheet2!Z$19+('RNG HERE'!X103-'RNG HERE'!AV$92)*Sheet2!Z$20/'RNG HERE'!AV$93</f>
        <v>7.281858024763423</v>
      </c>
    </row>
    <row r="104" spans="1:73" x14ac:dyDescent="0.3">
      <c r="A104" s="8" cm="1">
        <f t="array" aca="1" ref="A104" ca="1">[1]!UNIFORM_INV(RAND(),Sheet2!C$19-SQRT(3)*Sheet2!C$20,Sheet2!C$19+SQRT(3)*Sheet2!C$20)</f>
        <v>3.7380521991199176</v>
      </c>
      <c r="B104" s="8" cm="1">
        <f t="array" aca="1" ref="B104" ca="1">[1]!UNIFORM_INV(RAND(),Sheet2!D$19-SQRT(3)*Sheet2!D$20,Sheet2!D$19+SQRT(3)*Sheet2!D$20)</f>
        <v>11.17698455762476</v>
      </c>
      <c r="C104" s="8" cm="1">
        <f t="array" aca="1" ref="C104" ca="1">[1]!UNIFORM_INV(RAND(),Sheet2!E$19-SQRT(3)*Sheet2!E$20,Sheet2!E$19+SQRT(3)*Sheet2!E$20)</f>
        <v>24.994755467883422</v>
      </c>
      <c r="D104" s="8" cm="1">
        <f t="array" aca="1" ref="D104" ca="1">[1]!UNIFORM_INV(RAND(),Sheet2!F$19-SQRT(3)*Sheet2!F$20,Sheet2!F$19+SQRT(3)*Sheet2!F$20)</f>
        <v>16.916190566002907</v>
      </c>
      <c r="E104" s="8" cm="1">
        <f t="array" aca="1" ref="E104" ca="1">[1]!UNIFORM_INV(RAND(),Sheet2!G$19-SQRT(3)*Sheet2!G$20,Sheet2!G$19+SQRT(3)*Sheet2!G$20)</f>
        <v>18.633046301418009</v>
      </c>
      <c r="F104" s="8" cm="1">
        <f t="array" aca="1" ref="F104" ca="1">[1]!UNIFORM_INV(RAND(),Sheet2!H$19-SQRT(3)*Sheet2!H$20,Sheet2!H$19+SQRT(3)*Sheet2!H$20)</f>
        <v>29.163579417022135</v>
      </c>
      <c r="G104" s="8" cm="1">
        <f t="array" aca="1" ref="G104" ca="1">[1]!UNIFORM_INV(RAND(),Sheet2!I$19-SQRT(3)*Sheet2!I$20,Sheet2!I$19+SQRT(3)*Sheet2!I$20)</f>
        <v>11.41163688378351</v>
      </c>
      <c r="H104" s="8" cm="1">
        <f t="array" aca="1" ref="H104" ca="1">[1]!UNIFORM_INV(RAND(),Sheet2!J$19-SQRT(3)*Sheet2!J$20,Sheet2!J$19+SQRT(3)*Sheet2!J$20)</f>
        <v>23.674549275331195</v>
      </c>
      <c r="I104" s="8" cm="1">
        <f t="array" aca="1" ref="I104" ca="1">[1]!UNIFORM_INV(RAND(),Sheet2!K$19-SQRT(3)*Sheet2!K$20,Sheet2!K$19+SQRT(3)*Sheet2!K$20)</f>
        <v>25.490643143496566</v>
      </c>
      <c r="J104" s="8" cm="1">
        <f t="array" aca="1" ref="J104" ca="1">[1]!UNIFORM_INV(RAND(),Sheet2!L$19-SQRT(3)*Sheet2!L$20,Sheet2!L$19+SQRT(3)*Sheet2!L$20)</f>
        <v>25.529307461916222</v>
      </c>
      <c r="K104" s="8" cm="1">
        <f t="array" aca="1" ref="K104" ca="1">[1]!UNIFORM_INV(RAND(),Sheet2!M$19-SQRT(3)*Sheet2!M$20,Sheet2!M$19+SQRT(3)*Sheet2!M$20)</f>
        <v>17.222709299178096</v>
      </c>
      <c r="L104" s="8" cm="1">
        <f t="array" aca="1" ref="L104" ca="1">[1]!UNIFORM_INV(RAND(),Sheet2!N$19-SQRT(3)*Sheet2!N$20,Sheet2!N$19+SQRT(3)*Sheet2!N$20)</f>
        <v>7.6012439975206503</v>
      </c>
      <c r="M104" s="8" cm="1">
        <f t="array" aca="1" ref="M104" ca="1">[1]!UNIFORM_INV(RAND(),Sheet2!O$19-SQRT(3)*Sheet2!O$20,Sheet2!O$19+SQRT(3)*Sheet2!O$20)</f>
        <v>3.1963371371281228</v>
      </c>
      <c r="N104" s="8" cm="1">
        <f t="array" aca="1" ref="N104" ca="1">[1]!UNIFORM_INV(RAND(),Sheet2!P$19-SQRT(3)*Sheet2!P$20,Sheet2!P$19+SQRT(3)*Sheet2!P$20)</f>
        <v>26.9315459165297</v>
      </c>
      <c r="O104" s="8" cm="1">
        <f t="array" aca="1" ref="O104" ca="1">[1]!UNIFORM_INV(RAND(),Sheet2!Q$19-SQRT(3)*Sheet2!Q$20,Sheet2!Q$19+SQRT(3)*Sheet2!Q$20)</f>
        <v>8.8575932758402587</v>
      </c>
      <c r="P104" s="8" cm="1">
        <f t="array" aca="1" ref="P104" ca="1">[1]!UNIFORM_INV(RAND(),Sheet2!R$19-SQRT(3)*Sheet2!R$20,Sheet2!R$19+SQRT(3)*Sheet2!R$20)</f>
        <v>5.0762595403575181</v>
      </c>
      <c r="Q104" s="8" cm="1">
        <f t="array" aca="1" ref="Q104" ca="1">[1]!UNIFORM_INV(RAND(),Sheet2!S$19-SQRT(3)*Sheet2!S$20,Sheet2!S$19+SQRT(3)*Sheet2!S$20)</f>
        <v>2.1594265529908472</v>
      </c>
      <c r="R104" s="8" cm="1">
        <f t="array" aca="1" ref="R104" ca="1">[1]!UNIFORM_INV(RAND(),Sheet2!T$19-SQRT(3)*Sheet2!T$20,Sheet2!T$19+SQRT(3)*Sheet2!T$20)</f>
        <v>21.436374068137592</v>
      </c>
      <c r="S104" s="8" cm="1">
        <f t="array" aca="1" ref="S104" ca="1">[1]!UNIFORM_INV(RAND(),Sheet2!U$19-SQRT(3)*Sheet2!U$20,Sheet2!U$19+SQRT(3)*Sheet2!U$20)</f>
        <v>19.337933210819351</v>
      </c>
      <c r="T104" s="8" cm="1">
        <f t="array" aca="1" ref="T104" ca="1">[1]!UNIFORM_INV(RAND(),Sheet2!V$19-SQRT(3)*Sheet2!V$20,Sheet2!V$19+SQRT(3)*Sheet2!V$20)</f>
        <v>23.449087556542398</v>
      </c>
      <c r="U104" s="8" cm="1">
        <f t="array" aca="1" ref="U104" ca="1">[1]!UNIFORM_INV(RAND(),Sheet2!W$19-SQRT(3)*Sheet2!W$20,Sheet2!W$19+SQRT(3)*Sheet2!W$20)</f>
        <v>22.051268050303431</v>
      </c>
      <c r="V104" s="8" cm="1">
        <f t="array" aca="1" ref="V104" ca="1">[1]!UNIFORM_INV(RAND(),Sheet2!X$19-SQRT(3)*Sheet2!X$20,Sheet2!X$19+SQRT(3)*Sheet2!X$20)</f>
        <v>23.942312779366915</v>
      </c>
      <c r="W104" s="8" cm="1">
        <f t="array" aca="1" ref="W104" ca="1">[1]!UNIFORM_INV(RAND(),Sheet2!Y$19-SQRT(3)*Sheet2!Y$20,Sheet2!Y$19+SQRT(3)*Sheet2!Y$20)</f>
        <v>23.385555609358939</v>
      </c>
      <c r="X104" s="8" cm="1">
        <f t="array" aca="1" ref="X104" ca="1">[1]!UNIFORM_INV(RAND(),Sheet2!Z$19-SQRT(3)*Sheet2!Z$20,Sheet2!Z$19+SQRT(3)*Sheet2!Z$20)</f>
        <v>6.1826921898275247</v>
      </c>
      <c r="AX104" s="7">
        <f ca="1">Sheet2!C$19+('RNG HERE'!A104-'RNG HERE'!Y$92)*Sheet2!C$20/'RNG HERE'!Y$93</f>
        <v>3.8576149409179594</v>
      </c>
      <c r="AY104" s="7">
        <f ca="1">Sheet2!D$19+('RNG HERE'!B104-'RNG HERE'!Z$92)*Sheet2!D$20/'RNG HERE'!Z$93</f>
        <v>12.358596100144489</v>
      </c>
      <c r="AZ104" s="7">
        <f ca="1">Sheet2!E$19+('RNG HERE'!C104-'RNG HERE'!AA$92)*Sheet2!E$20/'RNG HERE'!AA$93</f>
        <v>25.306967072977905</v>
      </c>
      <c r="BA104" s="7">
        <f ca="1">Sheet2!F$19+('RNG HERE'!D104-'RNG HERE'!AB$92)*Sheet2!F$20/'RNG HERE'!AB$93</f>
        <v>17.573744026229672</v>
      </c>
      <c r="BB104" s="7">
        <f ca="1">Sheet2!G$19+('RNG HERE'!E104-'RNG HERE'!AC$92)*Sheet2!G$20/'RNG HERE'!AC$93</f>
        <v>18.918504083792374</v>
      </c>
      <c r="BC104" s="7">
        <f ca="1">Sheet2!H$19+('RNG HERE'!F104-'RNG HERE'!AD$92)*Sheet2!H$20/'RNG HERE'!AD$93</f>
        <v>28.458120895903182</v>
      </c>
      <c r="BD104" s="7">
        <f ca="1">Sheet2!I$19+('RNG HERE'!G104-'RNG HERE'!AE$92)*Sheet2!I$20/'RNG HERE'!AE$93</f>
        <v>11.460718832032263</v>
      </c>
      <c r="BE104" s="7">
        <f ca="1">Sheet2!J$19+('RNG HERE'!H104-'RNG HERE'!AF$92)*Sheet2!J$20/'RNG HERE'!AF$93</f>
        <v>23.60536163010579</v>
      </c>
      <c r="BF104" s="7">
        <f ca="1">Sheet2!K$19+('RNG HERE'!I104-'RNG HERE'!AG$92)*Sheet2!K$20/'RNG HERE'!AG$93</f>
        <v>26.332220851513839</v>
      </c>
      <c r="BG104" s="7">
        <f ca="1">Sheet2!L$19+('RNG HERE'!J104-'RNG HERE'!AH$92)*Sheet2!L$20/'RNG HERE'!AH$93</f>
        <v>25.385586519883407</v>
      </c>
      <c r="BH104" s="7">
        <f ca="1">Sheet2!M$19+('RNG HERE'!K104-'RNG HERE'!AI$92)*Sheet2!M$20/'RNG HERE'!AI$93</f>
        <v>17.290566785122131</v>
      </c>
      <c r="BI104" s="7">
        <f ca="1">Sheet2!N$19+('RNG HERE'!L104-'RNG HERE'!AJ$92)*Sheet2!N$20/'RNG HERE'!AJ$93</f>
        <v>6.932562291956609</v>
      </c>
      <c r="BJ104" s="7">
        <f ca="1">Sheet2!O$19+('RNG HERE'!M104-'RNG HERE'!AK$92)*Sheet2!O$20/'RNG HERE'!AK$93</f>
        <v>2.5872302464578469</v>
      </c>
      <c r="BK104" s="7">
        <f ca="1">Sheet2!P$19+('RNG HERE'!N104-'RNG HERE'!AL$92)*Sheet2!P$20/'RNG HERE'!AL$93</f>
        <v>26.823268306365577</v>
      </c>
      <c r="BL104" s="7">
        <f ca="1">Sheet2!Q$19+('RNG HERE'!O104-'RNG HERE'!AM$92)*Sheet2!Q$20/'RNG HERE'!AM$93</f>
        <v>8.9020505201667994</v>
      </c>
      <c r="BM104" s="7">
        <f ca="1">Sheet2!R$19+('RNG HERE'!P104-'RNG HERE'!AN$92)*Sheet2!R$20/'RNG HERE'!AN$93</f>
        <v>5.3008576962559566</v>
      </c>
      <c r="BN104" s="7">
        <f ca="1">Sheet2!S$19+('RNG HERE'!Q104-'RNG HERE'!AO$92)*Sheet2!S$20/'RNG HERE'!AO$93</f>
        <v>2.0811287355761738</v>
      </c>
      <c r="BO104" s="7">
        <f ca="1">Sheet2!T$19+('RNG HERE'!R104-'RNG HERE'!AP$92)*Sheet2!T$20/'RNG HERE'!AP$93</f>
        <v>22.113796107770124</v>
      </c>
      <c r="BP104" s="7">
        <f ca="1">Sheet2!U$19+('RNG HERE'!S104-'RNG HERE'!AQ$92)*Sheet2!U$20/'RNG HERE'!AQ$93</f>
        <v>19.730257419496962</v>
      </c>
      <c r="BQ104" s="7">
        <f ca="1">Sheet2!V$19+('RNG HERE'!T104-'RNG HERE'!AR$92)*Sheet2!V$20/'RNG HERE'!AR$93</f>
        <v>23.802665992212859</v>
      </c>
      <c r="BR104" s="7">
        <f ca="1">Sheet2!W$19+('RNG HERE'!U104-'RNG HERE'!AS$92)*Sheet2!W$20/'RNG HERE'!AS$93</f>
        <v>22.248064173205098</v>
      </c>
      <c r="BS104" s="7">
        <f ca="1">Sheet2!X$19+('RNG HERE'!V104-'RNG HERE'!AT$92)*Sheet2!X$20/'RNG HERE'!AT$93</f>
        <v>23.721166181128563</v>
      </c>
      <c r="BT104" s="7">
        <f ca="1">Sheet2!Y$19+('RNG HERE'!W104-'RNG HERE'!AU$92)*Sheet2!Y$20/'RNG HERE'!AU$93</f>
        <v>23.572356134662567</v>
      </c>
      <c r="BU104" s="7">
        <f ca="1">Sheet2!Z$19+('RNG HERE'!X104-'RNG HERE'!AV$92)*Sheet2!Z$20/'RNG HERE'!AV$93</f>
        <v>6.1507394626418375</v>
      </c>
    </row>
    <row r="105" spans="1:73" x14ac:dyDescent="0.3">
      <c r="A105" s="8" cm="1">
        <f t="array" aca="1" ref="A105" ca="1">[1]!UNIFORM_INV(RAND(),Sheet2!C$19-SQRT(3)*Sheet2!C$20,Sheet2!C$19+SQRT(3)*Sheet2!C$20)</f>
        <v>2.4088392362265227</v>
      </c>
      <c r="B105" s="8" cm="1">
        <f t="array" aca="1" ref="B105" ca="1">[1]!UNIFORM_INV(RAND(),Sheet2!D$19-SQRT(3)*Sheet2!D$20,Sheet2!D$19+SQRT(3)*Sheet2!D$20)</f>
        <v>6.9363711000486239</v>
      </c>
      <c r="C105" s="8" cm="1">
        <f t="array" aca="1" ref="C105" ca="1">[1]!UNIFORM_INV(RAND(),Sheet2!E$19-SQRT(3)*Sheet2!E$20,Sheet2!E$19+SQRT(3)*Sheet2!E$20)</f>
        <v>23.223697379890815</v>
      </c>
      <c r="D105" s="8" cm="1">
        <f t="array" aca="1" ref="D105" ca="1">[1]!UNIFORM_INV(RAND(),Sheet2!F$19-SQRT(3)*Sheet2!F$20,Sheet2!F$19+SQRT(3)*Sheet2!F$20)</f>
        <v>16.145736105141552</v>
      </c>
      <c r="E105" s="8" cm="1">
        <f t="array" aca="1" ref="E105" ca="1">[1]!UNIFORM_INV(RAND(),Sheet2!G$19-SQRT(3)*Sheet2!G$20,Sheet2!G$19+SQRT(3)*Sheet2!G$20)</f>
        <v>12.948899124233014</v>
      </c>
      <c r="F105" s="8" cm="1">
        <f t="array" aca="1" ref="F105" ca="1">[1]!UNIFORM_INV(RAND(),Sheet2!H$19-SQRT(3)*Sheet2!H$20,Sheet2!H$19+SQRT(3)*Sheet2!H$20)</f>
        <v>35.864112419357049</v>
      </c>
      <c r="G105" s="8" cm="1">
        <f t="array" aca="1" ref="G105" ca="1">[1]!UNIFORM_INV(RAND(),Sheet2!I$19-SQRT(3)*Sheet2!I$20,Sheet2!I$19+SQRT(3)*Sheet2!I$20)</f>
        <v>13.08401914555564</v>
      </c>
      <c r="H105" s="8" cm="1">
        <f t="array" aca="1" ref="H105" ca="1">[1]!UNIFORM_INV(RAND(),Sheet2!J$19-SQRT(3)*Sheet2!J$20,Sheet2!J$19+SQRT(3)*Sheet2!J$20)</f>
        <v>25.132528967206635</v>
      </c>
      <c r="I105" s="8" cm="1">
        <f t="array" aca="1" ref="I105" ca="1">[1]!UNIFORM_INV(RAND(),Sheet2!K$19-SQRT(3)*Sheet2!K$20,Sheet2!K$19+SQRT(3)*Sheet2!K$20)</f>
        <v>23.598627916219204</v>
      </c>
      <c r="J105" s="8" cm="1">
        <f t="array" aca="1" ref="J105" ca="1">[1]!UNIFORM_INV(RAND(),Sheet2!L$19-SQRT(3)*Sheet2!L$20,Sheet2!L$19+SQRT(3)*Sheet2!L$20)</f>
        <v>22.848371990161443</v>
      </c>
      <c r="K105" s="8" cm="1">
        <f t="array" aca="1" ref="K105" ca="1">[1]!UNIFORM_INV(RAND(),Sheet2!M$19-SQRT(3)*Sheet2!M$20,Sheet2!M$19+SQRT(3)*Sheet2!M$20)</f>
        <v>17.567756252507866</v>
      </c>
      <c r="L105" s="8" cm="1">
        <f t="array" aca="1" ref="L105" ca="1">[1]!UNIFORM_INV(RAND(),Sheet2!N$19-SQRT(3)*Sheet2!N$20,Sheet2!N$19+SQRT(3)*Sheet2!N$20)</f>
        <v>5.2444546407618589</v>
      </c>
      <c r="M105" s="8" cm="1">
        <f t="array" aca="1" ref="M105" ca="1">[1]!UNIFORM_INV(RAND(),Sheet2!O$19-SQRT(3)*Sheet2!O$20,Sheet2!O$19+SQRT(3)*Sheet2!O$20)</f>
        <v>5.3256404988622013</v>
      </c>
      <c r="N105" s="8" cm="1">
        <f t="array" aca="1" ref="N105" ca="1">[1]!UNIFORM_INV(RAND(),Sheet2!P$19-SQRT(3)*Sheet2!P$20,Sheet2!P$19+SQRT(3)*Sheet2!P$20)</f>
        <v>25.606267818160827</v>
      </c>
      <c r="O105" s="8" cm="1">
        <f t="array" aca="1" ref="O105" ca="1">[1]!UNIFORM_INV(RAND(),Sheet2!Q$19-SQRT(3)*Sheet2!Q$20,Sheet2!Q$19+SQRT(3)*Sheet2!Q$20)</f>
        <v>10.185545079888831</v>
      </c>
      <c r="P105" s="8" cm="1">
        <f t="array" aca="1" ref="P105" ca="1">[1]!UNIFORM_INV(RAND(),Sheet2!R$19-SQRT(3)*Sheet2!R$20,Sheet2!R$19+SQRT(3)*Sheet2!R$20)</f>
        <v>5.6156331306246621</v>
      </c>
      <c r="Q105" s="8" cm="1">
        <f t="array" aca="1" ref="Q105" ca="1">[1]!UNIFORM_INV(RAND(),Sheet2!S$19-SQRT(3)*Sheet2!S$20,Sheet2!S$19+SQRT(3)*Sheet2!S$20)</f>
        <v>1.4560409841830941</v>
      </c>
      <c r="R105" s="8" cm="1">
        <f t="array" aca="1" ref="R105" ca="1">[1]!UNIFORM_INV(RAND(),Sheet2!T$19-SQRT(3)*Sheet2!T$20,Sheet2!T$19+SQRT(3)*Sheet2!T$20)</f>
        <v>26.316423070809545</v>
      </c>
      <c r="S105" s="8" cm="1">
        <f t="array" aca="1" ref="S105" ca="1">[1]!UNIFORM_INV(RAND(),Sheet2!U$19-SQRT(3)*Sheet2!U$20,Sheet2!U$19+SQRT(3)*Sheet2!U$20)</f>
        <v>17.687213920502515</v>
      </c>
      <c r="T105" s="8" cm="1">
        <f t="array" aca="1" ref="T105" ca="1">[1]!UNIFORM_INV(RAND(),Sheet2!V$19-SQRT(3)*Sheet2!V$20,Sheet2!V$19+SQRT(3)*Sheet2!V$20)</f>
        <v>26.238042440334169</v>
      </c>
      <c r="U105" s="8" cm="1">
        <f t="array" aca="1" ref="U105" ca="1">[1]!UNIFORM_INV(RAND(),Sheet2!W$19-SQRT(3)*Sheet2!W$20,Sheet2!W$19+SQRT(3)*Sheet2!W$20)</f>
        <v>24.501181207196048</v>
      </c>
      <c r="V105" s="8" cm="1">
        <f t="array" aca="1" ref="V105" ca="1">[1]!UNIFORM_INV(RAND(),Sheet2!X$19-SQRT(3)*Sheet2!X$20,Sheet2!X$19+SQRT(3)*Sheet2!X$20)</f>
        <v>22.414196905866991</v>
      </c>
      <c r="W105" s="8" cm="1">
        <f t="array" aca="1" ref="W105" ca="1">[1]!UNIFORM_INV(RAND(),Sheet2!Y$19-SQRT(3)*Sheet2!Y$20,Sheet2!Y$19+SQRT(3)*Sheet2!Y$20)</f>
        <v>22.576583841401089</v>
      </c>
      <c r="X105" s="8" cm="1">
        <f t="array" aca="1" ref="X105" ca="1">[1]!UNIFORM_INV(RAND(),Sheet2!Z$19-SQRT(3)*Sheet2!Z$20,Sheet2!Z$19+SQRT(3)*Sheet2!Z$20)</f>
        <v>7.5023250559939996</v>
      </c>
      <c r="AX105" s="7">
        <f ca="1">Sheet2!C$19+('RNG HERE'!A105-'RNG HERE'!Y$92)*Sheet2!C$20/'RNG HERE'!Y$93</f>
        <v>2.541999359750732</v>
      </c>
      <c r="AY105" s="7">
        <f ca="1">Sheet2!D$19+('RNG HERE'!B105-'RNG HERE'!Z$92)*Sheet2!D$20/'RNG HERE'!Z$93</f>
        <v>7.7101905202083705</v>
      </c>
      <c r="AZ105" s="7">
        <f ca="1">Sheet2!E$19+('RNG HERE'!C105-'RNG HERE'!AA$92)*Sheet2!E$20/'RNG HERE'!AA$93</f>
        <v>23.496371505904659</v>
      </c>
      <c r="BA105" s="7">
        <f ca="1">Sheet2!F$19+('RNG HERE'!D105-'RNG HERE'!AB$92)*Sheet2!F$20/'RNG HERE'!AB$93</f>
        <v>16.817403940942292</v>
      </c>
      <c r="BB105" s="7">
        <f ca="1">Sheet2!G$19+('RNG HERE'!E105-'RNG HERE'!AC$92)*Sheet2!G$20/'RNG HERE'!AC$93</f>
        <v>13.339556000108189</v>
      </c>
      <c r="BC105" s="7">
        <f ca="1">Sheet2!H$19+('RNG HERE'!F105-'RNG HERE'!AD$92)*Sheet2!H$20/'RNG HERE'!AD$93</f>
        <v>35.194158856778728</v>
      </c>
      <c r="BD105" s="7">
        <f ca="1">Sheet2!I$19+('RNG HERE'!G105-'RNG HERE'!AE$92)*Sheet2!I$20/'RNG HERE'!AE$93</f>
        <v>13.050419037329126</v>
      </c>
      <c r="BE105" s="7">
        <f ca="1">Sheet2!J$19+('RNG HERE'!H105-'RNG HERE'!AF$92)*Sheet2!J$20/'RNG HERE'!AF$93</f>
        <v>25.166550411061742</v>
      </c>
      <c r="BF105" s="7">
        <f ca="1">Sheet2!K$19+('RNG HERE'!I105-'RNG HERE'!AG$92)*Sheet2!K$20/'RNG HERE'!AG$93</f>
        <v>24.092775591448113</v>
      </c>
      <c r="BG105" s="7">
        <f ca="1">Sheet2!L$19+('RNG HERE'!J105-'RNG HERE'!AH$92)*Sheet2!L$20/'RNG HERE'!AH$93</f>
        <v>22.497302337707207</v>
      </c>
      <c r="BH105" s="7">
        <f ca="1">Sheet2!M$19+('RNG HERE'!K105-'RNG HERE'!AI$92)*Sheet2!M$20/'RNG HERE'!AI$93</f>
        <v>17.680867769697642</v>
      </c>
      <c r="BI105" s="7">
        <f ca="1">Sheet2!N$19+('RNG HERE'!L105-'RNG HERE'!AJ$92)*Sheet2!N$20/'RNG HERE'!AJ$93</f>
        <v>4.2653395901132223</v>
      </c>
      <c r="BJ105" s="7">
        <f ca="1">Sheet2!O$19+('RNG HERE'!M105-'RNG HERE'!AK$92)*Sheet2!O$20/'RNG HERE'!AK$93</f>
        <v>5.4593827533886214</v>
      </c>
      <c r="BK105" s="7">
        <f ca="1">Sheet2!P$19+('RNG HERE'!N105-'RNG HERE'!AL$92)*Sheet2!P$20/'RNG HERE'!AL$93</f>
        <v>25.491096633465784</v>
      </c>
      <c r="BL105" s="7">
        <f ca="1">Sheet2!Q$19+('RNG HERE'!O105-'RNG HERE'!AM$92)*Sheet2!Q$20/'RNG HERE'!AM$93</f>
        <v>10.211133128800183</v>
      </c>
      <c r="BM105" s="7">
        <f ca="1">Sheet2!R$19+('RNG HERE'!P105-'RNG HERE'!AN$92)*Sheet2!R$20/'RNG HERE'!AN$93</f>
        <v>5.8193257114278865</v>
      </c>
      <c r="BN105" s="7">
        <f ca="1">Sheet2!S$19+('RNG HERE'!Q105-'RNG HERE'!AO$92)*Sheet2!S$20/'RNG HERE'!AO$93</f>
        <v>1.4082113467088286</v>
      </c>
      <c r="BO105" s="7">
        <f ca="1">Sheet2!T$19+('RNG HERE'!R105-'RNG HERE'!AP$92)*Sheet2!T$20/'RNG HERE'!AP$93</f>
        <v>26.375206438372771</v>
      </c>
      <c r="BP105" s="7">
        <f ca="1">Sheet2!U$19+('RNG HERE'!S105-'RNG HERE'!AQ$92)*Sheet2!U$20/'RNG HERE'!AQ$93</f>
        <v>18.049066606573938</v>
      </c>
      <c r="BQ105" s="7">
        <f ca="1">Sheet2!V$19+('RNG HERE'!T105-'RNG HERE'!AR$92)*Sheet2!V$20/'RNG HERE'!AR$93</f>
        <v>26.358271375018926</v>
      </c>
      <c r="BR105" s="7">
        <f ca="1">Sheet2!W$19+('RNG HERE'!U105-'RNG HERE'!AS$92)*Sheet2!W$20/'RNG HERE'!AS$93</f>
        <v>24.608371697956354</v>
      </c>
      <c r="BS105" s="7">
        <f ca="1">Sheet2!X$19+('RNG HERE'!V105-'RNG HERE'!AT$92)*Sheet2!X$20/'RNG HERE'!AT$93</f>
        <v>22.169701549505923</v>
      </c>
      <c r="BT105" s="7">
        <f ca="1">Sheet2!Y$19+('RNG HERE'!W105-'RNG HERE'!AU$92)*Sheet2!Y$20/'RNG HERE'!AU$93</f>
        <v>22.781262392105361</v>
      </c>
      <c r="BU105" s="7">
        <f ca="1">Sheet2!Z$19+('RNG HERE'!X105-'RNG HERE'!AV$92)*Sheet2!Z$20/'RNG HERE'!AV$93</f>
        <v>7.5646446142028472</v>
      </c>
    </row>
    <row r="106" spans="1:73" x14ac:dyDescent="0.3">
      <c r="A106" s="8" cm="1">
        <f t="array" aca="1" ref="A106" ca="1">[1]!UNIFORM_INV(RAND(),Sheet2!C$19-SQRT(3)*Sheet2!C$20,Sheet2!C$19+SQRT(3)*Sheet2!C$20)</f>
        <v>2.6575468425968123</v>
      </c>
      <c r="B106" s="8" cm="1">
        <f t="array" aca="1" ref="B106" ca="1">[1]!UNIFORM_INV(RAND(),Sheet2!D$19-SQRT(3)*Sheet2!D$20,Sheet2!D$19+SQRT(3)*Sheet2!D$20)</f>
        <v>13.506419761874902</v>
      </c>
      <c r="C106" s="8" cm="1">
        <f t="array" aca="1" ref="C106" ca="1">[1]!UNIFORM_INV(RAND(),Sheet2!E$19-SQRT(3)*Sheet2!E$20,Sheet2!E$19+SQRT(3)*Sheet2!E$20)</f>
        <v>22.30810181421765</v>
      </c>
      <c r="D106" s="8" cm="1">
        <f t="array" aca="1" ref="D106" ca="1">[1]!UNIFORM_INV(RAND(),Sheet2!F$19-SQRT(3)*Sheet2!F$20,Sheet2!F$19+SQRT(3)*Sheet2!F$20)</f>
        <v>19.174022064743742</v>
      </c>
      <c r="E106" s="8" cm="1">
        <f t="array" aca="1" ref="E106" ca="1">[1]!UNIFORM_INV(RAND(),Sheet2!G$19-SQRT(3)*Sheet2!G$20,Sheet2!G$19+SQRT(3)*Sheet2!G$20)</f>
        <v>14.600424678218229</v>
      </c>
      <c r="F106" s="8" cm="1">
        <f t="array" aca="1" ref="F106" ca="1">[1]!UNIFORM_INV(RAND(),Sheet2!H$19-SQRT(3)*Sheet2!H$20,Sheet2!H$19+SQRT(3)*Sheet2!H$20)</f>
        <v>33.859486932682415</v>
      </c>
      <c r="G106" s="8" cm="1">
        <f t="array" aca="1" ref="G106" ca="1">[1]!UNIFORM_INV(RAND(),Sheet2!I$19-SQRT(3)*Sheet2!I$20,Sheet2!I$19+SQRT(3)*Sheet2!I$20)</f>
        <v>11.272921263483086</v>
      </c>
      <c r="H106" s="8" cm="1">
        <f t="array" aca="1" ref="H106" ca="1">[1]!UNIFORM_INV(RAND(),Sheet2!J$19-SQRT(3)*Sheet2!J$20,Sheet2!J$19+SQRT(3)*Sheet2!J$20)</f>
        <v>23.490045133952275</v>
      </c>
      <c r="I106" s="8" cm="1">
        <f t="array" aca="1" ref="I106" ca="1">[1]!UNIFORM_INV(RAND(),Sheet2!K$19-SQRT(3)*Sheet2!K$20,Sheet2!K$19+SQRT(3)*Sheet2!K$20)</f>
        <v>23.448737697782089</v>
      </c>
      <c r="J106" s="8" cm="1">
        <f t="array" aca="1" ref="J106" ca="1">[1]!UNIFORM_INV(RAND(),Sheet2!L$19-SQRT(3)*Sheet2!L$20,Sheet2!L$19+SQRT(3)*Sheet2!L$20)</f>
        <v>24.441223668631729</v>
      </c>
      <c r="K106" s="8" cm="1">
        <f t="array" aca="1" ref="K106" ca="1">[1]!UNIFORM_INV(RAND(),Sheet2!M$19-SQRT(3)*Sheet2!M$20,Sheet2!M$19+SQRT(3)*Sheet2!M$20)</f>
        <v>17.567485985260621</v>
      </c>
      <c r="L106" s="8" cm="1">
        <f t="array" aca="1" ref="L106" ca="1">[1]!UNIFORM_INV(RAND(),Sheet2!N$19-SQRT(3)*Sheet2!N$20,Sheet2!N$19+SQRT(3)*Sheet2!N$20)</f>
        <v>6.5457954790695805</v>
      </c>
      <c r="M106" s="8" cm="1">
        <f t="array" aca="1" ref="M106" ca="1">[1]!UNIFORM_INV(RAND(),Sheet2!O$19-SQRT(3)*Sheet2!O$20,Sheet2!O$19+SQRT(3)*Sheet2!O$20)</f>
        <v>4.7927793864405928</v>
      </c>
      <c r="N106" s="8" cm="1">
        <f t="array" aca="1" ref="N106" ca="1">[1]!UNIFORM_INV(RAND(),Sheet2!P$19-SQRT(3)*Sheet2!P$20,Sheet2!P$19+SQRT(3)*Sheet2!P$20)</f>
        <v>25.092841073742381</v>
      </c>
      <c r="O106" s="8" cm="1">
        <f t="array" aca="1" ref="O106" ca="1">[1]!UNIFORM_INV(RAND(),Sheet2!Q$19-SQRT(3)*Sheet2!Q$20,Sheet2!Q$19+SQRT(3)*Sheet2!Q$20)</f>
        <v>11.714103180525177</v>
      </c>
      <c r="P106" s="8" cm="1">
        <f t="array" aca="1" ref="P106" ca="1">[1]!UNIFORM_INV(RAND(),Sheet2!R$19-SQRT(3)*Sheet2!R$20,Sheet2!R$19+SQRT(3)*Sheet2!R$20)</f>
        <v>5.2207405319294056</v>
      </c>
      <c r="Q106" s="8" cm="1">
        <f t="array" aca="1" ref="Q106" ca="1">[1]!UNIFORM_INV(RAND(),Sheet2!S$19-SQRT(3)*Sheet2!S$20,Sheet2!S$19+SQRT(3)*Sheet2!S$20)</f>
        <v>2.6300899046809341</v>
      </c>
      <c r="R106" s="8" cm="1">
        <f t="array" aca="1" ref="R106" ca="1">[1]!UNIFORM_INV(RAND(),Sheet2!T$19-SQRT(3)*Sheet2!T$20,Sheet2!T$19+SQRT(3)*Sheet2!T$20)</f>
        <v>31.244566750279766</v>
      </c>
      <c r="S106" s="8" cm="1">
        <f t="array" aca="1" ref="S106" ca="1">[1]!UNIFORM_INV(RAND(),Sheet2!U$19-SQRT(3)*Sheet2!U$20,Sheet2!U$19+SQRT(3)*Sheet2!U$20)</f>
        <v>16.843007928300409</v>
      </c>
      <c r="T106" s="8" cm="1">
        <f t="array" aca="1" ref="T106" ca="1">[1]!UNIFORM_INV(RAND(),Sheet2!V$19-SQRT(3)*Sheet2!V$20,Sheet2!V$19+SQRT(3)*Sheet2!V$20)</f>
        <v>23.847972403398128</v>
      </c>
      <c r="U106" s="8" cm="1">
        <f t="array" aca="1" ref="U106" ca="1">[1]!UNIFORM_INV(RAND(),Sheet2!W$19-SQRT(3)*Sheet2!W$20,Sheet2!W$19+SQRT(3)*Sheet2!W$20)</f>
        <v>22.741030194603063</v>
      </c>
      <c r="V106" s="8" cm="1">
        <f t="array" aca="1" ref="V106" ca="1">[1]!UNIFORM_INV(RAND(),Sheet2!X$19-SQRT(3)*Sheet2!X$20,Sheet2!X$19+SQRT(3)*Sheet2!X$20)</f>
        <v>26.324689321686407</v>
      </c>
      <c r="W106" s="8" cm="1">
        <f t="array" aca="1" ref="W106" ca="1">[1]!UNIFORM_INV(RAND(),Sheet2!Y$19-SQRT(3)*Sheet2!Y$20,Sheet2!Y$19+SQRT(3)*Sheet2!Y$20)</f>
        <v>21.435005641801443</v>
      </c>
      <c r="X106" s="8" cm="1">
        <f t="array" aca="1" ref="X106" ca="1">[1]!UNIFORM_INV(RAND(),Sheet2!Z$19-SQRT(3)*Sheet2!Z$20,Sheet2!Z$19+SQRT(3)*Sheet2!Z$20)</f>
        <v>7.4463760258331568</v>
      </c>
      <c r="AX106" s="7">
        <f ca="1">Sheet2!C$19+('RNG HERE'!A106-'RNG HERE'!Y$92)*Sheet2!C$20/'RNG HERE'!Y$93</f>
        <v>2.7881627746660591</v>
      </c>
      <c r="AY106" s="7">
        <f ca="1">Sheet2!D$19+('RNG HERE'!B106-'RNG HERE'!Z$92)*Sheet2!D$20/'RNG HERE'!Z$93</f>
        <v>14.912037886306528</v>
      </c>
      <c r="AZ106" s="7">
        <f ca="1">Sheet2!E$19+('RNG HERE'!C106-'RNG HERE'!AA$92)*Sheet2!E$20/'RNG HERE'!AA$93</f>
        <v>22.560335989238606</v>
      </c>
      <c r="BA106" s="7">
        <f ca="1">Sheet2!F$19+('RNG HERE'!D106-'RNG HERE'!AB$92)*Sheet2!F$20/'RNG HERE'!AB$93</f>
        <v>19.790213078031911</v>
      </c>
      <c r="BB106" s="7">
        <f ca="1">Sheet2!G$19+('RNG HERE'!E106-'RNG HERE'!AC$92)*Sheet2!G$20/'RNG HERE'!AC$93</f>
        <v>14.960516020556549</v>
      </c>
      <c r="BC106" s="7">
        <f ca="1">Sheet2!H$19+('RNG HERE'!F106-'RNG HERE'!AD$92)*Sheet2!H$20/'RNG HERE'!AD$93</f>
        <v>33.178911208438883</v>
      </c>
      <c r="BD106" s="7">
        <f ca="1">Sheet2!I$19+('RNG HERE'!G106-'RNG HERE'!AE$92)*Sheet2!I$20/'RNG HERE'!AE$93</f>
        <v>11.328861268656892</v>
      </c>
      <c r="BE106" s="7">
        <f ca="1">Sheet2!J$19+('RNG HERE'!H106-'RNG HERE'!AF$92)*Sheet2!J$20/'RNG HERE'!AF$93</f>
        <v>23.407796604223872</v>
      </c>
      <c r="BF106" s="7">
        <f ca="1">Sheet2!K$19+('RNG HERE'!I106-'RNG HERE'!AG$92)*Sheet2!K$20/'RNG HERE'!AG$93</f>
        <v>23.915361089508693</v>
      </c>
      <c r="BG106" s="7">
        <f ca="1">Sheet2!L$19+('RNG HERE'!J106-'RNG HERE'!AH$92)*Sheet2!L$20/'RNG HERE'!AH$93</f>
        <v>24.213348231369562</v>
      </c>
      <c r="BH106" s="7">
        <f ca="1">Sheet2!M$19+('RNG HERE'!K106-'RNG HERE'!AI$92)*Sheet2!M$20/'RNG HERE'!AI$93</f>
        <v>17.680562056021053</v>
      </c>
      <c r="BI106" s="7">
        <f ca="1">Sheet2!N$19+('RNG HERE'!L106-'RNG HERE'!AJ$92)*Sheet2!N$20/'RNG HERE'!AJ$93</f>
        <v>5.7380914153097491</v>
      </c>
      <c r="BJ106" s="7">
        <f ca="1">Sheet2!O$19+('RNG HERE'!M106-'RNG HERE'!AK$92)*Sheet2!O$20/'RNG HERE'!AK$93</f>
        <v>4.7406226145602783</v>
      </c>
      <c r="BK106" s="7">
        <f ca="1">Sheet2!P$19+('RNG HERE'!N106-'RNG HERE'!AL$92)*Sheet2!P$20/'RNG HERE'!AL$93</f>
        <v>24.974999245404184</v>
      </c>
      <c r="BL106" s="7">
        <f ca="1">Sheet2!Q$19+('RNG HERE'!O106-'RNG HERE'!AM$92)*Sheet2!Q$20/'RNG HERE'!AM$93</f>
        <v>11.717971569569022</v>
      </c>
      <c r="BM106" s="7">
        <f ca="1">Sheet2!R$19+('RNG HERE'!P106-'RNG HERE'!AN$92)*Sheet2!R$20/'RNG HERE'!AN$93</f>
        <v>5.4397387506532393</v>
      </c>
      <c r="BN106" s="7">
        <f ca="1">Sheet2!S$19+('RNG HERE'!Q106-'RNG HERE'!AO$92)*Sheet2!S$20/'RNG HERE'!AO$93</f>
        <v>2.5314046122787435</v>
      </c>
      <c r="BO106" s="7">
        <f ca="1">Sheet2!T$19+('RNG HERE'!R106-'RNG HERE'!AP$92)*Sheet2!T$20/'RNG HERE'!AP$93</f>
        <v>30.678614534252553</v>
      </c>
      <c r="BP106" s="7">
        <f ca="1">Sheet2!U$19+('RNG HERE'!S106-'RNG HERE'!AQ$92)*Sheet2!U$20/'RNG HERE'!AQ$93</f>
        <v>17.189276958127817</v>
      </c>
      <c r="BQ106" s="7">
        <f ca="1">Sheet2!V$19+('RNG HERE'!T106-'RNG HERE'!AR$92)*Sheet2!V$20/'RNG HERE'!AR$93</f>
        <v>24.168176480628627</v>
      </c>
      <c r="BR106" s="7">
        <f ca="1">Sheet2!W$19+('RNG HERE'!U106-'RNG HERE'!AS$92)*Sheet2!W$20/'RNG HERE'!AS$93</f>
        <v>22.912598250626825</v>
      </c>
      <c r="BS106" s="7">
        <f ca="1">Sheet2!X$19+('RNG HERE'!V106-'RNG HERE'!AT$92)*Sheet2!X$20/'RNG HERE'!AT$93</f>
        <v>26.139944108060632</v>
      </c>
      <c r="BT106" s="7">
        <f ca="1">Sheet2!Y$19+('RNG HERE'!W106-'RNG HERE'!AU$92)*Sheet2!Y$20/'RNG HERE'!AU$93</f>
        <v>21.66491271698289</v>
      </c>
      <c r="BU106" s="7">
        <f ca="1">Sheet2!Z$19+('RNG HERE'!X106-'RNG HERE'!AV$92)*Sheet2!Z$20/'RNG HERE'!AV$93</f>
        <v>7.504698682271747</v>
      </c>
    </row>
    <row r="107" spans="1:73" x14ac:dyDescent="0.3">
      <c r="A107" s="8" cm="1">
        <f t="array" aca="1" ref="A107" ca="1">[1]!UNIFORM_INV(RAND(),Sheet2!C$19-SQRT(3)*Sheet2!C$20,Sheet2!C$19+SQRT(3)*Sheet2!C$20)</f>
        <v>2.2999835097765282</v>
      </c>
      <c r="B107" s="8" cm="1">
        <f t="array" aca="1" ref="B107" ca="1">[1]!UNIFORM_INV(RAND(),Sheet2!D$19-SQRT(3)*Sheet2!D$20,Sheet2!D$19+SQRT(3)*Sheet2!D$20)</f>
        <v>10.951461976263783</v>
      </c>
      <c r="C107" s="8" cm="1">
        <f t="array" aca="1" ref="C107" ca="1">[1]!UNIFORM_INV(RAND(),Sheet2!E$19-SQRT(3)*Sheet2!E$20,Sheet2!E$19+SQRT(3)*Sheet2!E$20)</f>
        <v>22.331237544498041</v>
      </c>
      <c r="D107" s="8" cm="1">
        <f t="array" aca="1" ref="D107" ca="1">[1]!UNIFORM_INV(RAND(),Sheet2!F$19-SQRT(3)*Sheet2!F$20,Sheet2!F$19+SQRT(3)*Sheet2!F$20)</f>
        <v>19.706046894828454</v>
      </c>
      <c r="E107" s="8" cm="1">
        <f t="array" aca="1" ref="E107" ca="1">[1]!UNIFORM_INV(RAND(),Sheet2!G$19-SQRT(3)*Sheet2!G$20,Sheet2!G$19+SQRT(3)*Sheet2!G$20)</f>
        <v>17.69405493502283</v>
      </c>
      <c r="F107" s="8" cm="1">
        <f t="array" aca="1" ref="F107" ca="1">[1]!UNIFORM_INV(RAND(),Sheet2!H$19-SQRT(3)*Sheet2!H$20,Sheet2!H$19+SQRT(3)*Sheet2!H$20)</f>
        <v>34.089652258860937</v>
      </c>
      <c r="G107" s="8" cm="1">
        <f t="array" aca="1" ref="G107" ca="1">[1]!UNIFORM_INV(RAND(),Sheet2!I$19-SQRT(3)*Sheet2!I$20,Sheet2!I$19+SQRT(3)*Sheet2!I$20)</f>
        <v>12.276575698066313</v>
      </c>
      <c r="H107" s="8" cm="1">
        <f t="array" aca="1" ref="H107" ca="1">[1]!UNIFORM_INV(RAND(),Sheet2!J$19-SQRT(3)*Sheet2!J$20,Sheet2!J$19+SQRT(3)*Sheet2!J$20)</f>
        <v>22.023942720954192</v>
      </c>
      <c r="I107" s="8" cm="1">
        <f t="array" aca="1" ref="I107" ca="1">[1]!UNIFORM_INV(RAND(),Sheet2!K$19-SQRT(3)*Sheet2!K$20,Sheet2!K$19+SQRT(3)*Sheet2!K$20)</f>
        <v>21.43146570498147</v>
      </c>
      <c r="J107" s="8" cm="1">
        <f t="array" aca="1" ref="J107" ca="1">[1]!UNIFORM_INV(RAND(),Sheet2!L$19-SQRT(3)*Sheet2!L$20,Sheet2!L$19+SQRT(3)*Sheet2!L$20)</f>
        <v>23.036096945256443</v>
      </c>
      <c r="K107" s="8" cm="1">
        <f t="array" aca="1" ref="K107" ca="1">[1]!UNIFORM_INV(RAND(),Sheet2!M$19-SQRT(3)*Sheet2!M$20,Sheet2!M$19+SQRT(3)*Sheet2!M$20)</f>
        <v>16.390978238566653</v>
      </c>
      <c r="L107" s="8" cm="1">
        <f t="array" aca="1" ref="L107" ca="1">[1]!UNIFORM_INV(RAND(),Sheet2!N$19-SQRT(3)*Sheet2!N$20,Sheet2!N$19+SQRT(3)*Sheet2!N$20)</f>
        <v>7.9971967941156956</v>
      </c>
      <c r="M107" s="8" cm="1">
        <f t="array" aca="1" ref="M107" ca="1">[1]!UNIFORM_INV(RAND(),Sheet2!O$19-SQRT(3)*Sheet2!O$20,Sheet2!O$19+SQRT(3)*Sheet2!O$20)</f>
        <v>4.8401821466725883</v>
      </c>
      <c r="N107" s="8" cm="1">
        <f t="array" aca="1" ref="N107" ca="1">[1]!UNIFORM_INV(RAND(),Sheet2!P$19-SQRT(3)*Sheet2!P$20,Sheet2!P$19+SQRT(3)*Sheet2!P$20)</f>
        <v>27.246887762928786</v>
      </c>
      <c r="O107" s="8" cm="1">
        <f t="array" aca="1" ref="O107" ca="1">[1]!UNIFORM_INV(RAND(),Sheet2!Q$19-SQRT(3)*Sheet2!Q$20,Sheet2!Q$19+SQRT(3)*Sheet2!Q$20)</f>
        <v>12.176165230669099</v>
      </c>
      <c r="P107" s="8" cm="1">
        <f t="array" aca="1" ref="P107" ca="1">[1]!UNIFORM_INV(RAND(),Sheet2!R$19-SQRT(3)*Sheet2!R$20,Sheet2!R$19+SQRT(3)*Sheet2!R$20)</f>
        <v>6.6053909655750198</v>
      </c>
      <c r="Q107" s="8" cm="1">
        <f t="array" aca="1" ref="Q107" ca="1">[1]!UNIFORM_INV(RAND(),Sheet2!S$19-SQRT(3)*Sheet2!S$20,Sheet2!S$19+SQRT(3)*Sheet2!S$20)</f>
        <v>3.6752927717701822</v>
      </c>
      <c r="R107" s="8" cm="1">
        <f t="array" aca="1" ref="R107" ca="1">[1]!UNIFORM_INV(RAND(),Sheet2!T$19-SQRT(3)*Sheet2!T$20,Sheet2!T$19+SQRT(3)*Sheet2!T$20)</f>
        <v>31.68859335012796</v>
      </c>
      <c r="S107" s="8" cm="1">
        <f t="array" aca="1" ref="S107" ca="1">[1]!UNIFORM_INV(RAND(),Sheet2!U$19-SQRT(3)*Sheet2!U$20,Sheet2!U$19+SQRT(3)*Sheet2!U$20)</f>
        <v>14.785929153088501</v>
      </c>
      <c r="T107" s="8" cm="1">
        <f t="array" aca="1" ref="T107" ca="1">[1]!UNIFORM_INV(RAND(),Sheet2!V$19-SQRT(3)*Sheet2!V$20,Sheet2!V$19+SQRT(3)*Sheet2!V$20)</f>
        <v>22.749244299512355</v>
      </c>
      <c r="U107" s="8" cm="1">
        <f t="array" aca="1" ref="U107" ca="1">[1]!UNIFORM_INV(RAND(),Sheet2!W$19-SQRT(3)*Sheet2!W$20,Sheet2!W$19+SQRT(3)*Sheet2!W$20)</f>
        <v>25.005316959090422</v>
      </c>
      <c r="V107" s="8" cm="1">
        <f t="array" aca="1" ref="V107" ca="1">[1]!UNIFORM_INV(RAND(),Sheet2!X$19-SQRT(3)*Sheet2!X$20,Sheet2!X$19+SQRT(3)*Sheet2!X$20)</f>
        <v>25.55513924077259</v>
      </c>
      <c r="W107" s="8" cm="1">
        <f t="array" aca="1" ref="W107" ca="1">[1]!UNIFORM_INV(RAND(),Sheet2!Y$19-SQRT(3)*Sheet2!Y$20,Sheet2!Y$19+SQRT(3)*Sheet2!Y$20)</f>
        <v>20.059330092057479</v>
      </c>
      <c r="X107" s="8" cm="1">
        <f t="array" aca="1" ref="X107" ca="1">[1]!UNIFORM_INV(RAND(),Sheet2!Z$19-SQRT(3)*Sheet2!Z$20,Sheet2!Z$19+SQRT(3)*Sheet2!Z$20)</f>
        <v>6.1791729577493681</v>
      </c>
      <c r="AX107" s="7">
        <f ca="1">Sheet2!C$19+('RNG HERE'!A107-'RNG HERE'!Y$92)*Sheet2!C$20/'RNG HERE'!Y$93</f>
        <v>2.434257189146896</v>
      </c>
      <c r="AY107" s="7">
        <f ca="1">Sheet2!D$19+('RNG HERE'!B107-'RNG HERE'!Z$92)*Sheet2!D$20/'RNG HERE'!Z$93</f>
        <v>12.111386483873741</v>
      </c>
      <c r="AZ107" s="7">
        <f ca="1">Sheet2!E$19+('RNG HERE'!C107-'RNG HERE'!AA$92)*Sheet2!E$20/'RNG HERE'!AA$93</f>
        <v>22.583988206503911</v>
      </c>
      <c r="BA107" s="7">
        <f ca="1">Sheet2!F$19+('RNG HERE'!D107-'RNG HERE'!AB$92)*Sheet2!F$20/'RNG HERE'!AB$93</f>
        <v>20.312491455019185</v>
      </c>
      <c r="BB107" s="7">
        <f ca="1">Sheet2!G$19+('RNG HERE'!E107-'RNG HERE'!AC$92)*Sheet2!G$20/'RNG HERE'!AC$93</f>
        <v>17.996891057097187</v>
      </c>
      <c r="BC107" s="7">
        <f ca="1">Sheet2!H$19+('RNG HERE'!F107-'RNG HERE'!AD$92)*Sheet2!H$20/'RNG HERE'!AD$93</f>
        <v>33.410296140633918</v>
      </c>
      <c r="BD107" s="7">
        <f ca="1">Sheet2!I$19+('RNG HERE'!G107-'RNG HERE'!AE$92)*Sheet2!I$20/'RNG HERE'!AE$93</f>
        <v>12.282895341592701</v>
      </c>
      <c r="BE107" s="7">
        <f ca="1">Sheet2!J$19+('RNG HERE'!H107-'RNG HERE'!AF$92)*Sheet2!J$20/'RNG HERE'!AF$93</f>
        <v>21.837910101922304</v>
      </c>
      <c r="BF107" s="7">
        <f ca="1">Sheet2!K$19+('RNG HERE'!I107-'RNG HERE'!AG$92)*Sheet2!K$20/'RNG HERE'!AG$93</f>
        <v>21.527658211957576</v>
      </c>
      <c r="BG107" s="7">
        <f ca="1">Sheet2!L$19+('RNG HERE'!J107-'RNG HERE'!AH$92)*Sheet2!L$20/'RNG HERE'!AH$93</f>
        <v>22.699546302216255</v>
      </c>
      <c r="BH107" s="7">
        <f ca="1">Sheet2!M$19+('RNG HERE'!K107-'RNG HERE'!AI$92)*Sheet2!M$20/'RNG HERE'!AI$93</f>
        <v>16.349751488172018</v>
      </c>
      <c r="BI107" s="7">
        <f ca="1">Sheet2!N$19+('RNG HERE'!L107-'RNG HERE'!AJ$92)*Sheet2!N$20/'RNG HERE'!AJ$93</f>
        <v>7.3806694954739784</v>
      </c>
      <c r="BJ107" s="7">
        <f ca="1">Sheet2!O$19+('RNG HERE'!M107-'RNG HERE'!AK$92)*Sheet2!O$20/'RNG HERE'!AK$93</f>
        <v>4.8045627553041914</v>
      </c>
      <c r="BK107" s="7">
        <f ca="1">Sheet2!P$19+('RNG HERE'!N107-'RNG HERE'!AL$92)*Sheet2!P$20/'RNG HERE'!AL$93</f>
        <v>27.140250436810362</v>
      </c>
      <c r="BL107" s="7">
        <f ca="1">Sheet2!Q$19+('RNG HERE'!O107-'RNG HERE'!AM$92)*Sheet2!Q$20/'RNG HERE'!AM$93</f>
        <v>12.17346806583401</v>
      </c>
      <c r="BM107" s="7">
        <f ca="1">Sheet2!R$19+('RNG HERE'!P107-'RNG HERE'!AN$92)*Sheet2!R$20/'RNG HERE'!AN$93</f>
        <v>6.7707215332615425</v>
      </c>
      <c r="BN107" s="7">
        <f ca="1">Sheet2!S$19+('RNG HERE'!Q107-'RNG HERE'!AO$92)*Sheet2!S$20/'RNG HERE'!AO$93</f>
        <v>3.5313329806564475</v>
      </c>
      <c r="BO107" s="7">
        <f ca="1">Sheet2!T$19+('RNG HERE'!R107-'RNG HERE'!AP$92)*Sheet2!T$20/'RNG HERE'!AP$93</f>
        <v>31.066352349716997</v>
      </c>
      <c r="BP107" s="7">
        <f ca="1">Sheet2!U$19+('RNG HERE'!S107-'RNG HERE'!AQ$92)*Sheet2!U$20/'RNG HERE'!AQ$93</f>
        <v>15.094225450199161</v>
      </c>
      <c r="BQ107" s="7">
        <f ca="1">Sheet2!V$19+('RNG HERE'!T107-'RNG HERE'!AR$92)*Sheet2!V$20/'RNG HERE'!AR$93</f>
        <v>23.161378029764755</v>
      </c>
      <c r="BR107" s="7">
        <f ca="1">Sheet2!W$19+('RNG HERE'!U107-'RNG HERE'!AS$92)*Sheet2!W$20/'RNG HERE'!AS$93</f>
        <v>25.094068672702051</v>
      </c>
      <c r="BS107" s="7">
        <f ca="1">Sheet2!X$19+('RNG HERE'!V107-'RNG HERE'!AT$92)*Sheet2!X$20/'RNG HERE'!AT$93</f>
        <v>25.358635731186297</v>
      </c>
      <c r="BT107" s="7">
        <f ca="1">Sheet2!Y$19+('RNG HERE'!W107-'RNG HERE'!AU$92)*Sheet2!Y$20/'RNG HERE'!AU$93</f>
        <v>20.319639170615947</v>
      </c>
      <c r="BU107" s="7">
        <f ca="1">Sheet2!Z$19+('RNG HERE'!X107-'RNG HERE'!AV$92)*Sheet2!Z$20/'RNG HERE'!AV$93</f>
        <v>6.1469688227218882</v>
      </c>
    </row>
    <row r="108" spans="1:73" x14ac:dyDescent="0.3">
      <c r="A108" s="8" cm="1">
        <f t="array" aca="1" ref="A108" ca="1">[1]!UNIFORM_INV(RAND(),Sheet2!C$19-SQRT(3)*Sheet2!C$20,Sheet2!C$19+SQRT(3)*Sheet2!C$20)</f>
        <v>3.9643636690043418</v>
      </c>
      <c r="B108" s="8" cm="1">
        <f t="array" aca="1" ref="B108" ca="1">[1]!UNIFORM_INV(RAND(),Sheet2!D$19-SQRT(3)*Sheet2!D$20,Sheet2!D$19+SQRT(3)*Sheet2!D$20)</f>
        <v>6.7940944938847885</v>
      </c>
      <c r="C108" s="8" cm="1">
        <f t="array" aca="1" ref="C108" ca="1">[1]!UNIFORM_INV(RAND(),Sheet2!E$19-SQRT(3)*Sheet2!E$20,Sheet2!E$19+SQRT(3)*Sheet2!E$20)</f>
        <v>23.891523218076035</v>
      </c>
      <c r="D108" s="8" cm="1">
        <f t="array" aca="1" ref="D108" ca="1">[1]!UNIFORM_INV(RAND(),Sheet2!F$19-SQRT(3)*Sheet2!F$20,Sheet2!F$19+SQRT(3)*Sheet2!F$20)</f>
        <v>15.466372292688394</v>
      </c>
      <c r="E108" s="8" cm="1">
        <f t="array" aca="1" ref="E108" ca="1">[1]!UNIFORM_INV(RAND(),Sheet2!G$19-SQRT(3)*Sheet2!G$20,Sheet2!G$19+SQRT(3)*Sheet2!G$20)</f>
        <v>18.635009957723245</v>
      </c>
      <c r="F108" s="8" cm="1">
        <f t="array" aca="1" ref="F108" ca="1">[1]!UNIFORM_INV(RAND(),Sheet2!H$19-SQRT(3)*Sheet2!H$20,Sheet2!H$19+SQRT(3)*Sheet2!H$20)</f>
        <v>35.839882801510129</v>
      </c>
      <c r="G108" s="8" cm="1">
        <f t="array" aca="1" ref="G108" ca="1">[1]!UNIFORM_INV(RAND(),Sheet2!I$19-SQRT(3)*Sheet2!I$20,Sheet2!I$19+SQRT(3)*Sheet2!I$20)</f>
        <v>12.324775768725202</v>
      </c>
      <c r="H108" s="8" cm="1">
        <f t="array" aca="1" ref="H108" ca="1">[1]!UNIFORM_INV(RAND(),Sheet2!J$19-SQRT(3)*Sheet2!J$20,Sheet2!J$19+SQRT(3)*Sheet2!J$20)</f>
        <v>23.569951442315787</v>
      </c>
      <c r="I108" s="8" cm="1">
        <f t="array" aca="1" ref="I108" ca="1">[1]!UNIFORM_INV(RAND(),Sheet2!K$19-SQRT(3)*Sheet2!K$20,Sheet2!K$19+SQRT(3)*Sheet2!K$20)</f>
        <v>24.46537706959624</v>
      </c>
      <c r="J108" s="8" cm="1">
        <f t="array" aca="1" ref="J108" ca="1">[1]!UNIFORM_INV(RAND(),Sheet2!L$19-SQRT(3)*Sheet2!L$20,Sheet2!L$19+SQRT(3)*Sheet2!L$20)</f>
        <v>24.004860206588738</v>
      </c>
      <c r="K108" s="8" cm="1">
        <f t="array" aca="1" ref="K108" ca="1">[1]!UNIFORM_INV(RAND(),Sheet2!M$19-SQRT(3)*Sheet2!M$20,Sheet2!M$19+SQRT(3)*Sheet2!M$20)</f>
        <v>17.736137873163191</v>
      </c>
      <c r="L108" s="8" cm="1">
        <f t="array" aca="1" ref="L108" ca="1">[1]!UNIFORM_INV(RAND(),Sheet2!N$19-SQRT(3)*Sheet2!N$20,Sheet2!N$19+SQRT(3)*Sheet2!N$20)</f>
        <v>5.0975186486802793</v>
      </c>
      <c r="M108" s="8" cm="1">
        <f t="array" aca="1" ref="M108" ca="1">[1]!UNIFORM_INV(RAND(),Sheet2!O$19-SQRT(3)*Sheet2!O$20,Sheet2!O$19+SQRT(3)*Sheet2!O$20)</f>
        <v>5.1301686668173634</v>
      </c>
      <c r="N108" s="8" cm="1">
        <f t="array" aca="1" ref="N108" ca="1">[1]!UNIFORM_INV(RAND(),Sheet2!P$19-SQRT(3)*Sheet2!P$20,Sheet2!P$19+SQRT(3)*Sheet2!P$20)</f>
        <v>24.472563029237385</v>
      </c>
      <c r="O108" s="8" cm="1">
        <f t="array" aca="1" ref="O108" ca="1">[1]!UNIFORM_INV(RAND(),Sheet2!Q$19-SQRT(3)*Sheet2!Q$20,Sheet2!Q$19+SQRT(3)*Sheet2!Q$20)</f>
        <v>12.118285257676664</v>
      </c>
      <c r="P108" s="8" cm="1">
        <f t="array" aca="1" ref="P108" ca="1">[1]!UNIFORM_INV(RAND(),Sheet2!R$19-SQRT(3)*Sheet2!R$20,Sheet2!R$19+SQRT(3)*Sheet2!R$20)</f>
        <v>6.033615509887043</v>
      </c>
      <c r="Q108" s="8" cm="1">
        <f t="array" aca="1" ref="Q108" ca="1">[1]!UNIFORM_INV(RAND(),Sheet2!S$19-SQRT(3)*Sheet2!S$20,Sheet2!S$19+SQRT(3)*Sheet2!S$20)</f>
        <v>3.6909544568914332</v>
      </c>
      <c r="R108" s="8" cm="1">
        <f t="array" aca="1" ref="R108" ca="1">[1]!UNIFORM_INV(RAND(),Sheet2!T$19-SQRT(3)*Sheet2!T$20,Sheet2!T$19+SQRT(3)*Sheet2!T$20)</f>
        <v>19.289206576465094</v>
      </c>
      <c r="S108" s="8" cm="1">
        <f t="array" aca="1" ref="S108" ca="1">[1]!UNIFORM_INV(RAND(),Sheet2!U$19-SQRT(3)*Sheet2!U$20,Sheet2!U$19+SQRT(3)*Sheet2!U$20)</f>
        <v>17.676389318193088</v>
      </c>
      <c r="T108" s="8" cm="1">
        <f t="array" aca="1" ref="T108" ca="1">[1]!UNIFORM_INV(RAND(),Sheet2!V$19-SQRT(3)*Sheet2!V$20,Sheet2!V$19+SQRT(3)*Sheet2!V$20)</f>
        <v>24.013171351887731</v>
      </c>
      <c r="U108" s="8" cm="1">
        <f t="array" aca="1" ref="U108" ca="1">[1]!UNIFORM_INV(RAND(),Sheet2!W$19-SQRT(3)*Sheet2!W$20,Sheet2!W$19+SQRT(3)*Sheet2!W$20)</f>
        <v>24.637826837606099</v>
      </c>
      <c r="V108" s="8" cm="1">
        <f t="array" aca="1" ref="V108" ca="1">[1]!UNIFORM_INV(RAND(),Sheet2!X$19-SQRT(3)*Sheet2!X$20,Sheet2!X$19+SQRT(3)*Sheet2!X$20)</f>
        <v>25.420113004647483</v>
      </c>
      <c r="W108" s="8" cm="1">
        <f t="array" aca="1" ref="W108" ca="1">[1]!UNIFORM_INV(RAND(),Sheet2!Y$19-SQRT(3)*Sheet2!Y$20,Sheet2!Y$19+SQRT(3)*Sheet2!Y$20)</f>
        <v>19.52733970229902</v>
      </c>
      <c r="X108" s="8" cm="1">
        <f t="array" aca="1" ref="X108" ca="1">[1]!UNIFORM_INV(RAND(),Sheet2!Z$19-SQRT(3)*Sheet2!Z$20,Sheet2!Z$19+SQRT(3)*Sheet2!Z$20)</f>
        <v>6.6534283455397434</v>
      </c>
      <c r="AX108" s="7">
        <f ca="1">Sheet2!C$19+('RNG HERE'!A108-'RNG HERE'!Y$92)*Sheet2!C$20/'RNG HERE'!Y$93</f>
        <v>4.0816113239570599</v>
      </c>
      <c r="AY108" s="7">
        <f ca="1">Sheet2!D$19+('RNG HERE'!B108-'RNG HERE'!Z$92)*Sheet2!D$20/'RNG HERE'!Z$93</f>
        <v>7.5542321013138629</v>
      </c>
      <c r="AZ108" s="7">
        <f ca="1">Sheet2!E$19+('RNG HERE'!C108-'RNG HERE'!AA$92)*Sheet2!E$20/'RNG HERE'!AA$93</f>
        <v>24.179106030759034</v>
      </c>
      <c r="BA108" s="7">
        <f ca="1">Sheet2!F$19+('RNG HERE'!D108-'RNG HERE'!AB$92)*Sheet2!F$20/'RNG HERE'!AB$93</f>
        <v>16.150485764782307</v>
      </c>
      <c r="BB108" s="7">
        <f ca="1">Sheet2!G$19+('RNG HERE'!E108-'RNG HERE'!AC$92)*Sheet2!G$20/'RNG HERE'!AC$93</f>
        <v>18.920431397818493</v>
      </c>
      <c r="BC108" s="7">
        <f ca="1">Sheet2!H$19+('RNG HERE'!F108-'RNG HERE'!AD$92)*Sheet2!H$20/'RNG HERE'!AD$93</f>
        <v>35.169800850402595</v>
      </c>
      <c r="BD108" s="7">
        <f ca="1">Sheet2!I$19+('RNG HERE'!G108-'RNG HERE'!AE$92)*Sheet2!I$20/'RNG HERE'!AE$93</f>
        <v>12.328712415818639</v>
      </c>
      <c r="BE108" s="7">
        <f ca="1">Sheet2!J$19+('RNG HERE'!H108-'RNG HERE'!AF$92)*Sheet2!J$20/'RNG HERE'!AF$93</f>
        <v>23.493359409275193</v>
      </c>
      <c r="BF108" s="7">
        <f ca="1">Sheet2!K$19+('RNG HERE'!I108-'RNG HERE'!AG$92)*Sheet2!K$20/'RNG HERE'!AG$93</f>
        <v>25.118685560465309</v>
      </c>
      <c r="BG108" s="7">
        <f ca="1">Sheet2!L$19+('RNG HERE'!J108-'RNG HERE'!AH$92)*Sheet2!L$20/'RNG HERE'!AH$93</f>
        <v>23.743235579134232</v>
      </c>
      <c r="BH108" s="7">
        <f ca="1">Sheet2!M$19+('RNG HERE'!K108-'RNG HERE'!AI$92)*Sheet2!M$20/'RNG HERE'!AI$93</f>
        <v>17.871333188076175</v>
      </c>
      <c r="BI108" s="7">
        <f ca="1">Sheet2!N$19+('RNG HERE'!L108-'RNG HERE'!AJ$92)*Sheet2!N$20/'RNG HERE'!AJ$93</f>
        <v>4.099049373011745</v>
      </c>
      <c r="BJ108" s="7">
        <f ca="1">Sheet2!O$19+('RNG HERE'!M108-'RNG HERE'!AK$92)*Sheet2!O$20/'RNG HERE'!AK$93</f>
        <v>5.1957167476276034</v>
      </c>
      <c r="BK108" s="7">
        <f ca="1">Sheet2!P$19+('RNG HERE'!N108-'RNG HERE'!AL$92)*Sheet2!P$20/'RNG HERE'!AL$93</f>
        <v>24.35149475889056</v>
      </c>
      <c r="BL108" s="7">
        <f ca="1">Sheet2!Q$19+('RNG HERE'!O108-'RNG HERE'!AM$92)*Sheet2!Q$20/'RNG HERE'!AM$93</f>
        <v>12.116410523684088</v>
      </c>
      <c r="BM108" s="7">
        <f ca="1">Sheet2!R$19+('RNG HERE'!P108-'RNG HERE'!AN$92)*Sheet2!R$20/'RNG HERE'!AN$93</f>
        <v>6.2211075162167973</v>
      </c>
      <c r="BN108" s="7">
        <f ca="1">Sheet2!S$19+('RNG HERE'!Q108-'RNG HERE'!AO$92)*Sheet2!S$20/'RNG HERE'!AO$93</f>
        <v>3.5463162568628652</v>
      </c>
      <c r="BO108" s="7">
        <f ca="1">Sheet2!T$19+('RNG HERE'!R108-'RNG HERE'!AP$92)*Sheet2!T$20/'RNG HERE'!AP$93</f>
        <v>20.238822777474155</v>
      </c>
      <c r="BP108" s="7">
        <f ca="1">Sheet2!U$19+('RNG HERE'!S108-'RNG HERE'!AQ$92)*Sheet2!U$20/'RNG HERE'!AQ$93</f>
        <v>18.038042187060032</v>
      </c>
      <c r="BQ108" s="7">
        <f ca="1">Sheet2!V$19+('RNG HERE'!T108-'RNG HERE'!AR$92)*Sheet2!V$20/'RNG HERE'!AR$93</f>
        <v>24.319553372541609</v>
      </c>
      <c r="BR108" s="7">
        <f ca="1">Sheet2!W$19+('RNG HERE'!U108-'RNG HERE'!AS$92)*Sheet2!W$20/'RNG HERE'!AS$93</f>
        <v>24.740019511175294</v>
      </c>
      <c r="BS108" s="7">
        <f ca="1">Sheet2!X$19+('RNG HERE'!V108-'RNG HERE'!AT$92)*Sheet2!X$20/'RNG HERE'!AT$93</f>
        <v>25.221546369494487</v>
      </c>
      <c r="BT108" s="7">
        <f ca="1">Sheet2!Y$19+('RNG HERE'!W108-'RNG HERE'!AU$92)*Sheet2!Y$20/'RNG HERE'!AU$93</f>
        <v>19.799405603626486</v>
      </c>
      <c r="BU108" s="7">
        <f ca="1">Sheet2!Z$19+('RNG HERE'!X108-'RNG HERE'!AV$92)*Sheet2!Z$20/'RNG HERE'!AV$93</f>
        <v>6.655104193660569</v>
      </c>
    </row>
    <row r="109" spans="1:73" x14ac:dyDescent="0.3">
      <c r="A109" s="8" cm="1">
        <f t="array" aca="1" ref="A109" ca="1">[1]!UNIFORM_INV(RAND(),Sheet2!C$19-SQRT(3)*Sheet2!C$20,Sheet2!C$19+SQRT(3)*Sheet2!C$20)</f>
        <v>2.2987310371983516</v>
      </c>
      <c r="B109" s="8" cm="1">
        <f t="array" aca="1" ref="B109" ca="1">[1]!UNIFORM_INV(RAND(),Sheet2!D$19-SQRT(3)*Sheet2!D$20,Sheet2!D$19+SQRT(3)*Sheet2!D$20)</f>
        <v>6.1717056867940494</v>
      </c>
      <c r="C109" s="8" cm="1">
        <f t="array" aca="1" ref="C109" ca="1">[1]!UNIFORM_INV(RAND(),Sheet2!E$19-SQRT(3)*Sheet2!E$20,Sheet2!E$19+SQRT(3)*Sheet2!E$20)</f>
        <v>23.941534919812977</v>
      </c>
      <c r="D109" s="8" cm="1">
        <f t="array" aca="1" ref="D109" ca="1">[1]!UNIFORM_INV(RAND(),Sheet2!F$19-SQRT(3)*Sheet2!F$20,Sheet2!F$19+SQRT(3)*Sheet2!F$20)</f>
        <v>18.419585041743339</v>
      </c>
      <c r="E109" s="8" cm="1">
        <f t="array" aca="1" ref="E109" ca="1">[1]!UNIFORM_INV(RAND(),Sheet2!G$19-SQRT(3)*Sheet2!G$20,Sheet2!G$19+SQRT(3)*Sheet2!G$20)</f>
        <v>14.604752089204021</v>
      </c>
      <c r="F109" s="8" cm="1">
        <f t="array" aca="1" ref="F109" ca="1">[1]!UNIFORM_INV(RAND(),Sheet2!H$19-SQRT(3)*Sheet2!H$20,Sheet2!H$19+SQRT(3)*Sheet2!H$20)</f>
        <v>23.339342351560649</v>
      </c>
      <c r="G109" s="8" cm="1">
        <f t="array" aca="1" ref="G109" ca="1">[1]!UNIFORM_INV(RAND(),Sheet2!I$19-SQRT(3)*Sheet2!I$20,Sheet2!I$19+SQRT(3)*Sheet2!I$20)</f>
        <v>10.728639421942065</v>
      </c>
      <c r="H109" s="8" cm="1">
        <f t="array" aca="1" ref="H109" ca="1">[1]!UNIFORM_INV(RAND(),Sheet2!J$19-SQRT(3)*Sheet2!J$20,Sheet2!J$19+SQRT(3)*Sheet2!J$20)</f>
        <v>24.163146384517525</v>
      </c>
      <c r="I109" s="8" cm="1">
        <f t="array" aca="1" ref="I109" ca="1">[1]!UNIFORM_INV(RAND(),Sheet2!K$19-SQRT(3)*Sheet2!K$20,Sheet2!K$19+SQRT(3)*Sheet2!K$20)</f>
        <v>24.167997925434683</v>
      </c>
      <c r="J109" s="8" cm="1">
        <f t="array" aca="1" ref="J109" ca="1">[1]!UNIFORM_INV(RAND(),Sheet2!L$19-SQRT(3)*Sheet2!L$20,Sheet2!L$19+SQRT(3)*Sheet2!L$20)</f>
        <v>21.164992257347826</v>
      </c>
      <c r="K109" s="8" cm="1">
        <f t="array" aca="1" ref="K109" ca="1">[1]!UNIFORM_INV(RAND(),Sheet2!M$19-SQRT(3)*Sheet2!M$20,Sheet2!M$19+SQRT(3)*Sheet2!M$20)</f>
        <v>16.424130745654267</v>
      </c>
      <c r="L109" s="8" cm="1">
        <f t="array" aca="1" ref="L109" ca="1">[1]!UNIFORM_INV(RAND(),Sheet2!N$19-SQRT(3)*Sheet2!N$20,Sheet2!N$19+SQRT(3)*Sheet2!N$20)</f>
        <v>10.504137317572733</v>
      </c>
      <c r="M109" s="8" cm="1">
        <f t="array" aca="1" ref="M109" ca="1">[1]!UNIFORM_INV(RAND(),Sheet2!O$19-SQRT(3)*Sheet2!O$20,Sheet2!O$19+SQRT(3)*Sheet2!O$20)</f>
        <v>3.4557453909971678</v>
      </c>
      <c r="N109" s="8" cm="1">
        <f t="array" aca="1" ref="N109" ca="1">[1]!UNIFORM_INV(RAND(),Sheet2!P$19-SQRT(3)*Sheet2!P$20,Sheet2!P$19+SQRT(3)*Sheet2!P$20)</f>
        <v>23.774531857539223</v>
      </c>
      <c r="O109" s="8" cm="1">
        <f t="array" aca="1" ref="O109" ca="1">[1]!UNIFORM_INV(RAND(),Sheet2!Q$19-SQRT(3)*Sheet2!Q$20,Sheet2!Q$19+SQRT(3)*Sheet2!Q$20)</f>
        <v>10.18996732115575</v>
      </c>
      <c r="P109" s="8" cm="1">
        <f t="array" aca="1" ref="P109" ca="1">[1]!UNIFORM_INV(RAND(),Sheet2!R$19-SQRT(3)*Sheet2!R$20,Sheet2!R$19+SQRT(3)*Sheet2!R$20)</f>
        <v>7.5011526638784582</v>
      </c>
      <c r="Q109" s="8" cm="1">
        <f t="array" aca="1" ref="Q109" ca="1">[1]!UNIFORM_INV(RAND(),Sheet2!S$19-SQRT(3)*Sheet2!S$20,Sheet2!S$19+SQRT(3)*Sheet2!S$20)</f>
        <v>3.3404669071039077</v>
      </c>
      <c r="R109" s="8" cm="1">
        <f t="array" aca="1" ref="R109" ca="1">[1]!UNIFORM_INV(RAND(),Sheet2!T$19-SQRT(3)*Sheet2!T$20,Sheet2!T$19+SQRT(3)*Sheet2!T$20)</f>
        <v>20.083824400389069</v>
      </c>
      <c r="S109" s="8" cm="1">
        <f t="array" aca="1" ref="S109" ca="1">[1]!UNIFORM_INV(RAND(),Sheet2!U$19-SQRT(3)*Sheet2!U$20,Sheet2!U$19+SQRT(3)*Sheet2!U$20)</f>
        <v>17.552174945266096</v>
      </c>
      <c r="T109" s="8" cm="1">
        <f t="array" aca="1" ref="T109" ca="1">[1]!UNIFORM_INV(RAND(),Sheet2!V$19-SQRT(3)*Sheet2!V$20,Sheet2!V$19+SQRT(3)*Sheet2!V$20)</f>
        <v>23.173977243195033</v>
      </c>
      <c r="U109" s="8" cm="1">
        <f t="array" aca="1" ref="U109" ca="1">[1]!UNIFORM_INV(RAND(),Sheet2!W$19-SQRT(3)*Sheet2!W$20,Sheet2!W$19+SQRT(3)*Sheet2!W$20)</f>
        <v>21.955116775345211</v>
      </c>
      <c r="V109" s="8" cm="1">
        <f t="array" aca="1" ref="V109" ca="1">[1]!UNIFORM_INV(RAND(),Sheet2!X$19-SQRT(3)*Sheet2!X$20,Sheet2!X$19+SQRT(3)*Sheet2!X$20)</f>
        <v>25.525353989825867</v>
      </c>
      <c r="W109" s="8" cm="1">
        <f t="array" aca="1" ref="W109" ca="1">[1]!UNIFORM_INV(RAND(),Sheet2!Y$19-SQRT(3)*Sheet2!Y$20,Sheet2!Y$19+SQRT(3)*Sheet2!Y$20)</f>
        <v>19.88558909984673</v>
      </c>
      <c r="X109" s="8" cm="1">
        <f t="array" aca="1" ref="X109" ca="1">[1]!UNIFORM_INV(RAND(),Sheet2!Z$19-SQRT(3)*Sheet2!Z$20,Sheet2!Z$19+SQRT(3)*Sheet2!Z$20)</f>
        <v>8.293069674331603</v>
      </c>
      <c r="AX109" s="7">
        <f ca="1">Sheet2!C$19+('RNG HERE'!A109-'RNG HERE'!Y$92)*Sheet2!C$20/'RNG HERE'!Y$93</f>
        <v>2.4330175289232647</v>
      </c>
      <c r="AY109" s="7">
        <f ca="1">Sheet2!D$19+('RNG HERE'!B109-'RNG HERE'!Z$92)*Sheet2!D$20/'RNG HERE'!Z$93</f>
        <v>6.8719922242975704</v>
      </c>
      <c r="AZ109" s="7">
        <f ca="1">Sheet2!E$19+('RNG HERE'!C109-'RNG HERE'!AA$92)*Sheet2!E$20/'RNG HERE'!AA$93</f>
        <v>24.230234204408795</v>
      </c>
      <c r="BA109" s="7">
        <f ca="1">Sheet2!F$19+('RNG HERE'!D109-'RNG HERE'!AB$92)*Sheet2!F$20/'RNG HERE'!AB$93</f>
        <v>19.049596998423329</v>
      </c>
      <c r="BB109" s="7">
        <f ca="1">Sheet2!G$19+('RNG HERE'!E109-'RNG HERE'!AC$92)*Sheet2!G$20/'RNG HERE'!AC$93</f>
        <v>14.964763342181753</v>
      </c>
      <c r="BC109" s="7">
        <f ca="1">Sheet2!H$19+('RNG HERE'!F109-'RNG HERE'!AD$92)*Sheet2!H$20/'RNG HERE'!AD$93</f>
        <v>22.603022211602127</v>
      </c>
      <c r="BD109" s="7">
        <f ca="1">Sheet2!I$19+('RNG HERE'!G109-'RNG HERE'!AE$92)*Sheet2!I$20/'RNG HERE'!AE$93</f>
        <v>10.811488551297247</v>
      </c>
      <c r="BE109" s="7">
        <f ca="1">Sheet2!J$19+('RNG HERE'!H109-'RNG HERE'!AF$92)*Sheet2!J$20/'RNG HERE'!AF$93</f>
        <v>24.128546095239187</v>
      </c>
      <c r="BF109" s="7">
        <f ca="1">Sheet2!K$19+('RNG HERE'!I109-'RNG HERE'!AG$92)*Sheet2!K$20/'RNG HERE'!AG$93</f>
        <v>24.766698797761855</v>
      </c>
      <c r="BG109" s="7">
        <f ca="1">Sheet2!L$19+('RNG HERE'!J109-'RNG HERE'!AH$92)*Sheet2!L$20/'RNG HERE'!AH$93</f>
        <v>20.683726775704162</v>
      </c>
      <c r="BH109" s="7">
        <f ca="1">Sheet2!M$19+('RNG HERE'!K109-'RNG HERE'!AI$92)*Sheet2!M$20/'RNG HERE'!AI$93</f>
        <v>16.387252054493715</v>
      </c>
      <c r="BI109" s="7">
        <f ca="1">Sheet2!N$19+('RNG HERE'!L109-'RNG HERE'!AJ$92)*Sheet2!N$20/'RNG HERE'!AJ$93</f>
        <v>10.217821087812952</v>
      </c>
      <c r="BJ109" s="7">
        <f ca="1">Sheet2!O$19+('RNG HERE'!M109-'RNG HERE'!AK$92)*Sheet2!O$20/'RNG HERE'!AK$93</f>
        <v>2.9371381459418098</v>
      </c>
      <c r="BK109" s="7">
        <f ca="1">Sheet2!P$19+('RNG HERE'!N109-'RNG HERE'!AL$92)*Sheet2!P$20/'RNG HERE'!AL$93</f>
        <v>23.649832704049512</v>
      </c>
      <c r="BL109" s="7">
        <f ca="1">Sheet2!Q$19+('RNG HERE'!O109-'RNG HERE'!AM$92)*Sheet2!Q$20/'RNG HERE'!AM$93</f>
        <v>10.21549253334789</v>
      </c>
      <c r="BM109" s="7">
        <f ca="1">Sheet2!R$19+('RNG HERE'!P109-'RNG HERE'!AN$92)*Sheet2!R$20/'RNG HERE'!AN$93</f>
        <v>7.6317644136821396</v>
      </c>
      <c r="BN109" s="7">
        <f ca="1">Sheet2!S$19+('RNG HERE'!Q109-'RNG HERE'!AO$92)*Sheet2!S$20/'RNG HERE'!AO$93</f>
        <v>3.2110105905363544</v>
      </c>
      <c r="BO109" s="7">
        <f ca="1">Sheet2!T$19+('RNG HERE'!R109-'RNG HERE'!AP$92)*Sheet2!T$20/'RNG HERE'!AP$93</f>
        <v>20.932707736804808</v>
      </c>
      <c r="BP109" s="7">
        <f ca="1">Sheet2!U$19+('RNG HERE'!S109-'RNG HERE'!AQ$92)*Sheet2!U$20/'RNG HERE'!AQ$93</f>
        <v>17.911534873658628</v>
      </c>
      <c r="BQ109" s="7">
        <f ca="1">Sheet2!V$19+('RNG HERE'!T109-'RNG HERE'!AR$92)*Sheet2!V$20/'RNG HERE'!AR$93</f>
        <v>23.550573926564194</v>
      </c>
      <c r="BR109" s="7">
        <f ca="1">Sheet2!W$19+('RNG HERE'!U109-'RNG HERE'!AS$92)*Sheet2!W$20/'RNG HERE'!AS$93</f>
        <v>22.155429633421591</v>
      </c>
      <c r="BS109" s="7">
        <f ca="1">Sheet2!X$19+('RNG HERE'!V109-'RNG HERE'!AT$92)*Sheet2!X$20/'RNG HERE'!AT$93</f>
        <v>25.328395378220129</v>
      </c>
      <c r="BT109" s="7">
        <f ca="1">Sheet2!Y$19+('RNG HERE'!W109-'RNG HERE'!AU$92)*Sheet2!Y$20/'RNG HERE'!AU$93</f>
        <v>20.149737800496979</v>
      </c>
      <c r="BU109" s="7">
        <f ca="1">Sheet2!Z$19+('RNG HERE'!X109-'RNG HERE'!AV$92)*Sheet2!Z$20/'RNG HERE'!AV$93</f>
        <v>8.4118786579293978</v>
      </c>
    </row>
    <row r="110" spans="1:73" x14ac:dyDescent="0.3">
      <c r="A110" s="8" cm="1">
        <f t="array" aca="1" ref="A110" ca="1">[1]!UNIFORM_INV(RAND(),Sheet2!C$19-SQRT(3)*Sheet2!C$20,Sheet2!C$19+SQRT(3)*Sheet2!C$20)</f>
        <v>4.1550483897702675</v>
      </c>
      <c r="B110" s="8" cm="1">
        <f t="array" aca="1" ref="B110" ca="1">[1]!UNIFORM_INV(RAND(),Sheet2!D$19-SQRT(3)*Sheet2!D$20,Sheet2!D$19+SQRT(3)*Sheet2!D$20)</f>
        <v>16.580463931842797</v>
      </c>
      <c r="C110" s="8" cm="1">
        <f t="array" aca="1" ref="C110" ca="1">[1]!UNIFORM_INV(RAND(),Sheet2!E$19-SQRT(3)*Sheet2!E$20,Sheet2!E$19+SQRT(3)*Sheet2!E$20)</f>
        <v>23.293758029160852</v>
      </c>
      <c r="D110" s="8" cm="1">
        <f t="array" aca="1" ref="D110" ca="1">[1]!UNIFORM_INV(RAND(),Sheet2!F$19-SQRT(3)*Sheet2!F$20,Sheet2!F$19+SQRT(3)*Sheet2!F$20)</f>
        <v>15.669313460281748</v>
      </c>
      <c r="E110" s="8" cm="1">
        <f t="array" aca="1" ref="E110" ca="1">[1]!UNIFORM_INV(RAND(),Sheet2!G$19-SQRT(3)*Sheet2!G$20,Sheet2!G$19+SQRT(3)*Sheet2!G$20)</f>
        <v>22.117490155910385</v>
      </c>
      <c r="F110" s="8" cm="1">
        <f t="array" aca="1" ref="F110" ca="1">[1]!UNIFORM_INV(RAND(),Sheet2!H$19-SQRT(3)*Sheet2!H$20,Sheet2!H$19+SQRT(3)*Sheet2!H$20)</f>
        <v>32.263211857764553</v>
      </c>
      <c r="G110" s="8" cm="1">
        <f t="array" aca="1" ref="G110" ca="1">[1]!UNIFORM_INV(RAND(),Sheet2!I$19-SQRT(3)*Sheet2!I$20,Sheet2!I$19+SQRT(3)*Sheet2!I$20)</f>
        <v>13.020847939569144</v>
      </c>
      <c r="H110" s="8" cm="1">
        <f t="array" aca="1" ref="H110" ca="1">[1]!UNIFORM_INV(RAND(),Sheet2!J$19-SQRT(3)*Sheet2!J$20,Sheet2!J$19+SQRT(3)*Sheet2!J$20)</f>
        <v>27.493502310211642</v>
      </c>
      <c r="I110" s="8" cm="1">
        <f t="array" aca="1" ref="I110" ca="1">[1]!UNIFORM_INV(RAND(),Sheet2!K$19-SQRT(3)*Sheet2!K$20,Sheet2!K$19+SQRT(3)*Sheet2!K$20)</f>
        <v>23.172112656172029</v>
      </c>
      <c r="J110" s="8" cm="1">
        <f t="array" aca="1" ref="J110" ca="1">[1]!UNIFORM_INV(RAND(),Sheet2!L$19-SQRT(3)*Sheet2!L$20,Sheet2!L$19+SQRT(3)*Sheet2!L$20)</f>
        <v>23.329483738450396</v>
      </c>
      <c r="K110" s="8" cm="1">
        <f t="array" aca="1" ref="K110" ca="1">[1]!UNIFORM_INV(RAND(),Sheet2!M$19-SQRT(3)*Sheet2!M$20,Sheet2!M$19+SQRT(3)*Sheet2!M$20)</f>
        <v>18.503154684148036</v>
      </c>
      <c r="L110" s="8" cm="1">
        <f t="array" aca="1" ref="L110" ca="1">[1]!UNIFORM_INV(RAND(),Sheet2!N$19-SQRT(3)*Sheet2!N$20,Sheet2!N$19+SQRT(3)*Sheet2!N$20)</f>
        <v>8.9460706478821219</v>
      </c>
      <c r="M110" s="8" cm="1">
        <f t="array" aca="1" ref="M110" ca="1">[1]!UNIFORM_INV(RAND(),Sheet2!O$19-SQRT(3)*Sheet2!O$20,Sheet2!O$19+SQRT(3)*Sheet2!O$20)</f>
        <v>4.1815012595144907</v>
      </c>
      <c r="N110" s="8" cm="1">
        <f t="array" aca="1" ref="N110" ca="1">[1]!UNIFORM_INV(RAND(),Sheet2!P$19-SQRT(3)*Sheet2!P$20,Sheet2!P$19+SQRT(3)*Sheet2!P$20)</f>
        <v>22.8135485523506</v>
      </c>
      <c r="O110" s="8" cm="1">
        <f t="array" aca="1" ref="O110" ca="1">[1]!UNIFORM_INV(RAND(),Sheet2!Q$19-SQRT(3)*Sheet2!Q$20,Sheet2!Q$19+SQRT(3)*Sheet2!Q$20)</f>
        <v>12.463427086872832</v>
      </c>
      <c r="P110" s="8" cm="1">
        <f t="array" aca="1" ref="P110" ca="1">[1]!UNIFORM_INV(RAND(),Sheet2!R$19-SQRT(3)*Sheet2!R$20,Sheet2!R$19+SQRT(3)*Sheet2!R$20)</f>
        <v>7.4979300886815121</v>
      </c>
      <c r="Q110" s="8" cm="1">
        <f t="array" aca="1" ref="Q110" ca="1">[1]!UNIFORM_INV(RAND(),Sheet2!S$19-SQRT(3)*Sheet2!S$20,Sheet2!S$19+SQRT(3)*Sheet2!S$20)</f>
        <v>4.3121551777134943</v>
      </c>
      <c r="R110" s="8" cm="1">
        <f t="array" aca="1" ref="R110" ca="1">[1]!UNIFORM_INV(RAND(),Sheet2!T$19-SQRT(3)*Sheet2!T$20,Sheet2!T$19+SQRT(3)*Sheet2!T$20)</f>
        <v>25.217460900493137</v>
      </c>
      <c r="S110" s="8" cm="1">
        <f t="array" aca="1" ref="S110" ca="1">[1]!UNIFORM_INV(RAND(),Sheet2!U$19-SQRT(3)*Sheet2!U$20,Sheet2!U$19+SQRT(3)*Sheet2!U$20)</f>
        <v>18.033050473983732</v>
      </c>
      <c r="T110" s="8" cm="1">
        <f t="array" aca="1" ref="T110" ca="1">[1]!UNIFORM_INV(RAND(),Sheet2!V$19-SQRT(3)*Sheet2!V$20,Sheet2!V$19+SQRT(3)*Sheet2!V$20)</f>
        <v>23.409834692970758</v>
      </c>
      <c r="U110" s="8" cm="1">
        <f t="array" aca="1" ref="U110" ca="1">[1]!UNIFORM_INV(RAND(),Sheet2!W$19-SQRT(3)*Sheet2!W$20,Sheet2!W$19+SQRT(3)*Sheet2!W$20)</f>
        <v>25.428912574211019</v>
      </c>
      <c r="V110" s="8" cm="1">
        <f t="array" aca="1" ref="V110" ca="1">[1]!UNIFORM_INV(RAND(),Sheet2!X$19-SQRT(3)*Sheet2!X$20,Sheet2!X$19+SQRT(3)*Sheet2!X$20)</f>
        <v>25.128752846523678</v>
      </c>
      <c r="W110" s="8" cm="1">
        <f t="array" aca="1" ref="W110" ca="1">[1]!UNIFORM_INV(RAND(),Sheet2!Y$19-SQRT(3)*Sheet2!Y$20,Sheet2!Y$19+SQRT(3)*Sheet2!Y$20)</f>
        <v>20.559434972778174</v>
      </c>
      <c r="X110" s="8" cm="1">
        <f t="array" aca="1" ref="X110" ca="1">[1]!UNIFORM_INV(RAND(),Sheet2!Z$19-SQRT(3)*Sheet2!Z$20,Sheet2!Z$19+SQRT(3)*Sheet2!Z$20)</f>
        <v>7.9929834781693119</v>
      </c>
      <c r="AX110" s="7">
        <f ca="1">Sheet2!C$19+('RNG HERE'!A110-'RNG HERE'!Y$92)*Sheet2!C$20/'RNG HERE'!Y$93</f>
        <v>4.270345407007297</v>
      </c>
      <c r="AY110" s="7">
        <f ca="1">Sheet2!D$19+('RNG HERE'!B110-'RNG HERE'!Z$92)*Sheet2!D$20/'RNG HERE'!Z$93</f>
        <v>18.281692823169472</v>
      </c>
      <c r="AZ110" s="7">
        <f ca="1">Sheet2!E$19+('RNG HERE'!C110-'RNG HERE'!AA$92)*Sheet2!E$20/'RNG HERE'!AA$93</f>
        <v>23.567996204074994</v>
      </c>
      <c r="BA110" s="7">
        <f ca="1">Sheet2!F$19+('RNG HERE'!D110-'RNG HERE'!AB$92)*Sheet2!F$20/'RNG HERE'!AB$93</f>
        <v>16.34970914241617</v>
      </c>
      <c r="BB110" s="7">
        <f ca="1">Sheet2!G$19+('RNG HERE'!E110-'RNG HERE'!AC$92)*Sheet2!G$20/'RNG HERE'!AC$93</f>
        <v>22.338459753264075</v>
      </c>
      <c r="BC110" s="7">
        <f ca="1">Sheet2!H$19+('RNG HERE'!F110-'RNG HERE'!AD$92)*Sheet2!H$20/'RNG HERE'!AD$93</f>
        <v>31.574177749638032</v>
      </c>
      <c r="BD110" s="7">
        <f ca="1">Sheet2!I$19+('RNG HERE'!G110-'RNG HERE'!AE$92)*Sheet2!I$20/'RNG HERE'!AE$93</f>
        <v>12.990370996028348</v>
      </c>
      <c r="BE110" s="7">
        <f ca="1">Sheet2!J$19+('RNG HERE'!H110-'RNG HERE'!AF$92)*Sheet2!J$20/'RNG HERE'!AF$93</f>
        <v>27.694654962706196</v>
      </c>
      <c r="BF110" s="7">
        <f ca="1">Sheet2!K$19+('RNG HERE'!I110-'RNG HERE'!AG$92)*Sheet2!K$20/'RNG HERE'!AG$93</f>
        <v>23.587939497273101</v>
      </c>
      <c r="BG110" s="7">
        <f ca="1">Sheet2!L$19+('RNG HERE'!J110-'RNG HERE'!AH$92)*Sheet2!L$20/'RNG HERE'!AH$93</f>
        <v>23.015624194791137</v>
      </c>
      <c r="BH110" s="7">
        <f ca="1">Sheet2!M$19+('RNG HERE'!K110-'RNG HERE'!AI$92)*Sheet2!M$20/'RNG HERE'!AI$93</f>
        <v>18.738946750880888</v>
      </c>
      <c r="BI110" s="7">
        <f ca="1">Sheet2!N$19+('RNG HERE'!L110-'RNG HERE'!AJ$92)*Sheet2!N$20/'RNG HERE'!AJ$93</f>
        <v>8.4545278259579693</v>
      </c>
      <c r="BJ110" s="7">
        <f ca="1">Sheet2!O$19+('RNG HERE'!M110-'RNG HERE'!AK$92)*Sheet2!O$20/'RNG HERE'!AK$93</f>
        <v>3.9160881512074637</v>
      </c>
      <c r="BK110" s="7">
        <f ca="1">Sheet2!P$19+('RNG HERE'!N110-'RNG HERE'!AL$92)*Sheet2!P$20/'RNG HERE'!AL$93</f>
        <v>22.683850742318199</v>
      </c>
      <c r="BL110" s="7">
        <f ca="1">Sheet2!Q$19+('RNG HERE'!O110-'RNG HERE'!AM$92)*Sheet2!Q$20/'RNG HERE'!AM$93</f>
        <v>12.456648147320081</v>
      </c>
      <c r="BM110" s="7">
        <f ca="1">Sheet2!R$19+('RNG HERE'!P110-'RNG HERE'!AN$92)*Sheet2!R$20/'RNG HERE'!AN$93</f>
        <v>7.6286667422420615</v>
      </c>
      <c r="BN110" s="7">
        <f ca="1">Sheet2!S$19+('RNG HERE'!Q110-'RNG HERE'!AO$92)*Sheet2!S$20/'RNG HERE'!AO$93</f>
        <v>4.1406087552526714</v>
      </c>
      <c r="BO110" s="7">
        <f ca="1">Sheet2!T$19+('RNG HERE'!R110-'RNG HERE'!AP$92)*Sheet2!T$20/'RNG HERE'!AP$93</f>
        <v>25.415558544885695</v>
      </c>
      <c r="BP110" s="7">
        <f ca="1">Sheet2!U$19+('RNG HERE'!S110-'RNG HERE'!AQ$92)*Sheet2!U$20/'RNG HERE'!AQ$93</f>
        <v>18.401287144551652</v>
      </c>
      <c r="BQ110" s="7">
        <f ca="1">Sheet2!V$19+('RNG HERE'!T110-'RNG HERE'!AR$92)*Sheet2!V$20/'RNG HERE'!AR$93</f>
        <v>23.766697382603134</v>
      </c>
      <c r="BR110" s="7">
        <f ca="1">Sheet2!W$19+('RNG HERE'!U110-'RNG HERE'!AS$92)*Sheet2!W$20/'RNG HERE'!AS$93</f>
        <v>25.502171268097275</v>
      </c>
      <c r="BS110" s="7">
        <f ca="1">Sheet2!X$19+('RNG HERE'!V110-'RNG HERE'!AT$92)*Sheet2!X$20/'RNG HERE'!AT$93</f>
        <v>24.925734390683125</v>
      </c>
      <c r="BT110" s="7">
        <f ca="1">Sheet2!Y$19+('RNG HERE'!W110-'RNG HERE'!AU$92)*Sheet2!Y$20/'RNG HERE'!AU$93</f>
        <v>20.80869188843721</v>
      </c>
      <c r="BU110" s="7">
        <f ca="1">Sheet2!Z$19+('RNG HERE'!X110-'RNG HERE'!AV$92)*Sheet2!Z$20/'RNG HERE'!AV$93</f>
        <v>8.0903548238809329</v>
      </c>
    </row>
    <row r="111" spans="1:73" x14ac:dyDescent="0.3">
      <c r="A111" s="8" cm="1">
        <f t="array" aca="1" ref="A111" ca="1">[1]!UNIFORM_INV(RAND(),Sheet2!C$19-SQRT(3)*Sheet2!C$20,Sheet2!C$19+SQRT(3)*Sheet2!C$20)</f>
        <v>3.1655208497306622</v>
      </c>
      <c r="B111" s="8" cm="1">
        <f t="array" aca="1" ref="B111" ca="1">[1]!UNIFORM_INV(RAND(),Sheet2!D$19-SQRT(3)*Sheet2!D$20,Sheet2!D$19+SQRT(3)*Sheet2!D$20)</f>
        <v>9.1258472178891257</v>
      </c>
      <c r="C111" s="8" cm="1">
        <f t="array" aca="1" ref="C111" ca="1">[1]!UNIFORM_INV(RAND(),Sheet2!E$19-SQRT(3)*Sheet2!E$20,Sheet2!E$19+SQRT(3)*Sheet2!E$20)</f>
        <v>21.381134917392249</v>
      </c>
      <c r="D111" s="8" cm="1">
        <f t="array" aca="1" ref="D111" ca="1">[1]!UNIFORM_INV(RAND(),Sheet2!F$19-SQRT(3)*Sheet2!F$20,Sheet2!F$19+SQRT(3)*Sheet2!F$20)</f>
        <v>20.126475018490417</v>
      </c>
      <c r="E111" s="8" cm="1">
        <f t="array" aca="1" ref="E111" ca="1">[1]!UNIFORM_INV(RAND(),Sheet2!G$19-SQRT(3)*Sheet2!G$20,Sheet2!G$19+SQRT(3)*Sheet2!G$20)</f>
        <v>20.755988036946682</v>
      </c>
      <c r="F111" s="8" cm="1">
        <f t="array" aca="1" ref="F111" ca="1">[1]!UNIFORM_INV(RAND(),Sheet2!H$19-SQRT(3)*Sheet2!H$20,Sheet2!H$19+SQRT(3)*Sheet2!H$20)</f>
        <v>27.367372724417368</v>
      </c>
      <c r="G111" s="8" cm="1">
        <f t="array" aca="1" ref="G111" ca="1">[1]!UNIFORM_INV(RAND(),Sheet2!I$19-SQRT(3)*Sheet2!I$20,Sheet2!I$19+SQRT(3)*Sheet2!I$20)</f>
        <v>12.086842468765877</v>
      </c>
      <c r="H111" s="8" cm="1">
        <f t="array" aca="1" ref="H111" ca="1">[1]!UNIFORM_INV(RAND(),Sheet2!J$19-SQRT(3)*Sheet2!J$20,Sheet2!J$19+SQRT(3)*Sheet2!J$20)</f>
        <v>25.90408011488552</v>
      </c>
      <c r="I111" s="8" cm="1">
        <f t="array" aca="1" ref="I111" ca="1">[1]!UNIFORM_INV(RAND(),Sheet2!K$19-SQRT(3)*Sheet2!K$20,Sheet2!K$19+SQRT(3)*Sheet2!K$20)</f>
        <v>22.900166181765758</v>
      </c>
      <c r="J111" s="8" cm="1">
        <f t="array" aca="1" ref="J111" ca="1">[1]!UNIFORM_INV(RAND(),Sheet2!L$19-SQRT(3)*Sheet2!L$20,Sheet2!L$19+SQRT(3)*Sheet2!L$20)</f>
        <v>21.789909666058595</v>
      </c>
      <c r="K111" s="8" cm="1">
        <f t="array" aca="1" ref="K111" ca="1">[1]!UNIFORM_INV(RAND(),Sheet2!M$19-SQRT(3)*Sheet2!M$20,Sheet2!M$19+SQRT(3)*Sheet2!M$20)</f>
        <v>16.982506075340122</v>
      </c>
      <c r="L111" s="8" cm="1">
        <f t="array" aca="1" ref="L111" ca="1">[1]!UNIFORM_INV(RAND(),Sheet2!N$19-SQRT(3)*Sheet2!N$20,Sheet2!N$19+SQRT(3)*Sheet2!N$20)</f>
        <v>3.9761214618923986</v>
      </c>
      <c r="M111" s="8" cm="1">
        <f t="array" aca="1" ref="M111" ca="1">[1]!UNIFORM_INV(RAND(),Sheet2!O$19-SQRT(3)*Sheet2!O$20,Sheet2!O$19+SQRT(3)*Sheet2!O$20)</f>
        <v>4.0562132143744298</v>
      </c>
      <c r="N111" s="8" cm="1">
        <f t="array" aca="1" ref="N111" ca="1">[1]!UNIFORM_INV(RAND(),Sheet2!P$19-SQRT(3)*Sheet2!P$20,Sheet2!P$19+SQRT(3)*Sheet2!P$20)</f>
        <v>23.014342794404701</v>
      </c>
      <c r="O111" s="8" cm="1">
        <f t="array" aca="1" ref="O111" ca="1">[1]!UNIFORM_INV(RAND(),Sheet2!Q$19-SQRT(3)*Sheet2!Q$20,Sheet2!Q$19+SQRT(3)*Sheet2!Q$20)</f>
        <v>9.5669971504817255</v>
      </c>
      <c r="P111" s="8" cm="1">
        <f t="array" aca="1" ref="P111" ca="1">[1]!UNIFORM_INV(RAND(),Sheet2!R$19-SQRT(3)*Sheet2!R$20,Sheet2!R$19+SQRT(3)*Sheet2!R$20)</f>
        <v>8.6529028046904646</v>
      </c>
      <c r="Q111" s="8" cm="1">
        <f t="array" aca="1" ref="Q111" ca="1">[1]!UNIFORM_INV(RAND(),Sheet2!S$19-SQRT(3)*Sheet2!S$20,Sheet2!S$19+SQRT(3)*Sheet2!S$20)</f>
        <v>3.8582365476548679</v>
      </c>
      <c r="R111" s="8" cm="1">
        <f t="array" aca="1" ref="R111" ca="1">[1]!UNIFORM_INV(RAND(),Sheet2!T$19-SQRT(3)*Sheet2!T$20,Sheet2!T$19+SQRT(3)*Sheet2!T$20)</f>
        <v>26.608050245489785</v>
      </c>
      <c r="S111" s="8" cm="1">
        <f t="array" aca="1" ref="S111" ca="1">[1]!UNIFORM_INV(RAND(),Sheet2!U$19-SQRT(3)*Sheet2!U$20,Sheet2!U$19+SQRT(3)*Sheet2!U$20)</f>
        <v>15.742921244435284</v>
      </c>
      <c r="T111" s="8" cm="1">
        <f t="array" aca="1" ref="T111" ca="1">[1]!UNIFORM_INV(RAND(),Sheet2!V$19-SQRT(3)*Sheet2!V$20,Sheet2!V$19+SQRT(3)*Sheet2!V$20)</f>
        <v>20.685953253589528</v>
      </c>
      <c r="U111" s="8" cm="1">
        <f t="array" aca="1" ref="U111" ca="1">[1]!UNIFORM_INV(RAND(),Sheet2!W$19-SQRT(3)*Sheet2!W$20,Sheet2!W$19+SQRT(3)*Sheet2!W$20)</f>
        <v>22.867463669159555</v>
      </c>
      <c r="V111" s="8" cm="1">
        <f t="array" aca="1" ref="V111" ca="1">[1]!UNIFORM_INV(RAND(),Sheet2!X$19-SQRT(3)*Sheet2!X$20,Sheet2!X$19+SQRT(3)*Sheet2!X$20)</f>
        <v>24.24074349674601</v>
      </c>
      <c r="W111" s="8" cm="1">
        <f t="array" aca="1" ref="W111" ca="1">[1]!UNIFORM_INV(RAND(),Sheet2!Y$19-SQRT(3)*Sheet2!Y$20,Sheet2!Y$19+SQRT(3)*Sheet2!Y$20)</f>
        <v>22.43210716714589</v>
      </c>
      <c r="X111" s="8" cm="1">
        <f t="array" aca="1" ref="X111" ca="1">[1]!UNIFORM_INV(RAND(),Sheet2!Z$19-SQRT(3)*Sheet2!Z$20,Sheet2!Z$19+SQRT(3)*Sheet2!Z$20)</f>
        <v>7.6632053078872984</v>
      </c>
      <c r="AX111" s="7">
        <f ca="1">Sheet2!C$19+('RNG HERE'!A111-'RNG HERE'!Y$92)*Sheet2!C$20/'RNG HERE'!Y$93</f>
        <v>3.290940386132104</v>
      </c>
      <c r="AY111" s="7">
        <f ca="1">Sheet2!D$19+('RNG HERE'!B111-'RNG HERE'!Z$92)*Sheet2!D$20/'RNG HERE'!Z$93</f>
        <v>10.110214267980936</v>
      </c>
      <c r="AZ111" s="7">
        <f ca="1">Sheet2!E$19+('RNG HERE'!C111-'RNG HERE'!AA$92)*Sheet2!E$20/'RNG HERE'!AA$93</f>
        <v>21.612675285394587</v>
      </c>
      <c r="BA111" s="7">
        <f ca="1">Sheet2!F$19+('RNG HERE'!D111-'RNG HERE'!AB$92)*Sheet2!F$20/'RNG HERE'!AB$93</f>
        <v>20.725217526527938</v>
      </c>
      <c r="BB111" s="7">
        <f ca="1">Sheet2!G$19+('RNG HERE'!E111-'RNG HERE'!AC$92)*Sheet2!G$20/'RNG HERE'!AC$93</f>
        <v>21.002155572399037</v>
      </c>
      <c r="BC111" s="7">
        <f ca="1">Sheet2!H$19+('RNG HERE'!F111-'RNG HERE'!AD$92)*Sheet2!H$20/'RNG HERE'!AD$93</f>
        <v>26.652396416559792</v>
      </c>
      <c r="BD111" s="7">
        <f ca="1">Sheet2!I$19+('RNG HERE'!G111-'RNG HERE'!AE$92)*Sheet2!I$20/'RNG HERE'!AE$93</f>
        <v>12.102542463865491</v>
      </c>
      <c r="BE111" s="7">
        <f ca="1">Sheet2!J$19+('RNG HERE'!H111-'RNG HERE'!AF$92)*Sheet2!J$20/'RNG HERE'!AF$93</f>
        <v>25.992718980076948</v>
      </c>
      <c r="BF111" s="7">
        <f ca="1">Sheet2!K$19+('RNG HERE'!I111-'RNG HERE'!AG$92)*Sheet2!K$20/'RNG HERE'!AG$93</f>
        <v>23.266055595748124</v>
      </c>
      <c r="BG111" s="7">
        <f ca="1">Sheet2!L$19+('RNG HERE'!J111-'RNG HERE'!AH$92)*Sheet2!L$20/'RNG HERE'!AH$93</f>
        <v>21.356976499825443</v>
      </c>
      <c r="BH111" s="7">
        <f ca="1">Sheet2!M$19+('RNG HERE'!K111-'RNG HERE'!AI$92)*Sheet2!M$20/'RNG HERE'!AI$93</f>
        <v>17.018860126484945</v>
      </c>
      <c r="BI111" s="7">
        <f ca="1">Sheet2!N$19+('RNG HERE'!L111-'RNG HERE'!AJ$92)*Sheet2!N$20/'RNG HERE'!AJ$93</f>
        <v>2.8299431519545601</v>
      </c>
      <c r="BJ111" s="7">
        <f ca="1">Sheet2!O$19+('RNG HERE'!M111-'RNG HERE'!AK$92)*Sheet2!O$20/'RNG HERE'!AK$93</f>
        <v>3.7470909198104181</v>
      </c>
      <c r="BK111" s="7">
        <f ca="1">Sheet2!P$19+('RNG HERE'!N111-'RNG HERE'!AL$92)*Sheet2!P$20/'RNG HERE'!AL$93</f>
        <v>22.885689436909988</v>
      </c>
      <c r="BL111" s="7">
        <f ca="1">Sheet2!Q$19+('RNG HERE'!O111-'RNG HERE'!AM$92)*Sheet2!Q$20/'RNG HERE'!AM$93</f>
        <v>9.601374299809267</v>
      </c>
      <c r="BM111" s="7">
        <f ca="1">Sheet2!R$19+('RNG HERE'!P111-'RNG HERE'!AN$92)*Sheet2!R$20/'RNG HERE'!AN$93</f>
        <v>8.7388738833635049</v>
      </c>
      <c r="BN111" s="7">
        <f ca="1">Sheet2!S$19+('RNG HERE'!Q111-'RNG HERE'!AO$92)*Sheet2!S$20/'RNG HERE'!AO$93</f>
        <v>3.7063522779481475</v>
      </c>
      <c r="BO111" s="7">
        <f ca="1">Sheet2!T$19+('RNG HERE'!R111-'RNG HERE'!AP$92)*Sheet2!T$20/'RNG HERE'!AP$93</f>
        <v>26.629864343280367</v>
      </c>
      <c r="BP111" s="7">
        <f ca="1">Sheet2!U$19+('RNG HERE'!S111-'RNG HERE'!AQ$92)*Sheet2!U$20/'RNG HERE'!AQ$93</f>
        <v>16.068883177560785</v>
      </c>
      <c r="BQ111" s="7">
        <f ca="1">Sheet2!V$19+('RNG HERE'!T111-'RNG HERE'!AR$92)*Sheet2!V$20/'RNG HERE'!AR$93</f>
        <v>21.270720804041904</v>
      </c>
      <c r="BR111" s="7">
        <f ca="1">Sheet2!W$19+('RNG HERE'!U111-'RNG HERE'!AS$92)*Sheet2!W$20/'RNG HERE'!AS$93</f>
        <v>23.0344074178361</v>
      </c>
      <c r="BS111" s="7">
        <f ca="1">Sheet2!X$19+('RNG HERE'!V111-'RNG HERE'!AT$92)*Sheet2!X$20/'RNG HERE'!AT$93</f>
        <v>24.024156753396486</v>
      </c>
      <c r="BT111" s="7">
        <f ca="1">Sheet2!Y$19+('RNG HERE'!W111-'RNG HERE'!AU$92)*Sheet2!Y$20/'RNG HERE'!AU$93</f>
        <v>22.639978607583085</v>
      </c>
      <c r="BU111" s="7">
        <f ca="1">Sheet2!Z$19+('RNG HERE'!X111-'RNG HERE'!AV$92)*Sheet2!Z$20/'RNG HERE'!AV$93</f>
        <v>7.7370178725297372</v>
      </c>
    </row>
    <row r="112" spans="1:73" x14ac:dyDescent="0.3">
      <c r="A112" s="8" cm="1">
        <f t="array" aca="1" ref="A112" ca="1">[1]!UNIFORM_INV(RAND(),Sheet2!C$19-SQRT(3)*Sheet2!C$20,Sheet2!C$19+SQRT(3)*Sheet2!C$20)</f>
        <v>4.7424616748115609</v>
      </c>
      <c r="B112" s="8" cm="1">
        <f t="array" aca="1" ref="B112" ca="1">[1]!UNIFORM_INV(RAND(),Sheet2!D$19-SQRT(3)*Sheet2!D$20,Sheet2!D$19+SQRT(3)*Sheet2!D$20)</f>
        <v>15.424665292025113</v>
      </c>
      <c r="C112" s="8" cm="1">
        <f t="array" aca="1" ref="C112" ca="1">[1]!UNIFORM_INV(RAND(),Sheet2!E$19-SQRT(3)*Sheet2!E$20,Sheet2!E$19+SQRT(3)*Sheet2!E$20)</f>
        <v>23.527345024617475</v>
      </c>
      <c r="D112" s="8" cm="1">
        <f t="array" aca="1" ref="D112" ca="1">[1]!UNIFORM_INV(RAND(),Sheet2!F$19-SQRT(3)*Sheet2!F$20,Sheet2!F$19+SQRT(3)*Sheet2!F$20)</f>
        <v>17.731792764584799</v>
      </c>
      <c r="E112" s="8" cm="1">
        <f t="array" aca="1" ref="E112" ca="1">[1]!UNIFORM_INV(RAND(),Sheet2!G$19-SQRT(3)*Sheet2!G$20,Sheet2!G$19+SQRT(3)*Sheet2!G$20)</f>
        <v>21.261596470001621</v>
      </c>
      <c r="F112" s="8" cm="1">
        <f t="array" aca="1" ref="F112" ca="1">[1]!UNIFORM_INV(RAND(),Sheet2!H$19-SQRT(3)*Sheet2!H$20,Sheet2!H$19+SQRT(3)*Sheet2!H$20)</f>
        <v>22.708549672193524</v>
      </c>
      <c r="G112" s="8" cm="1">
        <f t="array" aca="1" ref="G112" ca="1">[1]!UNIFORM_INV(RAND(),Sheet2!I$19-SQRT(3)*Sheet2!I$20,Sheet2!I$19+SQRT(3)*Sheet2!I$20)</f>
        <v>12.088646857274245</v>
      </c>
      <c r="H112" s="8" cm="1">
        <f t="array" aca="1" ref="H112" ca="1">[1]!UNIFORM_INV(RAND(),Sheet2!J$19-SQRT(3)*Sheet2!J$20,Sheet2!J$19+SQRT(3)*Sheet2!J$20)</f>
        <v>25.779700276077456</v>
      </c>
      <c r="I112" s="8" cm="1">
        <f t="array" aca="1" ref="I112" ca="1">[1]!UNIFORM_INV(RAND(),Sheet2!K$19-SQRT(3)*Sheet2!K$20,Sheet2!K$19+SQRT(3)*Sheet2!K$20)</f>
        <v>20.922516293525479</v>
      </c>
      <c r="J112" s="8" cm="1">
        <f t="array" aca="1" ref="J112" ca="1">[1]!UNIFORM_INV(RAND(),Sheet2!L$19-SQRT(3)*Sheet2!L$20,Sheet2!L$19+SQRT(3)*Sheet2!L$20)</f>
        <v>23.140175899795782</v>
      </c>
      <c r="K112" s="8" cm="1">
        <f t="array" aca="1" ref="K112" ca="1">[1]!UNIFORM_INV(RAND(),Sheet2!M$19-SQRT(3)*Sheet2!M$20,Sheet2!M$19+SQRT(3)*Sheet2!M$20)</f>
        <v>16.225259027558607</v>
      </c>
      <c r="L112" s="8" cm="1">
        <f t="array" aca="1" ref="L112" ca="1">[1]!UNIFORM_INV(RAND(),Sheet2!N$19-SQRT(3)*Sheet2!N$20,Sheet2!N$19+SQRT(3)*Sheet2!N$20)</f>
        <v>7.8379766097987513</v>
      </c>
      <c r="M112" s="8" cm="1">
        <f t="array" aca="1" ref="M112" ca="1">[1]!UNIFORM_INV(RAND(),Sheet2!O$19-SQRT(3)*Sheet2!O$20,Sheet2!O$19+SQRT(3)*Sheet2!O$20)</f>
        <v>3.898537042424008</v>
      </c>
      <c r="N112" s="8" cm="1">
        <f t="array" aca="1" ref="N112" ca="1">[1]!UNIFORM_INV(RAND(),Sheet2!P$19-SQRT(3)*Sheet2!P$20,Sheet2!P$19+SQRT(3)*Sheet2!P$20)</f>
        <v>27.098599915353319</v>
      </c>
      <c r="O112" s="8" cm="1">
        <f t="array" aca="1" ref="O112" ca="1">[1]!UNIFORM_INV(RAND(),Sheet2!Q$19-SQRT(3)*Sheet2!Q$20,Sheet2!Q$19+SQRT(3)*Sheet2!Q$20)</f>
        <v>11.029735869717801</v>
      </c>
      <c r="P112" s="8" cm="1">
        <f t="array" aca="1" ref="P112" ca="1">[1]!UNIFORM_INV(RAND(),Sheet2!R$19-SQRT(3)*Sheet2!R$20,Sheet2!R$19+SQRT(3)*Sheet2!R$20)</f>
        <v>8.4241061125649583</v>
      </c>
      <c r="Q112" s="8" cm="1">
        <f t="array" aca="1" ref="Q112" ca="1">[1]!UNIFORM_INV(RAND(),Sheet2!S$19-SQRT(3)*Sheet2!S$20,Sheet2!S$19+SQRT(3)*Sheet2!S$20)</f>
        <v>2.6457813665742593</v>
      </c>
      <c r="R112" s="8" cm="1">
        <f t="array" aca="1" ref="R112" ca="1">[1]!UNIFORM_INV(RAND(),Sheet2!T$19-SQRT(3)*Sheet2!T$20,Sheet2!T$19+SQRT(3)*Sheet2!T$20)</f>
        <v>25.075131007371027</v>
      </c>
      <c r="S112" s="8" cm="1">
        <f t="array" aca="1" ref="S112" ca="1">[1]!UNIFORM_INV(RAND(),Sheet2!U$19-SQRT(3)*Sheet2!U$20,Sheet2!U$19+SQRT(3)*Sheet2!U$20)</f>
        <v>14.941677860305392</v>
      </c>
      <c r="T112" s="8" cm="1">
        <f t="array" aca="1" ref="T112" ca="1">[1]!UNIFORM_INV(RAND(),Sheet2!V$19-SQRT(3)*Sheet2!V$20,Sheet2!V$19+SQRT(3)*Sheet2!V$20)</f>
        <v>24.129231983318714</v>
      </c>
      <c r="U112" s="8" cm="1">
        <f t="array" aca="1" ref="U112" ca="1">[1]!UNIFORM_INV(RAND(),Sheet2!W$19-SQRT(3)*Sheet2!W$20,Sheet2!W$19+SQRT(3)*Sheet2!W$20)</f>
        <v>25.662011261577742</v>
      </c>
      <c r="V112" s="8" cm="1">
        <f t="array" aca="1" ref="V112" ca="1">[1]!UNIFORM_INV(RAND(),Sheet2!X$19-SQRT(3)*Sheet2!X$20,Sheet2!X$19+SQRT(3)*Sheet2!X$20)</f>
        <v>23.019441925036265</v>
      </c>
      <c r="W112" s="8" cm="1">
        <f t="array" aca="1" ref="W112" ca="1">[1]!UNIFORM_INV(RAND(),Sheet2!Y$19-SQRT(3)*Sheet2!Y$20,Sheet2!Y$19+SQRT(3)*Sheet2!Y$20)</f>
        <v>22.434218386135818</v>
      </c>
      <c r="X112" s="8" cm="1">
        <f t="array" aca="1" ref="X112" ca="1">[1]!UNIFORM_INV(RAND(),Sheet2!Z$19-SQRT(3)*Sheet2!Z$20,Sheet2!Z$19+SQRT(3)*Sheet2!Z$20)</f>
        <v>8.2282389209685629</v>
      </c>
      <c r="AX112" s="7">
        <f ca="1">Sheet2!C$19+('RNG HERE'!A112-'RNG HERE'!Y$92)*Sheet2!C$20/'RNG HERE'!Y$93</f>
        <v>4.8517496604707295</v>
      </c>
      <c r="AY112" s="7">
        <f ca="1">Sheet2!D$19+('RNG HERE'!B112-'RNG HERE'!Z$92)*Sheet2!D$20/'RNG HERE'!Z$93</f>
        <v>17.014748570796606</v>
      </c>
      <c r="AZ112" s="7">
        <f ca="1">Sheet2!E$19+('RNG HERE'!C112-'RNG HERE'!AA$92)*Sheet2!E$20/'RNG HERE'!AA$93</f>
        <v>23.806797845515838</v>
      </c>
      <c r="BA112" s="7">
        <f ca="1">Sheet2!F$19+('RNG HERE'!D112-'RNG HERE'!AB$92)*Sheet2!F$20/'RNG HERE'!AB$93</f>
        <v>18.374404763200872</v>
      </c>
      <c r="BB112" s="7">
        <f ca="1">Sheet2!G$19+('RNG HERE'!E112-'RNG HERE'!AC$92)*Sheet2!G$20/'RNG HERE'!AC$93</f>
        <v>21.498406480540261</v>
      </c>
      <c r="BC112" s="7">
        <f ca="1">Sheet2!H$19+('RNG HERE'!F112-'RNG HERE'!AD$92)*Sheet2!H$20/'RNG HERE'!AD$93</f>
        <v>21.968887071579879</v>
      </c>
      <c r="BD112" s="7">
        <f ca="1">Sheet2!I$19+('RNG HERE'!G112-'RNG HERE'!AE$92)*Sheet2!I$20/'RNG HERE'!AE$93</f>
        <v>12.104257643969799</v>
      </c>
      <c r="BE112" s="7">
        <f ca="1">Sheet2!J$19+('RNG HERE'!H112-'RNG HERE'!AF$92)*Sheet2!J$20/'RNG HERE'!AF$93</f>
        <v>25.859534402811345</v>
      </c>
      <c r="BF112" s="7">
        <f ca="1">Sheet2!K$19+('RNG HERE'!I112-'RNG HERE'!AG$92)*Sheet2!K$20/'RNG HERE'!AG$93</f>
        <v>20.925250614668574</v>
      </c>
      <c r="BG112" s="7">
        <f ca="1">Sheet2!L$19+('RNG HERE'!J112-'RNG HERE'!AH$92)*Sheet2!L$20/'RNG HERE'!AH$93</f>
        <v>22.811674923460785</v>
      </c>
      <c r="BH112" s="7">
        <f ca="1">Sheet2!M$19+('RNG HERE'!K112-'RNG HERE'!AI$92)*Sheet2!M$20/'RNG HERE'!AI$93</f>
        <v>16.162297663133604</v>
      </c>
      <c r="BI112" s="7">
        <f ca="1">Sheet2!N$19+('RNG HERE'!L112-'RNG HERE'!AJ$92)*Sheet2!N$20/'RNG HERE'!AJ$93</f>
        <v>7.2004770277067767</v>
      </c>
      <c r="BJ112" s="7">
        <f ca="1">Sheet2!O$19+('RNG HERE'!M112-'RNG HERE'!AK$92)*Sheet2!O$20/'RNG HERE'!AK$93</f>
        <v>3.5344063297753747</v>
      </c>
      <c r="BK112" s="7">
        <f ca="1">Sheet2!P$19+('RNG HERE'!N112-'RNG HERE'!AL$92)*Sheet2!P$20/'RNG HERE'!AL$93</f>
        <v>26.991191254274671</v>
      </c>
      <c r="BL112" s="7">
        <f ca="1">Sheet2!Q$19+('RNG HERE'!O112-'RNG HERE'!AM$92)*Sheet2!Q$20/'RNG HERE'!AM$93</f>
        <v>11.043328603036807</v>
      </c>
      <c r="BM112" s="7">
        <f ca="1">Sheet2!R$19+('RNG HERE'!P112-'RNG HERE'!AN$92)*Sheet2!R$20/'RNG HERE'!AN$93</f>
        <v>8.5189451197296364</v>
      </c>
      <c r="BN112" s="7">
        <f ca="1">Sheet2!S$19+('RNG HERE'!Q112-'RNG HERE'!AO$92)*Sheet2!S$20/'RNG HERE'!AO$93</f>
        <v>2.546416375432579</v>
      </c>
      <c r="BO112" s="7">
        <f ca="1">Sheet2!T$19+('RNG HERE'!R112-'RNG HERE'!AP$92)*Sheet2!T$20/'RNG HERE'!AP$93</f>
        <v>25.291271662403155</v>
      </c>
      <c r="BP112" s="7">
        <f ca="1">Sheet2!U$19+('RNG HERE'!S112-'RNG HERE'!AQ$92)*Sheet2!U$20/'RNG HERE'!AQ$93</f>
        <v>15.252849207268977</v>
      </c>
      <c r="BQ112" s="7">
        <f ca="1">Sheet2!V$19+('RNG HERE'!T112-'RNG HERE'!AR$92)*Sheet2!V$20/'RNG HERE'!AR$93</f>
        <v>24.425903308906889</v>
      </c>
      <c r="BR112" s="7">
        <f ca="1">Sheet2!W$19+('RNG HERE'!U112-'RNG HERE'!AS$92)*Sheet2!W$20/'RNG HERE'!AS$93</f>
        <v>25.726744365414387</v>
      </c>
      <c r="BS112" s="7">
        <f ca="1">Sheet2!X$19+('RNG HERE'!V112-'RNG HERE'!AT$92)*Sheet2!X$20/'RNG HERE'!AT$93</f>
        <v>22.784194374946061</v>
      </c>
      <c r="BT112" s="7">
        <f ca="1">Sheet2!Y$19+('RNG HERE'!W112-'RNG HERE'!AU$92)*Sheet2!Y$20/'RNG HERE'!AU$93</f>
        <v>22.642043169287525</v>
      </c>
      <c r="BU112" s="7">
        <f ca="1">Sheet2!Z$19+('RNG HERE'!X112-'RNG HERE'!AV$92)*Sheet2!Z$20/'RNG HERE'!AV$93</f>
        <v>8.3424165078801433</v>
      </c>
    </row>
    <row r="113" spans="1:97" x14ac:dyDescent="0.3">
      <c r="A113" s="8" cm="1">
        <f t="array" aca="1" ref="A113" ca="1">[1]!UNIFORM_INV(RAND(),Sheet2!C$19-SQRT(3)*Sheet2!C$20,Sheet2!C$19+SQRT(3)*Sheet2!C$20)</f>
        <v>4.7669427075279431</v>
      </c>
      <c r="B113" s="8" cm="1">
        <f t="array" aca="1" ref="B113" ca="1">[1]!UNIFORM_INV(RAND(),Sheet2!D$19-SQRT(3)*Sheet2!D$20,Sheet2!D$19+SQRT(3)*Sheet2!D$20)</f>
        <v>11.031698847490262</v>
      </c>
      <c r="C113" s="8" cm="1">
        <f t="array" aca="1" ref="C113" ca="1">[1]!UNIFORM_INV(RAND(),Sheet2!E$19-SQRT(3)*Sheet2!E$20,Sheet2!E$19+SQRT(3)*Sheet2!E$20)</f>
        <v>24.883738368282575</v>
      </c>
      <c r="D113" s="8" cm="1">
        <f t="array" aca="1" ref="D113" ca="1">[1]!UNIFORM_INV(RAND(),Sheet2!F$19-SQRT(3)*Sheet2!F$20,Sheet2!F$19+SQRT(3)*Sheet2!F$20)</f>
        <v>14.726944450652192</v>
      </c>
      <c r="E113" s="8" cm="1">
        <f t="array" aca="1" ref="E113" ca="1">[1]!UNIFORM_INV(RAND(),Sheet2!G$19-SQRT(3)*Sheet2!G$20,Sheet2!G$19+SQRT(3)*Sheet2!G$20)</f>
        <v>13.455690881400315</v>
      </c>
      <c r="F113" s="8" cm="1">
        <f t="array" aca="1" ref="F113" ca="1">[1]!UNIFORM_INV(RAND(),Sheet2!H$19-SQRT(3)*Sheet2!H$20,Sheet2!H$19+SQRT(3)*Sheet2!H$20)</f>
        <v>36.432256667741797</v>
      </c>
      <c r="G113" s="8" cm="1">
        <f t="array" aca="1" ref="G113" ca="1">[1]!UNIFORM_INV(RAND(),Sheet2!I$19-SQRT(3)*Sheet2!I$20,Sheet2!I$19+SQRT(3)*Sheet2!I$20)</f>
        <v>12.561664756167193</v>
      </c>
      <c r="H113" s="8" cm="1">
        <f t="array" aca="1" ref="H113" ca="1">[1]!UNIFORM_INV(RAND(),Sheet2!J$19-SQRT(3)*Sheet2!J$20,Sheet2!J$19+SQRT(3)*Sheet2!J$20)</f>
        <v>23.0179320316423</v>
      </c>
      <c r="I113" s="8" cm="1">
        <f t="array" aca="1" ref="I113" ca="1">[1]!UNIFORM_INV(RAND(),Sheet2!K$19-SQRT(3)*Sheet2!K$20,Sheet2!K$19+SQRT(3)*Sheet2!K$20)</f>
        <v>20.797543809428962</v>
      </c>
      <c r="J113" s="8" cm="1">
        <f t="array" aca="1" ref="J113" ca="1">[1]!UNIFORM_INV(RAND(),Sheet2!L$19-SQRT(3)*Sheet2!L$20,Sheet2!L$19+SQRT(3)*Sheet2!L$20)</f>
        <v>23.024810525393939</v>
      </c>
      <c r="K113" s="8" cm="1">
        <f t="array" aca="1" ref="K113" ca="1">[1]!UNIFORM_INV(RAND(),Sheet2!M$19-SQRT(3)*Sheet2!M$20,Sheet2!M$19+SQRT(3)*Sheet2!M$20)</f>
        <v>16.469900523753466</v>
      </c>
      <c r="L113" s="8" cm="1">
        <f t="array" aca="1" ref="L113" ca="1">[1]!UNIFORM_INV(RAND(),Sheet2!N$19-SQRT(3)*Sheet2!N$20,Sheet2!N$19+SQRT(3)*Sheet2!N$20)</f>
        <v>9.5938266974599617</v>
      </c>
      <c r="M113" s="8" cm="1">
        <f t="array" aca="1" ref="M113" ca="1">[1]!UNIFORM_INV(RAND(),Sheet2!O$19-SQRT(3)*Sheet2!O$20,Sheet2!O$19+SQRT(3)*Sheet2!O$20)</f>
        <v>3.250891207735771</v>
      </c>
      <c r="N113" s="8" cm="1">
        <f t="array" aca="1" ref="N113" ca="1">[1]!UNIFORM_INV(RAND(),Sheet2!P$19-SQRT(3)*Sheet2!P$20,Sheet2!P$19+SQRT(3)*Sheet2!P$20)</f>
        <v>27.317572285933601</v>
      </c>
      <c r="O113" s="8" cm="1">
        <f t="array" aca="1" ref="O113" ca="1">[1]!UNIFORM_INV(RAND(),Sheet2!Q$19-SQRT(3)*Sheet2!Q$20,Sheet2!Q$19+SQRT(3)*Sheet2!Q$20)</f>
        <v>9.579517049483453</v>
      </c>
      <c r="P113" s="8" cm="1">
        <f t="array" aca="1" ref="P113" ca="1">[1]!UNIFORM_INV(RAND(),Sheet2!R$19-SQRT(3)*Sheet2!R$20,Sheet2!R$19+SQRT(3)*Sheet2!R$20)</f>
        <v>8.0842582653104227</v>
      </c>
      <c r="Q113" s="8" cm="1">
        <f t="array" aca="1" ref="Q113" ca="1">[1]!UNIFORM_INV(RAND(),Sheet2!S$19-SQRT(3)*Sheet2!S$20,Sheet2!S$19+SQRT(3)*Sheet2!S$20)</f>
        <v>3.7165080705578166</v>
      </c>
      <c r="R113" s="8" cm="1">
        <f t="array" aca="1" ref="R113" ca="1">[1]!UNIFORM_INV(RAND(),Sheet2!T$19-SQRT(3)*Sheet2!T$20,Sheet2!T$19+SQRT(3)*Sheet2!T$20)</f>
        <v>29.756186967897673</v>
      </c>
      <c r="S113" s="8" cm="1">
        <f t="array" aca="1" ref="S113" ca="1">[1]!UNIFORM_INV(RAND(),Sheet2!U$19-SQRT(3)*Sheet2!U$20,Sheet2!U$19+SQRT(3)*Sheet2!U$20)</f>
        <v>16.302301108555746</v>
      </c>
      <c r="T113" s="8" cm="1">
        <f t="array" aca="1" ref="T113" ca="1">[1]!UNIFORM_INV(RAND(),Sheet2!V$19-SQRT(3)*Sheet2!V$20,Sheet2!V$19+SQRT(3)*Sheet2!V$20)</f>
        <v>20.963048612501026</v>
      </c>
      <c r="U113" s="8" cm="1">
        <f t="array" aca="1" ref="U113" ca="1">[1]!UNIFORM_INV(RAND(),Sheet2!W$19-SQRT(3)*Sheet2!W$20,Sheet2!W$19+SQRT(3)*Sheet2!W$20)</f>
        <v>24.050604475388294</v>
      </c>
      <c r="V113" s="8" cm="1">
        <f t="array" aca="1" ref="V113" ca="1">[1]!UNIFORM_INV(RAND(),Sheet2!X$19-SQRT(3)*Sheet2!X$20,Sheet2!X$19+SQRT(3)*Sheet2!X$20)</f>
        <v>23.890982601142952</v>
      </c>
      <c r="W113" s="8" cm="1">
        <f t="array" aca="1" ref="W113" ca="1">[1]!UNIFORM_INV(RAND(),Sheet2!Y$19-SQRT(3)*Sheet2!Y$20,Sheet2!Y$19+SQRT(3)*Sheet2!Y$20)</f>
        <v>20.455646354914297</v>
      </c>
      <c r="X113" s="8" cm="1">
        <f t="array" aca="1" ref="X113" ca="1">[1]!UNIFORM_INV(RAND(),Sheet2!Z$19-SQRT(3)*Sheet2!Z$20,Sheet2!Z$19+SQRT(3)*Sheet2!Z$20)</f>
        <v>7.2637200705656895</v>
      </c>
      <c r="AX113" s="7">
        <f ca="1">Sheet2!C$19+('RNG HERE'!A113-'RNG HERE'!Y$92)*Sheet2!C$20/'RNG HERE'!Y$93</f>
        <v>4.8759802608213523</v>
      </c>
      <c r="AY113" s="7">
        <f ca="1">Sheet2!D$19+('RNG HERE'!B113-'RNG HERE'!Z$92)*Sheet2!D$20/'RNG HERE'!Z$93</f>
        <v>12.199339211387596</v>
      </c>
      <c r="AZ113" s="7">
        <f ca="1">Sheet2!E$19+('RNG HERE'!C113-'RNG HERE'!AA$92)*Sheet2!E$20/'RNG HERE'!AA$93</f>
        <v>25.193471603930668</v>
      </c>
      <c r="BA113" s="7">
        <f ca="1">Sheet2!F$19+('RNG HERE'!D113-'RNG HERE'!AB$92)*Sheet2!F$20/'RNG HERE'!AB$93</f>
        <v>15.424603904763893</v>
      </c>
      <c r="BB113" s="7">
        <f ca="1">Sheet2!G$19+('RNG HERE'!E113-'RNG HERE'!AC$92)*Sheet2!G$20/'RNG HERE'!AC$93</f>
        <v>13.836968332044968</v>
      </c>
      <c r="BC113" s="7">
        <f ca="1">Sheet2!H$19+('RNG HERE'!F113-'RNG HERE'!AD$92)*Sheet2!H$20/'RNG HERE'!AD$93</f>
        <v>35.76531360268315</v>
      </c>
      <c r="BD113" s="7">
        <f ca="1">Sheet2!I$19+('RNG HERE'!G113-'RNG HERE'!AE$92)*Sheet2!I$20/'RNG HERE'!AE$93</f>
        <v>12.553889685739009</v>
      </c>
      <c r="BE113" s="7">
        <f ca="1">Sheet2!J$19+('RNG HERE'!H113-'RNG HERE'!AF$92)*Sheet2!J$20/'RNG HERE'!AF$93</f>
        <v>22.902263034191396</v>
      </c>
      <c r="BF113" s="7">
        <f ca="1">Sheet2!K$19+('RNG HERE'!I113-'RNG HERE'!AG$92)*Sheet2!K$20/'RNG HERE'!AG$93</f>
        <v>20.777329481099621</v>
      </c>
      <c r="BG113" s="7">
        <f ca="1">Sheet2!L$19+('RNG HERE'!J113-'RNG HERE'!AH$92)*Sheet2!L$20/'RNG HERE'!AH$93</f>
        <v>22.68738696891424</v>
      </c>
      <c r="BH113" s="7">
        <f ca="1">Sheet2!M$19+('RNG HERE'!K113-'RNG HERE'!AI$92)*Sheet2!M$20/'RNG HERE'!AI$93</f>
        <v>16.439024687996284</v>
      </c>
      <c r="BI113" s="7">
        <f ca="1">Sheet2!N$19+('RNG HERE'!L113-'RNG HERE'!AJ$92)*Sheet2!N$20/'RNG HERE'!AJ$93</f>
        <v>9.1876054918663304</v>
      </c>
      <c r="BJ113" s="7">
        <f ca="1">Sheet2!O$19+('RNG HERE'!M113-'RNG HERE'!AK$92)*Sheet2!O$20/'RNG HERE'!AK$93</f>
        <v>2.6608165721429904</v>
      </c>
      <c r="BK113" s="7">
        <f ca="1">Sheet2!P$19+('RNG HERE'!N113-'RNG HERE'!AL$92)*Sheet2!P$20/'RNG HERE'!AL$93</f>
        <v>27.211302632855361</v>
      </c>
      <c r="BL113" s="7">
        <f ca="1">Sheet2!Q$19+('RNG HERE'!O113-'RNG HERE'!AM$92)*Sheet2!Q$20/'RNG HERE'!AM$93</f>
        <v>9.6137163004715198</v>
      </c>
      <c r="BM113" s="7">
        <f ca="1">Sheet2!R$19+('RNG HERE'!P113-'RNG HERE'!AN$92)*Sheet2!R$20/'RNG HERE'!AN$93</f>
        <v>8.1922694314757063</v>
      </c>
      <c r="BN113" s="7">
        <f ca="1">Sheet2!S$19+('RNG HERE'!Q113-'RNG HERE'!AO$92)*Sheet2!S$20/'RNG HERE'!AO$93</f>
        <v>3.5707629781876347</v>
      </c>
      <c r="BO113" s="7">
        <f ca="1">Sheet2!T$19+('RNG HERE'!R113-'RNG HERE'!AP$92)*Sheet2!T$20/'RNG HERE'!AP$93</f>
        <v>29.37891508922025</v>
      </c>
      <c r="BP113" s="7">
        <f ca="1">Sheet2!U$19+('RNG HERE'!S113-'RNG HERE'!AQ$92)*Sheet2!U$20/'RNG HERE'!AQ$93</f>
        <v>16.638588937958698</v>
      </c>
      <c r="BQ113" s="7">
        <f ca="1">Sheet2!V$19+('RNG HERE'!T113-'RNG HERE'!AR$92)*Sheet2!V$20/'RNG HERE'!AR$93</f>
        <v>21.524631828167916</v>
      </c>
      <c r="BR113" s="7">
        <f ca="1">Sheet2!W$19+('RNG HERE'!U113-'RNG HERE'!AS$92)*Sheet2!W$20/'RNG HERE'!AS$93</f>
        <v>24.17427482086028</v>
      </c>
      <c r="BS113" s="7">
        <f ca="1">Sheet2!X$19+('RNG HERE'!V113-'RNG HERE'!AT$92)*Sheet2!X$20/'RNG HERE'!AT$93</f>
        <v>23.669051706414699</v>
      </c>
      <c r="BT113" s="7">
        <f ca="1">Sheet2!Y$19+('RNG HERE'!W113-'RNG HERE'!AU$92)*Sheet2!Y$20/'RNG HERE'!AU$93</f>
        <v>20.70719696686777</v>
      </c>
      <c r="BU113" s="7">
        <f ca="1">Sheet2!Z$19+('RNG HERE'!X113-'RNG HERE'!AV$92)*Sheet2!Z$20/'RNG HERE'!AV$93</f>
        <v>7.3089941020530018</v>
      </c>
    </row>
    <row r="114" spans="1:97" x14ac:dyDescent="0.3">
      <c r="A114" s="8" cm="1">
        <f t="array" aca="1" ref="A114" ca="1">[1]!UNIFORM_INV(RAND(),Sheet2!C$19-SQRT(3)*Sheet2!C$20,Sheet2!C$19+SQRT(3)*Sheet2!C$20)</f>
        <v>2.1396341417236018</v>
      </c>
      <c r="B114" s="8" cm="1">
        <f t="array" aca="1" ref="B114" ca="1">[1]!UNIFORM_INV(RAND(),Sheet2!D$19-SQRT(3)*Sheet2!D$20,Sheet2!D$19+SQRT(3)*Sheet2!D$20)</f>
        <v>3.2444417651777155</v>
      </c>
      <c r="C114" s="8" cm="1">
        <f t="array" aca="1" ref="C114" ca="1">[1]!UNIFORM_INV(RAND(),Sheet2!E$19-SQRT(3)*Sheet2!E$20,Sheet2!E$19+SQRT(3)*Sheet2!E$20)</f>
        <v>21.518789464044644</v>
      </c>
      <c r="D114" s="8" cm="1">
        <f t="array" aca="1" ref="D114" ca="1">[1]!UNIFORM_INV(RAND(),Sheet2!F$19-SQRT(3)*Sheet2!F$20,Sheet2!F$19+SQRT(3)*Sheet2!F$20)</f>
        <v>16.246758742554064</v>
      </c>
      <c r="E114" s="8" cm="1">
        <f t="array" aca="1" ref="E114" ca="1">[1]!UNIFORM_INV(RAND(),Sheet2!G$19-SQRT(3)*Sheet2!G$20,Sheet2!G$19+SQRT(3)*Sheet2!G$20)</f>
        <v>15.810902168553291</v>
      </c>
      <c r="F114" s="8" cm="1">
        <f t="array" aca="1" ref="F114" ca="1">[1]!UNIFORM_INV(RAND(),Sheet2!H$19-SQRT(3)*Sheet2!H$20,Sheet2!H$19+SQRT(3)*Sheet2!H$20)</f>
        <v>24.423541875449946</v>
      </c>
      <c r="G114" s="8" cm="1">
        <f t="array" aca="1" ref="G114" ca="1">[1]!UNIFORM_INV(RAND(),Sheet2!I$19-SQRT(3)*Sheet2!I$20,Sheet2!I$19+SQRT(3)*Sheet2!I$20)</f>
        <v>12.124139097067575</v>
      </c>
      <c r="H114" s="8" cm="1">
        <f t="array" aca="1" ref="H114" ca="1">[1]!UNIFORM_INV(RAND(),Sheet2!J$19-SQRT(3)*Sheet2!J$20,Sheet2!J$19+SQRT(3)*Sheet2!J$20)</f>
        <v>23.211942652044545</v>
      </c>
      <c r="I114" s="8" cm="1">
        <f t="array" aca="1" ref="I114" ca="1">[1]!UNIFORM_INV(RAND(),Sheet2!K$19-SQRT(3)*Sheet2!K$20,Sheet2!K$19+SQRT(3)*Sheet2!K$20)</f>
        <v>24.537069975229926</v>
      </c>
      <c r="J114" s="8" cm="1">
        <f t="array" aca="1" ref="J114" ca="1">[1]!UNIFORM_INV(RAND(),Sheet2!L$19-SQRT(3)*Sheet2!L$20,Sheet2!L$19+SQRT(3)*Sheet2!L$20)</f>
        <v>21.766751392773994</v>
      </c>
      <c r="K114" s="8" cm="1">
        <f t="array" aca="1" ref="K114" ca="1">[1]!UNIFORM_INV(RAND(),Sheet2!M$19-SQRT(3)*Sheet2!M$20,Sheet2!M$19+SQRT(3)*Sheet2!M$20)</f>
        <v>17.633189118843131</v>
      </c>
      <c r="L114" s="8" cm="1">
        <f t="array" aca="1" ref="L114" ca="1">[1]!UNIFORM_INV(RAND(),Sheet2!N$19-SQRT(3)*Sheet2!N$20,Sheet2!N$19+SQRT(3)*Sheet2!N$20)</f>
        <v>9.8800283673586264</v>
      </c>
      <c r="M114" s="8" cm="1">
        <f t="array" aca="1" ref="M114" ca="1">[1]!UNIFORM_INV(RAND(),Sheet2!O$19-SQRT(3)*Sheet2!O$20,Sheet2!O$19+SQRT(3)*Sheet2!O$20)</f>
        <v>4.2845839572835605</v>
      </c>
      <c r="N114" s="8" cm="1">
        <f t="array" aca="1" ref="N114" ca="1">[1]!UNIFORM_INV(RAND(),Sheet2!P$19-SQRT(3)*Sheet2!P$20,Sheet2!P$19+SQRT(3)*Sheet2!P$20)</f>
        <v>24.575381465974299</v>
      </c>
      <c r="O114" s="8" cm="1">
        <f t="array" aca="1" ref="O114" ca="1">[1]!UNIFORM_INV(RAND(),Sheet2!Q$19-SQRT(3)*Sheet2!Q$20,Sheet2!Q$19+SQRT(3)*Sheet2!Q$20)</f>
        <v>11.651067297629213</v>
      </c>
      <c r="P114" s="8" cm="1">
        <f t="array" aca="1" ref="P114" ca="1">[1]!UNIFORM_INV(RAND(),Sheet2!R$19-SQRT(3)*Sheet2!R$20,Sheet2!R$19+SQRT(3)*Sheet2!R$20)</f>
        <v>8.7821637825611401</v>
      </c>
      <c r="Q114" s="8" cm="1">
        <f t="array" aca="1" ref="Q114" ca="1">[1]!UNIFORM_INV(RAND(),Sheet2!S$19-SQRT(3)*Sheet2!S$20,Sheet2!S$19+SQRT(3)*Sheet2!S$20)</f>
        <v>1.9406331817139553</v>
      </c>
      <c r="R114" s="8" cm="1">
        <f t="array" aca="1" ref="R114" ca="1">[1]!UNIFORM_INV(RAND(),Sheet2!T$19-SQRT(3)*Sheet2!T$20,Sheet2!T$19+SQRT(3)*Sheet2!T$20)</f>
        <v>29.599728388626428</v>
      </c>
      <c r="S114" s="8" cm="1">
        <f t="array" aca="1" ref="S114" ca="1">[1]!UNIFORM_INV(RAND(),Sheet2!U$19-SQRT(3)*Sheet2!U$20,Sheet2!U$19+SQRT(3)*Sheet2!U$20)</f>
        <v>16.535443243429892</v>
      </c>
      <c r="T114" s="8" cm="1">
        <f t="array" aca="1" ref="T114" ca="1">[1]!UNIFORM_INV(RAND(),Sheet2!V$19-SQRT(3)*Sheet2!V$20,Sheet2!V$19+SQRT(3)*Sheet2!V$20)</f>
        <v>22.920282585482596</v>
      </c>
      <c r="U114" s="8" cm="1">
        <f t="array" aca="1" ref="U114" ca="1">[1]!UNIFORM_INV(RAND(),Sheet2!W$19-SQRT(3)*Sheet2!W$20,Sheet2!W$19+SQRT(3)*Sheet2!W$20)</f>
        <v>22.082516840473364</v>
      </c>
      <c r="V114" s="8" cm="1">
        <f t="array" aca="1" ref="V114" ca="1">[1]!UNIFORM_INV(RAND(),Sheet2!X$19-SQRT(3)*Sheet2!X$20,Sheet2!X$19+SQRT(3)*Sheet2!X$20)</f>
        <v>22.866367911862898</v>
      </c>
      <c r="W114" s="8" cm="1">
        <f t="array" aca="1" ref="W114" ca="1">[1]!UNIFORM_INV(RAND(),Sheet2!Y$19-SQRT(3)*Sheet2!Y$20,Sheet2!Y$19+SQRT(3)*Sheet2!Y$20)</f>
        <v>20.804097294549109</v>
      </c>
      <c r="X114" s="8" cm="1">
        <f t="array" aca="1" ref="X114" ca="1">[1]!UNIFORM_INV(RAND(),Sheet2!Z$19-SQRT(3)*Sheet2!Z$20,Sheet2!Z$19+SQRT(3)*Sheet2!Z$20)</f>
        <v>7.7912800378957385</v>
      </c>
      <c r="AX114" s="7">
        <f ca="1">Sheet2!C$19+('RNG HERE'!A114-'RNG HERE'!Y$92)*Sheet2!C$20/'RNG HERE'!Y$93</f>
        <v>2.2755481388066552</v>
      </c>
      <c r="AY114" s="7">
        <f ca="1">Sheet2!D$19+('RNG HERE'!B114-'RNG HERE'!Z$92)*Sheet2!D$20/'RNG HERE'!Z$93</f>
        <v>3.6632324343956988</v>
      </c>
      <c r="AZ114" s="7">
        <f ca="1">Sheet2!E$19+('RNG HERE'!C114-'RNG HERE'!AA$92)*Sheet2!E$20/'RNG HERE'!AA$93</f>
        <v>21.753402861551503</v>
      </c>
      <c r="BA114" s="7">
        <f ca="1">Sheet2!F$19+('RNG HERE'!D114-'RNG HERE'!AB$92)*Sheet2!F$20/'RNG HERE'!AB$93</f>
        <v>16.91657588954924</v>
      </c>
      <c r="BB114" s="7">
        <f ca="1">Sheet2!G$19+('RNG HERE'!E114-'RNG HERE'!AC$92)*Sheet2!G$20/'RNG HERE'!AC$93</f>
        <v>16.148590654189114</v>
      </c>
      <c r="BC114" s="7">
        <f ca="1">Sheet2!H$19+('RNG HERE'!F114-'RNG HERE'!AD$92)*Sheet2!H$20/'RNG HERE'!AD$93</f>
        <v>23.692966720126535</v>
      </c>
      <c r="BD114" s="7">
        <f ca="1">Sheet2!I$19+('RNG HERE'!G114-'RNG HERE'!AE$92)*Sheet2!I$20/'RNG HERE'!AE$93</f>
        <v>12.137995158517528</v>
      </c>
      <c r="BE114" s="7">
        <f ca="1">Sheet2!J$19+('RNG HERE'!H114-'RNG HERE'!AF$92)*Sheet2!J$20/'RNG HERE'!AF$93</f>
        <v>23.110007494313933</v>
      </c>
      <c r="BF114" s="7">
        <f ca="1">Sheet2!K$19+('RNG HERE'!I114-'RNG HERE'!AG$92)*Sheet2!K$20/'RNG HERE'!AG$93</f>
        <v>25.203543406949311</v>
      </c>
      <c r="BG114" s="7">
        <f ca="1">Sheet2!L$19+('RNG HERE'!J114-'RNG HERE'!AH$92)*Sheet2!L$20/'RNG HERE'!AH$93</f>
        <v>21.332027121103302</v>
      </c>
      <c r="BH114" s="7">
        <f ca="1">Sheet2!M$19+('RNG HERE'!K114-'RNG HERE'!AI$92)*Sheet2!M$20/'RNG HERE'!AI$93</f>
        <v>17.75488236947254</v>
      </c>
      <c r="BI114" s="7">
        <f ca="1">Sheet2!N$19+('RNG HERE'!L114-'RNG HERE'!AJ$92)*Sheet2!N$20/'RNG HERE'!AJ$93</f>
        <v>9.5115052876075303</v>
      </c>
      <c r="BJ114" s="7">
        <f ca="1">Sheet2!O$19+('RNG HERE'!M114-'RNG HERE'!AK$92)*Sheet2!O$20/'RNG HERE'!AK$93</f>
        <v>4.0551332652759005</v>
      </c>
      <c r="BK114" s="7">
        <f ca="1">Sheet2!P$19+('RNG HERE'!N114-'RNG HERE'!AL$92)*Sheet2!P$20/'RNG HERE'!AL$93</f>
        <v>24.454848016626684</v>
      </c>
      <c r="BL114" s="7">
        <f ca="1">Sheet2!Q$19+('RNG HERE'!O114-'RNG HERE'!AM$92)*Sheet2!Q$20/'RNG HERE'!AM$93</f>
        <v>11.655831379113781</v>
      </c>
      <c r="BM114" s="7">
        <f ca="1">Sheet2!R$19+('RNG HERE'!P114-'RNG HERE'!AN$92)*Sheet2!R$20/'RNG HERE'!AN$93</f>
        <v>8.8631248364044186</v>
      </c>
      <c r="BN114" s="7">
        <f ca="1">Sheet2!S$19+('RNG HERE'!Q114-'RNG HERE'!AO$92)*Sheet2!S$20/'RNG HERE'!AO$93</f>
        <v>1.8718127208181714</v>
      </c>
      <c r="BO114" s="7">
        <f ca="1">Sheet2!T$19+('RNG HERE'!R114-'RNG HERE'!AP$92)*Sheet2!T$20/'RNG HERE'!AP$93</f>
        <v>29.24229059925041</v>
      </c>
      <c r="BP114" s="7">
        <f ca="1">Sheet2!U$19+('RNG HERE'!S114-'RNG HERE'!AQ$92)*Sheet2!U$20/'RNG HERE'!AQ$93</f>
        <v>16.876034769939277</v>
      </c>
      <c r="BQ114" s="7">
        <f ca="1">Sheet2!V$19+('RNG HERE'!T114-'RNG HERE'!AR$92)*Sheet2!V$20/'RNG HERE'!AR$93</f>
        <v>23.318105686720322</v>
      </c>
      <c r="BR114" s="7">
        <f ca="1">Sheet2!W$19+('RNG HERE'!U114-'RNG HERE'!AS$92)*Sheet2!W$20/'RNG HERE'!AS$93</f>
        <v>22.278170038129314</v>
      </c>
      <c r="BS114" s="7">
        <f ca="1">Sheet2!X$19+('RNG HERE'!V114-'RNG HERE'!AT$92)*Sheet2!X$20/'RNG HERE'!AT$93</f>
        <v>22.628781476240231</v>
      </c>
      <c r="BT114" s="7">
        <f ca="1">Sheet2!Y$19+('RNG HERE'!W114-'RNG HERE'!AU$92)*Sheet2!Y$20/'RNG HERE'!AU$93</f>
        <v>21.047947248709054</v>
      </c>
      <c r="BU114" s="7">
        <f ca="1">Sheet2!Z$19+('RNG HERE'!X114-'RNG HERE'!AV$92)*Sheet2!Z$20/'RNG HERE'!AV$93</f>
        <v>7.8742420393313495</v>
      </c>
    </row>
    <row r="115" spans="1:97" x14ac:dyDescent="0.3">
      <c r="A115" s="8" cm="1">
        <f t="array" aca="1" ref="A115" ca="1">[1]!UNIFORM_INV(RAND(),Sheet2!C$19-SQRT(3)*Sheet2!C$20,Sheet2!C$19+SQRT(3)*Sheet2!C$20)</f>
        <v>2.1414645185531818</v>
      </c>
      <c r="B115" s="8" cm="1">
        <f t="array" aca="1" ref="B115" ca="1">[1]!UNIFORM_INV(RAND(),Sheet2!D$19-SQRT(3)*Sheet2!D$20,Sheet2!D$19+SQRT(3)*Sheet2!D$20)</f>
        <v>15.132237178082901</v>
      </c>
      <c r="C115" s="8" cm="1">
        <f t="array" aca="1" ref="C115" ca="1">[1]!UNIFORM_INV(RAND(),Sheet2!E$19-SQRT(3)*Sheet2!E$20,Sheet2!E$19+SQRT(3)*Sheet2!E$20)</f>
        <v>21.684400150693484</v>
      </c>
      <c r="D115" s="8" cm="1">
        <f t="array" aca="1" ref="D115" ca="1">[1]!UNIFORM_INV(RAND(),Sheet2!F$19-SQRT(3)*Sheet2!F$20,Sheet2!F$19+SQRT(3)*Sheet2!F$20)</f>
        <v>14.077659079342224</v>
      </c>
      <c r="E115" s="8" cm="1">
        <f t="array" aca="1" ref="E115" ca="1">[1]!UNIFORM_INV(RAND(),Sheet2!G$19-SQRT(3)*Sheet2!G$20,Sheet2!G$19+SQRT(3)*Sheet2!G$20)</f>
        <v>16.51135907390578</v>
      </c>
      <c r="F115" s="8" cm="1">
        <f t="array" aca="1" ref="F115" ca="1">[1]!UNIFORM_INV(RAND(),Sheet2!H$19-SQRT(3)*Sheet2!H$20,Sheet2!H$19+SQRT(3)*Sheet2!H$20)</f>
        <v>25.851459470755582</v>
      </c>
      <c r="G115" s="8" cm="1">
        <f t="array" aca="1" ref="G115" ca="1">[1]!UNIFORM_INV(RAND(),Sheet2!I$19-SQRT(3)*Sheet2!I$20,Sheet2!I$19+SQRT(3)*Sheet2!I$20)</f>
        <v>11.010728884078999</v>
      </c>
      <c r="H115" s="8" cm="1">
        <f t="array" aca="1" ref="H115" ca="1">[1]!UNIFORM_INV(RAND(),Sheet2!J$19-SQRT(3)*Sheet2!J$20,Sheet2!J$19+SQRT(3)*Sheet2!J$20)</f>
        <v>26.454411493206873</v>
      </c>
      <c r="I115" s="8" cm="1">
        <f t="array" aca="1" ref="I115" ca="1">[1]!UNIFORM_INV(RAND(),Sheet2!K$19-SQRT(3)*Sheet2!K$20,Sheet2!K$19+SQRT(3)*Sheet2!K$20)</f>
        <v>19.912394695153811</v>
      </c>
      <c r="J115" s="8" cm="1">
        <f t="array" aca="1" ref="J115" ca="1">[1]!UNIFORM_INV(RAND(),Sheet2!L$19-SQRT(3)*Sheet2!L$20,Sheet2!L$19+SQRT(3)*Sheet2!L$20)</f>
        <v>24.083419352003418</v>
      </c>
      <c r="K115" s="8" cm="1">
        <f t="array" aca="1" ref="K115" ca="1">[1]!UNIFORM_INV(RAND(),Sheet2!M$19-SQRT(3)*Sheet2!M$20,Sheet2!M$19+SQRT(3)*Sheet2!M$20)</f>
        <v>17.547043779083346</v>
      </c>
      <c r="L115" s="8" cm="1">
        <f t="array" aca="1" ref="L115" ca="1">[1]!UNIFORM_INV(RAND(),Sheet2!N$19-SQRT(3)*Sheet2!N$20,Sheet2!N$19+SQRT(3)*Sheet2!N$20)</f>
        <v>5.3618081766251882</v>
      </c>
      <c r="M115" s="8" cm="1">
        <f t="array" aca="1" ref="M115" ca="1">[1]!UNIFORM_INV(RAND(),Sheet2!O$19-SQRT(3)*Sheet2!O$20,Sheet2!O$19+SQRT(3)*Sheet2!O$20)</f>
        <v>3.2863016788761357</v>
      </c>
      <c r="N115" s="8" cm="1">
        <f t="array" aca="1" ref="N115" ca="1">[1]!UNIFORM_INV(RAND(),Sheet2!P$19-SQRT(3)*Sheet2!P$20,Sheet2!P$19+SQRT(3)*Sheet2!P$20)</f>
        <v>22.570829049468941</v>
      </c>
      <c r="O115" s="8" cm="1">
        <f t="array" aca="1" ref="O115" ca="1">[1]!UNIFORM_INV(RAND(),Sheet2!Q$19-SQRT(3)*Sheet2!Q$20,Sheet2!Q$19+SQRT(3)*Sheet2!Q$20)</f>
        <v>10.074930752970232</v>
      </c>
      <c r="P115" s="8" cm="1">
        <f t="array" aca="1" ref="P115" ca="1">[1]!UNIFORM_INV(RAND(),Sheet2!R$19-SQRT(3)*Sheet2!R$20,Sheet2!R$19+SQRT(3)*Sheet2!R$20)</f>
        <v>5.2605831452187557</v>
      </c>
      <c r="Q115" s="8" cm="1">
        <f t="array" aca="1" ref="Q115" ca="1">[1]!UNIFORM_INV(RAND(),Sheet2!S$19-SQRT(3)*Sheet2!S$20,Sheet2!S$19+SQRT(3)*Sheet2!S$20)</f>
        <v>3.8257309587976662</v>
      </c>
      <c r="R115" s="8" cm="1">
        <f t="array" aca="1" ref="R115" ca="1">[1]!UNIFORM_INV(RAND(),Sheet2!T$19-SQRT(3)*Sheet2!T$20,Sheet2!T$19+SQRT(3)*Sheet2!T$20)</f>
        <v>27.892509958068423</v>
      </c>
      <c r="S115" s="8" cm="1">
        <f t="array" aca="1" ref="S115" ca="1">[1]!UNIFORM_INV(RAND(),Sheet2!U$19-SQRT(3)*Sheet2!U$20,Sheet2!U$19+SQRT(3)*Sheet2!U$20)</f>
        <v>20.384369217650722</v>
      </c>
      <c r="T115" s="8" cm="1">
        <f t="array" aca="1" ref="T115" ca="1">[1]!UNIFORM_INV(RAND(),Sheet2!V$19-SQRT(3)*Sheet2!V$20,Sheet2!V$19+SQRT(3)*Sheet2!V$20)</f>
        <v>20.573530496929138</v>
      </c>
      <c r="U115" s="8" cm="1">
        <f t="array" aca="1" ref="U115" ca="1">[1]!UNIFORM_INV(RAND(),Sheet2!W$19-SQRT(3)*Sheet2!W$20,Sheet2!W$19+SQRT(3)*Sheet2!W$20)</f>
        <v>23.646444112752622</v>
      </c>
      <c r="V115" s="8" cm="1">
        <f t="array" aca="1" ref="V115" ca="1">[1]!UNIFORM_INV(RAND(),Sheet2!X$19-SQRT(3)*Sheet2!X$20,Sheet2!X$19+SQRT(3)*Sheet2!X$20)</f>
        <v>23.658625976041268</v>
      </c>
      <c r="W115" s="8" cm="1">
        <f t="array" aca="1" ref="W115" ca="1">[1]!UNIFORM_INV(RAND(),Sheet2!Y$19-SQRT(3)*Sheet2!Y$20,Sheet2!Y$19+SQRT(3)*Sheet2!Y$20)</f>
        <v>20.176897798510762</v>
      </c>
      <c r="X115" s="8" cm="1">
        <f t="array" aca="1" ref="X115" ca="1">[1]!UNIFORM_INV(RAND(),Sheet2!Z$19-SQRT(3)*Sheet2!Z$20,Sheet2!Z$19+SQRT(3)*Sheet2!Z$20)</f>
        <v>7.2882606459644386</v>
      </c>
      <c r="AX115" s="7">
        <f ca="1">Sheet2!C$19+('RNG HERE'!A115-'RNG HERE'!Y$92)*Sheet2!C$20/'RNG HERE'!Y$93</f>
        <v>2.2773597915241859</v>
      </c>
      <c r="AY115" s="7">
        <f ca="1">Sheet2!D$19+('RNG HERE'!B115-'RNG HERE'!Z$92)*Sheet2!D$20/'RNG HERE'!Z$93</f>
        <v>16.694199553495668</v>
      </c>
      <c r="AZ115" s="7">
        <f ca="1">Sheet2!E$19+('RNG HERE'!C115-'RNG HERE'!AA$92)*Sheet2!E$20/'RNG HERE'!AA$93</f>
        <v>21.922710676545993</v>
      </c>
      <c r="BA115" s="7">
        <f ca="1">Sheet2!F$19+('RNG HERE'!D115-'RNG HERE'!AB$92)*Sheet2!F$20/'RNG HERE'!AB$93</f>
        <v>14.787213146375125</v>
      </c>
      <c r="BB115" s="7">
        <f ca="1">Sheet2!G$19+('RNG HERE'!E115-'RNG HERE'!AC$92)*Sheet2!G$20/'RNG HERE'!AC$93</f>
        <v>16.83608388545251</v>
      </c>
      <c r="BC115" s="7">
        <f ca="1">Sheet2!H$19+('RNG HERE'!F115-'RNG HERE'!AD$92)*Sheet2!H$20/'RNG HERE'!AD$93</f>
        <v>25.128450602323543</v>
      </c>
      <c r="BD115" s="7">
        <f ca="1">Sheet2!I$19+('RNG HERE'!G115-'RNG HERE'!AE$92)*Sheet2!I$20/'RNG HERE'!AE$93</f>
        <v>11.079631598566824</v>
      </c>
      <c r="BE115" s="7">
        <f ca="1">Sheet2!J$19+('RNG HERE'!H115-'RNG HERE'!AF$92)*Sheet2!J$20/'RNG HERE'!AF$93</f>
        <v>26.582007828495776</v>
      </c>
      <c r="BF115" s="7">
        <f ca="1">Sheet2!K$19+('RNG HERE'!I115-'RNG HERE'!AG$92)*Sheet2!K$20/'RNG HERE'!AG$93</f>
        <v>19.729640773399662</v>
      </c>
      <c r="BG115" s="7">
        <f ca="1">Sheet2!L$19+('RNG HERE'!J115-'RNG HERE'!AH$92)*Sheet2!L$20/'RNG HERE'!AH$93</f>
        <v>23.827870640088527</v>
      </c>
      <c r="BH115" s="7">
        <f ca="1">Sheet2!M$19+('RNG HERE'!K115-'RNG HERE'!AI$92)*Sheet2!M$20/'RNG HERE'!AI$93</f>
        <v>17.657438787953065</v>
      </c>
      <c r="BI115" s="7">
        <f ca="1">Sheet2!N$19+('RNG HERE'!L115-'RNG HERE'!AJ$92)*Sheet2!N$20/'RNG HERE'!AJ$93</f>
        <v>4.3981507868791194</v>
      </c>
      <c r="BJ115" s="7">
        <f ca="1">Sheet2!O$19+('RNG HERE'!M115-'RNG HERE'!AK$92)*Sheet2!O$20/'RNG HERE'!AK$93</f>
        <v>2.7085806790735178</v>
      </c>
      <c r="BK115" s="7">
        <f ca="1">Sheet2!P$19+('RNG HERE'!N115-'RNG HERE'!AL$92)*Sheet2!P$20/'RNG HERE'!AL$93</f>
        <v>22.439868708209865</v>
      </c>
      <c r="BL115" s="7">
        <f ca="1">Sheet2!Q$19+('RNG HERE'!O115-'RNG HERE'!AM$92)*Sheet2!Q$20/'RNG HERE'!AM$93</f>
        <v>10.102090548193448</v>
      </c>
      <c r="BM115" s="7">
        <f ca="1">Sheet2!R$19+('RNG HERE'!P115-'RNG HERE'!AN$92)*Sheet2!R$20/'RNG HERE'!AN$93</f>
        <v>5.4780371045291885</v>
      </c>
      <c r="BN115" s="7">
        <f ca="1">Sheet2!S$19+('RNG HERE'!Q115-'RNG HERE'!AO$92)*Sheet2!S$20/'RNG HERE'!AO$93</f>
        <v>3.6752547164578546</v>
      </c>
      <c r="BO115" s="7">
        <f ca="1">Sheet2!T$19+('RNG HERE'!R115-'RNG HERE'!AP$92)*Sheet2!T$20/'RNG HERE'!AP$93</f>
        <v>27.751494450975713</v>
      </c>
      <c r="BP115" s="7">
        <f ca="1">Sheet2!U$19+('RNG HERE'!S115-'RNG HERE'!AQ$92)*Sheet2!U$20/'RNG HERE'!AQ$93</f>
        <v>20.796010156086773</v>
      </c>
      <c r="BQ115" s="7">
        <f ca="1">Sheet2!V$19+('RNG HERE'!T115-'RNG HERE'!AR$92)*Sheet2!V$20/'RNG HERE'!AR$93</f>
        <v>21.167704364535872</v>
      </c>
      <c r="BR115" s="7">
        <f ca="1">Sheet2!W$19+('RNG HERE'!U115-'RNG HERE'!AS$92)*Sheet2!W$20/'RNG HERE'!AS$93</f>
        <v>23.784896633126834</v>
      </c>
      <c r="BS115" s="7">
        <f ca="1">Sheet2!X$19+('RNG HERE'!V115-'RNG HERE'!AT$92)*Sheet2!X$20/'RNG HERE'!AT$93</f>
        <v>23.433144801696272</v>
      </c>
      <c r="BT115" s="7">
        <f ca="1">Sheet2!Y$19+('RNG HERE'!W115-'RNG HERE'!AU$92)*Sheet2!Y$20/'RNG HERE'!AU$93</f>
        <v>20.434608667186613</v>
      </c>
      <c r="BU115" s="7">
        <f ca="1">Sheet2!Z$19+('RNG HERE'!X115-'RNG HERE'!AV$92)*Sheet2!Z$20/'RNG HERE'!AV$93</f>
        <v>7.3352878136361035</v>
      </c>
    </row>
    <row r="116" spans="1:97" x14ac:dyDescent="0.3">
      <c r="A116" s="8" cm="1">
        <f t="array" aca="1" ref="A116" ca="1">[1]!UNIFORM_INV(RAND(),Sheet2!C$19-SQRT(3)*Sheet2!C$20,Sheet2!C$19+SQRT(3)*Sheet2!C$20)</f>
        <v>2.8303430966885044</v>
      </c>
      <c r="B116" s="8" cm="1">
        <f t="array" aca="1" ref="B116" ca="1">[1]!UNIFORM_INV(RAND(),Sheet2!D$19-SQRT(3)*Sheet2!D$20,Sheet2!D$19+SQRT(3)*Sheet2!D$20)</f>
        <v>9.2636892002189963</v>
      </c>
      <c r="C116" s="8" cm="1">
        <f t="array" aca="1" ref="C116" ca="1">[1]!UNIFORM_INV(RAND(),Sheet2!E$19-SQRT(3)*Sheet2!E$20,Sheet2!E$19+SQRT(3)*Sheet2!E$20)</f>
        <v>20.89621038782375</v>
      </c>
      <c r="D116" s="8" cm="1">
        <f t="array" aca="1" ref="D116" ca="1">[1]!UNIFORM_INV(RAND(),Sheet2!F$19-SQRT(3)*Sheet2!F$20,Sheet2!F$19+SQRT(3)*Sheet2!F$20)</f>
        <v>13.36980301093884</v>
      </c>
      <c r="E116" s="8" cm="1">
        <f t="array" aca="1" ref="E116" ca="1">[1]!UNIFORM_INV(RAND(),Sheet2!G$19-SQRT(3)*Sheet2!G$20,Sheet2!G$19+SQRT(3)*Sheet2!G$20)</f>
        <v>19.770987049130913</v>
      </c>
      <c r="F116" s="8" cm="1">
        <f t="array" aca="1" ref="F116" ca="1">[1]!UNIFORM_INV(RAND(),Sheet2!H$19-SQRT(3)*Sheet2!H$20,Sheet2!H$19+SQRT(3)*Sheet2!H$20)</f>
        <v>26.300845967973</v>
      </c>
      <c r="G116" s="8" cm="1">
        <f t="array" aca="1" ref="G116" ca="1">[1]!UNIFORM_INV(RAND(),Sheet2!I$19-SQRT(3)*Sheet2!I$20,Sheet2!I$19+SQRT(3)*Sheet2!I$20)</f>
        <v>11.079710854641071</v>
      </c>
      <c r="H116" s="8" cm="1">
        <f t="array" aca="1" ref="H116" ca="1">[1]!UNIFORM_INV(RAND(),Sheet2!J$19-SQRT(3)*Sheet2!J$20,Sheet2!J$19+SQRT(3)*Sheet2!J$20)</f>
        <v>22.140081524260523</v>
      </c>
      <c r="I116" s="8" cm="1">
        <f t="array" aca="1" ref="I116" ca="1">[1]!UNIFORM_INV(RAND(),Sheet2!K$19-SQRT(3)*Sheet2!K$20,Sheet2!K$19+SQRT(3)*Sheet2!K$20)</f>
        <v>21.655923529267604</v>
      </c>
      <c r="J116" s="8" cm="1">
        <f t="array" aca="1" ref="J116" ca="1">[1]!UNIFORM_INV(RAND(),Sheet2!L$19-SQRT(3)*Sheet2!L$20,Sheet2!L$19+SQRT(3)*Sheet2!L$20)</f>
        <v>21.932256568348045</v>
      </c>
      <c r="K116" s="8" cm="1">
        <f t="array" aca="1" ref="K116" ca="1">[1]!UNIFORM_INV(RAND(),Sheet2!M$19-SQRT(3)*Sheet2!M$20,Sheet2!M$19+SQRT(3)*Sheet2!M$20)</f>
        <v>17.528330476375697</v>
      </c>
      <c r="L116" s="8" cm="1">
        <f t="array" aca="1" ref="L116" ca="1">[1]!UNIFORM_INV(RAND(),Sheet2!N$19-SQRT(3)*Sheet2!N$20,Sheet2!N$19+SQRT(3)*Sheet2!N$20)</f>
        <v>10.214989745677645</v>
      </c>
      <c r="M116" s="8" cm="1">
        <f t="array" aca="1" ref="M116" ca="1">[1]!UNIFORM_INV(RAND(),Sheet2!O$19-SQRT(3)*Sheet2!O$20,Sheet2!O$19+SQRT(3)*Sheet2!O$20)</f>
        <v>5.4937926601700457</v>
      </c>
      <c r="N116" s="8" cm="1">
        <f t="array" aca="1" ref="N116" ca="1">[1]!UNIFORM_INV(RAND(),Sheet2!P$19-SQRT(3)*Sheet2!P$20,Sheet2!P$19+SQRT(3)*Sheet2!P$20)</f>
        <v>25.460505531532256</v>
      </c>
      <c r="O116" s="8" cm="1">
        <f t="array" aca="1" ref="O116" ca="1">[1]!UNIFORM_INV(RAND(),Sheet2!Q$19-SQRT(3)*Sheet2!Q$20,Sheet2!Q$19+SQRT(3)*Sheet2!Q$20)</f>
        <v>10.789813385067822</v>
      </c>
      <c r="P116" s="8" cm="1">
        <f t="array" aca="1" ref="P116" ca="1">[1]!UNIFORM_INV(RAND(),Sheet2!R$19-SQRT(3)*Sheet2!R$20,Sheet2!R$19+SQRT(3)*Sheet2!R$20)</f>
        <v>7.1807919008697345</v>
      </c>
      <c r="Q116" s="8" cm="1">
        <f t="array" aca="1" ref="Q116" ca="1">[1]!UNIFORM_INV(RAND(),Sheet2!S$19-SQRT(3)*Sheet2!S$20,Sheet2!S$19+SQRT(3)*Sheet2!S$20)</f>
        <v>3.0307271048327951</v>
      </c>
      <c r="R116" s="8" cm="1">
        <f t="array" aca="1" ref="R116" ca="1">[1]!UNIFORM_INV(RAND(),Sheet2!T$19-SQRT(3)*Sheet2!T$20,Sheet2!T$19+SQRT(3)*Sheet2!T$20)</f>
        <v>27.79895556250764</v>
      </c>
      <c r="S116" s="8" cm="1">
        <f t="array" aca="1" ref="S116" ca="1">[1]!UNIFORM_INV(RAND(),Sheet2!U$19-SQRT(3)*Sheet2!U$20,Sheet2!U$19+SQRT(3)*Sheet2!U$20)</f>
        <v>15.522025852341342</v>
      </c>
      <c r="T116" s="8" cm="1">
        <f t="array" aca="1" ref="T116" ca="1">[1]!UNIFORM_INV(RAND(),Sheet2!V$19-SQRT(3)*Sheet2!V$20,Sheet2!V$19+SQRT(3)*Sheet2!V$20)</f>
        <v>23.318953715801932</v>
      </c>
      <c r="U116" s="8" cm="1">
        <f t="array" aca="1" ref="U116" ca="1">[1]!UNIFORM_INV(RAND(),Sheet2!W$19-SQRT(3)*Sheet2!W$20,Sheet2!W$19+SQRT(3)*Sheet2!W$20)</f>
        <v>24.685058469382447</v>
      </c>
      <c r="V116" s="8" cm="1">
        <f t="array" aca="1" ref="V116" ca="1">[1]!UNIFORM_INV(RAND(),Sheet2!X$19-SQRT(3)*Sheet2!X$20,Sheet2!X$19+SQRT(3)*Sheet2!X$20)</f>
        <v>22.570521706132801</v>
      </c>
      <c r="W116" s="8" cm="1">
        <f t="array" aca="1" ref="W116" ca="1">[1]!UNIFORM_INV(RAND(),Sheet2!Y$19-SQRT(3)*Sheet2!Y$20,Sheet2!Y$19+SQRT(3)*Sheet2!Y$20)</f>
        <v>20.62438879648419</v>
      </c>
      <c r="X116" s="8" cm="1">
        <f t="array" aca="1" ref="X116" ca="1">[1]!UNIFORM_INV(RAND(),Sheet2!Z$19-SQRT(3)*Sheet2!Z$20,Sheet2!Z$19+SQRT(3)*Sheet2!Z$20)</f>
        <v>6.4217032906593934</v>
      </c>
      <c r="AX116" s="7">
        <f ca="1">Sheet2!C$19+('RNG HERE'!A116-'RNG HERE'!Y$92)*Sheet2!C$20/'RNG HERE'!Y$93</f>
        <v>2.9591913837728407</v>
      </c>
      <c r="AY116" s="7">
        <f ca="1">Sheet2!D$19+('RNG HERE'!B116-'RNG HERE'!Z$92)*Sheet2!D$20/'RNG HERE'!Z$93</f>
        <v>10.261311614207315</v>
      </c>
      <c r="AZ116" s="7">
        <f ca="1">Sheet2!E$19+('RNG HERE'!C116-'RNG HERE'!AA$92)*Sheet2!E$20/'RNG HERE'!AA$93</f>
        <v>21.116925197040924</v>
      </c>
      <c r="BA116" s="7">
        <f ca="1">Sheet2!F$19+('RNG HERE'!D116-'RNG HERE'!AB$92)*Sheet2!F$20/'RNG HERE'!AB$93</f>
        <v>14.092324679445024</v>
      </c>
      <c r="BB116" s="7">
        <f ca="1">Sheet2!G$19+('RNG HERE'!E116-'RNG HERE'!AC$92)*Sheet2!G$20/'RNG HERE'!AC$93</f>
        <v>20.035384445244077</v>
      </c>
      <c r="BC116" s="7">
        <f ca="1">Sheet2!H$19+('RNG HERE'!F116-'RNG HERE'!AD$92)*Sheet2!H$20/'RNG HERE'!AD$93</f>
        <v>25.580218320400085</v>
      </c>
      <c r="BD116" s="7">
        <f ca="1">Sheet2!I$19+('RNG HERE'!G116-'RNG HERE'!AE$92)*Sheet2!I$20/'RNG HERE'!AE$93</f>
        <v>11.145203122058174</v>
      </c>
      <c r="BE116" s="7">
        <f ca="1">Sheet2!J$19+('RNG HERE'!H116-'RNG HERE'!AF$92)*Sheet2!J$20/'RNG HERE'!AF$93</f>
        <v>21.962270268093249</v>
      </c>
      <c r="BF116" s="7">
        <f ca="1">Sheet2!K$19+('RNG HERE'!I116-'RNG HERE'!AG$92)*Sheet2!K$20/'RNG HERE'!AG$93</f>
        <v>21.793333140697754</v>
      </c>
      <c r="BG116" s="7">
        <f ca="1">Sheet2!L$19+('RNG HERE'!J116-'RNG HERE'!AH$92)*Sheet2!L$20/'RNG HERE'!AH$93</f>
        <v>21.510332785568227</v>
      </c>
      <c r="BH116" s="7">
        <f ca="1">Sheet2!M$19+('RNG HERE'!K116-'RNG HERE'!AI$92)*Sheet2!M$20/'RNG HERE'!AI$93</f>
        <v>17.636271174673272</v>
      </c>
      <c r="BI116" s="7">
        <f ca="1">Sheet2!N$19+('RNG HERE'!L116-'RNG HERE'!AJ$92)*Sheet2!N$20/'RNG HERE'!AJ$93</f>
        <v>9.8905873595504907</v>
      </c>
      <c r="BJ116" s="7">
        <f ca="1">Sheet2!O$19+('RNG HERE'!M116-'RNG HERE'!AK$92)*Sheet2!O$20/'RNG HERE'!AK$93</f>
        <v>5.6861980866687221</v>
      </c>
      <c r="BK116" s="7">
        <f ca="1">Sheet2!P$19+('RNG HERE'!N116-'RNG HERE'!AL$92)*Sheet2!P$20/'RNG HERE'!AL$93</f>
        <v>25.344576148850006</v>
      </c>
      <c r="BL116" s="7">
        <f ca="1">Sheet2!Q$19+('RNG HERE'!O116-'RNG HERE'!AM$92)*Sheet2!Q$20/'RNG HERE'!AM$93</f>
        <v>10.806815236273152</v>
      </c>
      <c r="BM116" s="7">
        <f ca="1">Sheet2!R$19+('RNG HERE'!P116-'RNG HERE'!AN$92)*Sheet2!R$20/'RNG HERE'!AN$93</f>
        <v>7.3238205099885372</v>
      </c>
      <c r="BN116" s="7">
        <f ca="1">Sheet2!S$19+('RNG HERE'!Q116-'RNG HERE'!AO$92)*Sheet2!S$20/'RNG HERE'!AO$93</f>
        <v>2.9146876231404564</v>
      </c>
      <c r="BO116" s="7">
        <f ca="1">Sheet2!T$19+('RNG HERE'!R116-'RNG HERE'!AP$92)*Sheet2!T$20/'RNG HERE'!AP$93</f>
        <v>27.66979984760232</v>
      </c>
      <c r="BP116" s="7">
        <f ca="1">Sheet2!U$19+('RNG HERE'!S116-'RNG HERE'!AQ$92)*Sheet2!U$20/'RNG HERE'!AQ$93</f>
        <v>15.843910157627104</v>
      </c>
      <c r="BQ116" s="7">
        <f ca="1">Sheet2!V$19+('RNG HERE'!T116-'RNG HERE'!AR$92)*Sheet2!V$20/'RNG HERE'!AR$93</f>
        <v>23.683420340081902</v>
      </c>
      <c r="BR116" s="7">
        <f ca="1">Sheet2!W$19+('RNG HERE'!U116-'RNG HERE'!AS$92)*Sheet2!W$20/'RNG HERE'!AS$93</f>
        <v>24.785523644892997</v>
      </c>
      <c r="BS116" s="7">
        <f ca="1">Sheet2!X$19+('RNG HERE'!V116-'RNG HERE'!AT$92)*Sheet2!X$20/'RNG HERE'!AT$93</f>
        <v>22.328414905517594</v>
      </c>
      <c r="BT116" s="7">
        <f ca="1">Sheet2!Y$19+('RNG HERE'!W116-'RNG HERE'!AU$92)*Sheet2!Y$20/'RNG HERE'!AU$93</f>
        <v>20.872210252766177</v>
      </c>
      <c r="BU116" s="7">
        <f ca="1">Sheet2!Z$19+('RNG HERE'!X116-'RNG HERE'!AV$92)*Sheet2!Z$20/'RNG HERE'!AV$93</f>
        <v>6.4068251023759846</v>
      </c>
    </row>
    <row r="117" spans="1:97" x14ac:dyDescent="0.3">
      <c r="A117" s="8" cm="1">
        <f t="array" aca="1" ref="A117" ca="1">[1]!UNIFORM_INV(RAND(),Sheet2!C$19-SQRT(3)*Sheet2!C$20,Sheet2!C$19+SQRT(3)*Sheet2!C$20)</f>
        <v>1.8180764834341963</v>
      </c>
      <c r="B117" s="8" cm="1">
        <f t="array" aca="1" ref="B117" ca="1">[1]!UNIFORM_INV(RAND(),Sheet2!D$19-SQRT(3)*Sheet2!D$20,Sheet2!D$19+SQRT(3)*Sheet2!D$20)</f>
        <v>6.1443439047411745</v>
      </c>
      <c r="C117" s="8" cm="1">
        <f t="array" aca="1" ref="C117" ca="1">[1]!UNIFORM_INV(RAND(),Sheet2!E$19-SQRT(3)*Sheet2!E$20,Sheet2!E$19+SQRT(3)*Sheet2!E$20)</f>
        <v>24.571896508222366</v>
      </c>
      <c r="D117" s="8" cm="1">
        <f t="array" aca="1" ref="D117" ca="1">[1]!UNIFORM_INV(RAND(),Sheet2!F$19-SQRT(3)*Sheet2!F$20,Sheet2!F$19+SQRT(3)*Sheet2!F$20)</f>
        <v>17.382737566518237</v>
      </c>
      <c r="E117" s="8" cm="1">
        <f t="array" aca="1" ref="E117" ca="1">[1]!UNIFORM_INV(RAND(),Sheet2!G$19-SQRT(3)*Sheet2!G$20,Sheet2!G$19+SQRT(3)*Sheet2!G$20)</f>
        <v>13.704553387707302</v>
      </c>
      <c r="F117" s="8" cm="1">
        <f t="array" aca="1" ref="F117" ca="1">[1]!UNIFORM_INV(RAND(),Sheet2!H$19-SQRT(3)*Sheet2!H$20,Sheet2!H$19+SQRT(3)*Sheet2!H$20)</f>
        <v>33.871028620185179</v>
      </c>
      <c r="G117" s="8" cm="1">
        <f t="array" aca="1" ref="G117" ca="1">[1]!UNIFORM_INV(RAND(),Sheet2!I$19-SQRT(3)*Sheet2!I$20,Sheet2!I$19+SQRT(3)*Sheet2!I$20)</f>
        <v>11.808955916378761</v>
      </c>
      <c r="H117" s="8" cm="1">
        <f t="array" aca="1" ref="H117" ca="1">[1]!UNIFORM_INV(RAND(),Sheet2!J$19-SQRT(3)*Sheet2!J$20,Sheet2!J$19+SQRT(3)*Sheet2!J$20)</f>
        <v>25.153284869751051</v>
      </c>
      <c r="I117" s="8" cm="1">
        <f t="array" aca="1" ref="I117" ca="1">[1]!UNIFORM_INV(RAND(),Sheet2!K$19-SQRT(3)*Sheet2!K$20,Sheet2!K$19+SQRT(3)*Sheet2!K$20)</f>
        <v>20.984064261098275</v>
      </c>
      <c r="J117" s="8" cm="1">
        <f t="array" aca="1" ref="J117" ca="1">[1]!UNIFORM_INV(RAND(),Sheet2!L$19-SQRT(3)*Sheet2!L$20,Sheet2!L$19+SQRT(3)*Sheet2!L$20)</f>
        <v>21.599004576260892</v>
      </c>
      <c r="K117" s="8" cm="1">
        <f t="array" aca="1" ref="K117" ca="1">[1]!UNIFORM_INV(RAND(),Sheet2!M$19-SQRT(3)*Sheet2!M$20,Sheet2!M$19+SQRT(3)*Sheet2!M$20)</f>
        <v>16.341420928840105</v>
      </c>
      <c r="L117" s="8" cm="1">
        <f t="array" aca="1" ref="L117" ca="1">[1]!UNIFORM_INV(RAND(),Sheet2!N$19-SQRT(3)*Sheet2!N$20,Sheet2!N$19+SQRT(3)*Sheet2!N$20)</f>
        <v>7.2494129121250586</v>
      </c>
      <c r="M117" s="8" cm="1">
        <f t="array" aca="1" ref="M117" ca="1">[1]!UNIFORM_INV(RAND(),Sheet2!O$19-SQRT(3)*Sheet2!O$20,Sheet2!O$19+SQRT(3)*Sheet2!O$20)</f>
        <v>7.0298930819531495</v>
      </c>
      <c r="N117" s="8" cm="1">
        <f t="array" aca="1" ref="N117" ca="1">[1]!UNIFORM_INV(RAND(),Sheet2!P$19-SQRT(3)*Sheet2!P$20,Sheet2!P$19+SQRT(3)*Sheet2!P$20)</f>
        <v>23.74683062244857</v>
      </c>
      <c r="O117" s="8" cm="1">
        <f t="array" aca="1" ref="O117" ca="1">[1]!UNIFORM_INV(RAND(),Sheet2!Q$19-SQRT(3)*Sheet2!Q$20,Sheet2!Q$19+SQRT(3)*Sheet2!Q$20)</f>
        <v>9.386947649833683</v>
      </c>
      <c r="P117" s="8" cm="1">
        <f t="array" aca="1" ref="P117" ca="1">[1]!UNIFORM_INV(RAND(),Sheet2!R$19-SQRT(3)*Sheet2!R$20,Sheet2!R$19+SQRT(3)*Sheet2!R$20)</f>
        <v>6.449925383676554</v>
      </c>
      <c r="Q117" s="8" cm="1">
        <f t="array" aca="1" ref="Q117" ca="1">[1]!UNIFORM_INV(RAND(),Sheet2!S$19-SQRT(3)*Sheet2!S$20,Sheet2!S$19+SQRT(3)*Sheet2!S$20)</f>
        <v>3.7377471379895795</v>
      </c>
      <c r="R117" s="8" cm="1">
        <f t="array" aca="1" ref="R117" ca="1">[1]!UNIFORM_INV(RAND(),Sheet2!T$19-SQRT(3)*Sheet2!T$20,Sheet2!T$19+SQRT(3)*Sheet2!T$20)</f>
        <v>27.406957889464831</v>
      </c>
      <c r="S117" s="8" cm="1">
        <f t="array" aca="1" ref="S117" ca="1">[1]!UNIFORM_INV(RAND(),Sheet2!U$19-SQRT(3)*Sheet2!U$20,Sheet2!U$19+SQRT(3)*Sheet2!U$20)</f>
        <v>19.948832352975366</v>
      </c>
      <c r="T117" s="8" cm="1">
        <f t="array" aca="1" ref="T117" ca="1">[1]!UNIFORM_INV(RAND(),Sheet2!V$19-SQRT(3)*Sheet2!V$20,Sheet2!V$19+SQRT(3)*Sheet2!V$20)</f>
        <v>22.117782024039485</v>
      </c>
      <c r="U117" s="8" cm="1">
        <f t="array" aca="1" ref="U117" ca="1">[1]!UNIFORM_INV(RAND(),Sheet2!W$19-SQRT(3)*Sheet2!W$20,Sheet2!W$19+SQRT(3)*Sheet2!W$20)</f>
        <v>23.197680300808099</v>
      </c>
      <c r="V117" s="8" cm="1">
        <f t="array" aca="1" ref="V117" ca="1">[1]!UNIFORM_INV(RAND(),Sheet2!X$19-SQRT(3)*Sheet2!X$20,Sheet2!X$19+SQRT(3)*Sheet2!X$20)</f>
        <v>21.996477230401556</v>
      </c>
      <c r="W117" s="8" cm="1">
        <f t="array" aca="1" ref="W117" ca="1">[1]!UNIFORM_INV(RAND(),Sheet2!Y$19-SQRT(3)*Sheet2!Y$20,Sheet2!Y$19+SQRT(3)*Sheet2!Y$20)</f>
        <v>20.899652641808238</v>
      </c>
      <c r="X117" s="8" cm="1">
        <f t="array" aca="1" ref="X117" ca="1">[1]!UNIFORM_INV(RAND(),Sheet2!Z$19-SQRT(3)*Sheet2!Z$20,Sheet2!Z$19+SQRT(3)*Sheet2!Z$20)</f>
        <v>7.8373017308883322</v>
      </c>
      <c r="AX117" s="7">
        <f ca="1">Sheet2!C$19+('RNG HERE'!A117-'RNG HERE'!Y$92)*Sheet2!C$20/'RNG HERE'!Y$93</f>
        <v>1.9572799024148633</v>
      </c>
      <c r="AY117" s="7">
        <f ca="1">Sheet2!D$19+('RNG HERE'!B117-'RNG HERE'!Z$92)*Sheet2!D$20/'RNG HERE'!Z$93</f>
        <v>6.8419992382251547</v>
      </c>
      <c r="AZ117" s="7">
        <f ca="1">Sheet2!E$19+('RNG HERE'!C117-'RNG HERE'!AA$92)*Sheet2!E$20/'RNG HERE'!AA$93</f>
        <v>24.874668119572426</v>
      </c>
      <c r="BA117" s="7">
        <f ca="1">Sheet2!F$19+('RNG HERE'!D117-'RNG HERE'!AB$92)*Sheet2!F$20/'RNG HERE'!AB$93</f>
        <v>18.031744097727518</v>
      </c>
      <c r="BB117" s="7">
        <f ca="1">Sheet2!G$19+('RNG HERE'!E117-'RNG HERE'!AC$92)*Sheet2!G$20/'RNG HERE'!AC$93</f>
        <v>14.081225026916439</v>
      </c>
      <c r="BC117" s="7">
        <f ca="1">Sheet2!H$19+('RNG HERE'!F117-'RNG HERE'!AD$92)*Sheet2!H$20/'RNG HERE'!AD$93</f>
        <v>33.190514053335562</v>
      </c>
      <c r="BD117" s="7">
        <f ca="1">Sheet2!I$19+('RNG HERE'!G117-'RNG HERE'!AE$92)*Sheet2!I$20/'RNG HERE'!AE$93</f>
        <v>11.838394535800928</v>
      </c>
      <c r="BE117" s="7">
        <f ca="1">Sheet2!J$19+('RNG HERE'!H117-'RNG HERE'!AF$92)*Sheet2!J$20/'RNG HERE'!AF$93</f>
        <v>25.18877560553566</v>
      </c>
      <c r="BF117" s="7">
        <f ca="1">Sheet2!K$19+('RNG HERE'!I117-'RNG HERE'!AG$92)*Sheet2!K$20/'RNG HERE'!AG$93</f>
        <v>20.998100611994399</v>
      </c>
      <c r="BG117" s="7">
        <f ca="1">Sheet2!L$19+('RNG HERE'!J117-'RNG HERE'!AH$92)*Sheet2!L$20/'RNG HERE'!AH$93</f>
        <v>21.151306442873743</v>
      </c>
      <c r="BH117" s="7">
        <f ca="1">Sheet2!M$19+('RNG HERE'!K117-'RNG HERE'!AI$92)*Sheet2!M$20/'RNG HERE'!AI$93</f>
        <v>16.293694575938687</v>
      </c>
      <c r="BI117" s="7">
        <f ca="1">Sheet2!N$19+('RNG HERE'!L117-'RNG HERE'!AJ$92)*Sheet2!N$20/'RNG HERE'!AJ$93</f>
        <v>6.5343884562295642</v>
      </c>
      <c r="BJ117" s="7">
        <f ca="1">Sheet2!O$19+('RNG HERE'!M117-'RNG HERE'!AK$92)*Sheet2!O$20/'RNG HERE'!AK$93</f>
        <v>7.7581971999039325</v>
      </c>
      <c r="BK117" s="7">
        <f ca="1">Sheet2!P$19+('RNG HERE'!N117-'RNG HERE'!AL$92)*Sheet2!P$20/'RNG HERE'!AL$93</f>
        <v>23.621987378047727</v>
      </c>
      <c r="BL117" s="7">
        <f ca="1">Sheet2!Q$19+('RNG HERE'!O117-'RNG HERE'!AM$92)*Sheet2!Q$20/'RNG HERE'!AM$93</f>
        <v>9.4238831670189871</v>
      </c>
      <c r="BM117" s="7">
        <f ca="1">Sheet2!R$19+('RNG HERE'!P117-'RNG HERE'!AN$92)*Sheet2!R$20/'RNG HERE'!AN$93</f>
        <v>6.6212816401541978</v>
      </c>
      <c r="BN117" s="7">
        <f ca="1">Sheet2!S$19+('RNG HERE'!Q117-'RNG HERE'!AO$92)*Sheet2!S$20/'RNG HERE'!AO$93</f>
        <v>3.5910820441906299</v>
      </c>
      <c r="BO117" s="7">
        <f ca="1">Sheet2!T$19+('RNG HERE'!R117-'RNG HERE'!AP$92)*Sheet2!T$20/'RNG HERE'!AP$93</f>
        <v>27.327495306692544</v>
      </c>
      <c r="BP117" s="7">
        <f ca="1">Sheet2!U$19+('RNG HERE'!S117-'RNG HERE'!AQ$92)*Sheet2!U$20/'RNG HERE'!AQ$93</f>
        <v>20.352433480223873</v>
      </c>
      <c r="BQ117" s="7">
        <f ca="1">Sheet2!V$19+('RNG HERE'!T117-'RNG HERE'!AR$92)*Sheet2!V$20/'RNG HERE'!AR$93</f>
        <v>22.582749669866939</v>
      </c>
      <c r="BR117" s="7">
        <f ca="1">Sheet2!W$19+('RNG HERE'!U117-'RNG HERE'!AS$92)*Sheet2!W$20/'RNG HERE'!AS$93</f>
        <v>23.352546368306758</v>
      </c>
      <c r="BS117" s="7">
        <f ca="1">Sheet2!X$19+('RNG HERE'!V117-'RNG HERE'!AT$92)*Sheet2!X$20/'RNG HERE'!AT$93</f>
        <v>21.745599350414707</v>
      </c>
      <c r="BT117" s="7">
        <f ca="1">Sheet2!Y$19+('RNG HERE'!W117-'RNG HERE'!AU$92)*Sheet2!Y$20/'RNG HERE'!AU$93</f>
        <v>21.141390852402917</v>
      </c>
      <c r="BU117" s="7">
        <f ca="1">Sheet2!Z$19+('RNG HERE'!X117-'RNG HERE'!AV$92)*Sheet2!Z$20/'RNG HERE'!AV$93</f>
        <v>7.9235514423282734</v>
      </c>
    </row>
    <row r="118" spans="1:97" x14ac:dyDescent="0.3">
      <c r="A118" s="8" cm="1">
        <f t="array" aca="1" ref="A118" ca="1">[1]!UNIFORM_INV(RAND(),Sheet2!C$19-SQRT(3)*Sheet2!C$20,Sheet2!C$19+SQRT(3)*Sheet2!C$20)</f>
        <v>1.9717474701656075</v>
      </c>
      <c r="B118" s="8" cm="1">
        <f t="array" aca="1" ref="B118" ca="1">[1]!UNIFORM_INV(RAND(),Sheet2!D$19-SQRT(3)*Sheet2!D$20,Sheet2!D$19+SQRT(3)*Sheet2!D$20)</f>
        <v>4.7916668349916494</v>
      </c>
      <c r="C118" s="8" cm="1">
        <f t="array" aca="1" ref="C118" ca="1">[1]!UNIFORM_INV(RAND(),Sheet2!E$19-SQRT(3)*Sheet2!E$20,Sheet2!E$19+SQRT(3)*Sheet2!E$20)</f>
        <v>20.890057674641184</v>
      </c>
      <c r="D118" s="8" cm="1">
        <f t="array" aca="1" ref="D118" ca="1">[1]!UNIFORM_INV(RAND(),Sheet2!F$19-SQRT(3)*Sheet2!F$20,Sheet2!F$19+SQRT(3)*Sheet2!F$20)</f>
        <v>18.661945986512087</v>
      </c>
      <c r="E118" s="8" cm="1">
        <f t="array" aca="1" ref="E118" ca="1">[1]!UNIFORM_INV(RAND(),Sheet2!G$19-SQRT(3)*Sheet2!G$20,Sheet2!G$19+SQRT(3)*Sheet2!G$20)</f>
        <v>21.015512798115843</v>
      </c>
      <c r="F118" s="8" cm="1">
        <f t="array" aca="1" ref="F118" ca="1">[1]!UNIFORM_INV(RAND(),Sheet2!H$19-SQRT(3)*Sheet2!H$20,Sheet2!H$19+SQRT(3)*Sheet2!H$20)</f>
        <v>23.410542301123243</v>
      </c>
      <c r="G118" s="8" cm="1">
        <f t="array" aca="1" ref="G118" ca="1">[1]!UNIFORM_INV(RAND(),Sheet2!I$19-SQRT(3)*Sheet2!I$20,Sheet2!I$19+SQRT(3)*Sheet2!I$20)</f>
        <v>11.644437494998671</v>
      </c>
      <c r="H118" s="8" cm="1">
        <f t="array" aca="1" ref="H118" ca="1">[1]!UNIFORM_INV(RAND(),Sheet2!J$19-SQRT(3)*Sheet2!J$20,Sheet2!J$19+SQRT(3)*Sheet2!J$20)</f>
        <v>25.734429985043299</v>
      </c>
      <c r="I118" s="8" cm="1">
        <f t="array" aca="1" ref="I118" ca="1">[1]!UNIFORM_INV(RAND(),Sheet2!K$19-SQRT(3)*Sheet2!K$20,Sheet2!K$19+SQRT(3)*Sheet2!K$20)</f>
        <v>24.571961164615434</v>
      </c>
      <c r="J118" s="8" cm="1">
        <f t="array" aca="1" ref="J118" ca="1">[1]!UNIFORM_INV(RAND(),Sheet2!L$19-SQRT(3)*Sheet2!L$20,Sheet2!L$19+SQRT(3)*Sheet2!L$20)</f>
        <v>21.987306389467474</v>
      </c>
      <c r="K118" s="8" cm="1">
        <f t="array" aca="1" ref="K118" ca="1">[1]!UNIFORM_INV(RAND(),Sheet2!M$19-SQRT(3)*Sheet2!M$20,Sheet2!M$19+SQRT(3)*Sheet2!M$20)</f>
        <v>17.695909602140862</v>
      </c>
      <c r="L118" s="8" cm="1">
        <f t="array" aca="1" ref="L118" ca="1">[1]!UNIFORM_INV(RAND(),Sheet2!N$19-SQRT(3)*Sheet2!N$20,Sheet2!N$19+SQRT(3)*Sheet2!N$20)</f>
        <v>3.6795451524276546</v>
      </c>
      <c r="M118" s="8" cm="1">
        <f t="array" aca="1" ref="M118" ca="1">[1]!UNIFORM_INV(RAND(),Sheet2!O$19-SQRT(3)*Sheet2!O$20,Sheet2!O$19+SQRT(3)*Sheet2!O$20)</f>
        <v>7.2666735126647808</v>
      </c>
      <c r="N118" s="8" cm="1">
        <f t="array" aca="1" ref="N118" ca="1">[1]!UNIFORM_INV(RAND(),Sheet2!P$19-SQRT(3)*Sheet2!P$20,Sheet2!P$19+SQRT(3)*Sheet2!P$20)</f>
        <v>23.559202233707609</v>
      </c>
      <c r="O118" s="8" cm="1">
        <f t="array" aca="1" ref="O118" ca="1">[1]!UNIFORM_INV(RAND(),Sheet2!Q$19-SQRT(3)*Sheet2!Q$20,Sheet2!Q$19+SQRT(3)*Sheet2!Q$20)</f>
        <v>8.7018183209097035</v>
      </c>
      <c r="P118" s="8" cm="1">
        <f t="array" aca="1" ref="P118" ca="1">[1]!UNIFORM_INV(RAND(),Sheet2!R$19-SQRT(3)*Sheet2!R$20,Sheet2!R$19+SQRT(3)*Sheet2!R$20)</f>
        <v>7.0213444997611631</v>
      </c>
      <c r="Q118" s="8" cm="1">
        <f t="array" aca="1" ref="Q118" ca="1">[1]!UNIFORM_INV(RAND(),Sheet2!S$19-SQRT(3)*Sheet2!S$20,Sheet2!S$19+SQRT(3)*Sheet2!S$20)</f>
        <v>4.0599532501200075</v>
      </c>
      <c r="R118" s="8" cm="1">
        <f t="array" aca="1" ref="R118" ca="1">[1]!UNIFORM_INV(RAND(),Sheet2!T$19-SQRT(3)*Sheet2!T$20,Sheet2!T$19+SQRT(3)*Sheet2!T$20)</f>
        <v>18.054565395252002</v>
      </c>
      <c r="S118" s="8" cm="1">
        <f t="array" aca="1" ref="S118" ca="1">[1]!UNIFORM_INV(RAND(),Sheet2!U$19-SQRT(3)*Sheet2!U$20,Sheet2!U$19+SQRT(3)*Sheet2!U$20)</f>
        <v>14.876342546018536</v>
      </c>
      <c r="T118" s="8" cm="1">
        <f t="array" aca="1" ref="T118" ca="1">[1]!UNIFORM_INV(RAND(),Sheet2!V$19-SQRT(3)*Sheet2!V$20,Sheet2!V$19+SQRT(3)*Sheet2!V$20)</f>
        <v>21.616723766631303</v>
      </c>
      <c r="U118" s="8" cm="1">
        <f t="array" aca="1" ref="U118" ca="1">[1]!UNIFORM_INV(RAND(),Sheet2!W$19-SQRT(3)*Sheet2!W$20,Sheet2!W$19+SQRT(3)*Sheet2!W$20)</f>
        <v>22.569277984476095</v>
      </c>
      <c r="V118" s="8" cm="1">
        <f t="array" aca="1" ref="V118" ca="1">[1]!UNIFORM_INV(RAND(),Sheet2!X$19-SQRT(3)*Sheet2!X$20,Sheet2!X$19+SQRT(3)*Sheet2!X$20)</f>
        <v>25.338782216370252</v>
      </c>
      <c r="W118" s="8" cm="1">
        <f t="array" aca="1" ref="W118" ca="1">[1]!UNIFORM_INV(RAND(),Sheet2!Y$19-SQRT(3)*Sheet2!Y$20,Sheet2!Y$19+SQRT(3)*Sheet2!Y$20)</f>
        <v>20.79736946337848</v>
      </c>
      <c r="X118" s="8" cm="1">
        <f t="array" aca="1" ref="X118" ca="1">[1]!UNIFORM_INV(RAND(),Sheet2!Z$19-SQRT(3)*Sheet2!Z$20,Sheet2!Z$19+SQRT(3)*Sheet2!Z$20)</f>
        <v>6.909690723100721</v>
      </c>
      <c r="AX118" s="7">
        <f ca="1">Sheet2!C$19+('RNG HERE'!A118-'RNG HERE'!Y$92)*Sheet2!C$20/'RNG HERE'!Y$93</f>
        <v>2.1093788889287355</v>
      </c>
      <c r="AY118" s="7">
        <f ca="1">Sheet2!D$19+('RNG HERE'!B118-'RNG HERE'!Z$92)*Sheet2!D$20/'RNG HERE'!Z$93</f>
        <v>5.3592440421245113</v>
      </c>
      <c r="AZ118" s="7">
        <f ca="1">Sheet2!E$19+('RNG HERE'!C118-'RNG HERE'!AA$92)*Sheet2!E$20/'RNG HERE'!AA$93</f>
        <v>21.110635129374963</v>
      </c>
      <c r="BA118" s="7">
        <f ca="1">Sheet2!F$19+('RNG HERE'!D118-'RNG HERE'!AB$92)*Sheet2!F$20/'RNG HERE'!AB$93</f>
        <v>19.28751800082987</v>
      </c>
      <c r="BB118" s="7">
        <f ca="1">Sheet2!G$19+('RNG HERE'!E118-'RNG HERE'!AC$92)*Sheet2!G$20/'RNG HERE'!AC$93</f>
        <v>21.256877190939239</v>
      </c>
      <c r="BC118" s="7">
        <f ca="1">Sheet2!H$19+('RNG HERE'!F118-'RNG HERE'!AD$92)*Sheet2!H$20/'RNG HERE'!AD$93</f>
        <v>22.674599437309237</v>
      </c>
      <c r="BD118" s="7">
        <f ca="1">Sheet2!I$19+('RNG HERE'!G118-'RNG HERE'!AE$92)*Sheet2!I$20/'RNG HERE'!AE$93</f>
        <v>11.682009853769017</v>
      </c>
      <c r="BE118" s="7">
        <f ca="1">Sheet2!J$19+('RNG HERE'!H118-'RNG HERE'!AF$92)*Sheet2!J$20/'RNG HERE'!AF$93</f>
        <v>25.811059468032095</v>
      </c>
      <c r="BF118" s="7">
        <f ca="1">Sheet2!K$19+('RNG HERE'!I118-'RNG HERE'!AG$92)*Sheet2!K$20/'RNG HERE'!AG$93</f>
        <v>25.244841652101318</v>
      </c>
      <c r="BG118" s="7">
        <f ca="1">Sheet2!L$19+('RNG HERE'!J118-'RNG HERE'!AH$92)*Sheet2!L$20/'RNG HERE'!AH$93</f>
        <v>21.569640265828767</v>
      </c>
      <c r="BH118" s="7">
        <f ca="1">Sheet2!M$19+('RNG HERE'!K118-'RNG HERE'!AI$92)*Sheet2!M$20/'RNG HERE'!AI$93</f>
        <v>17.825828848344244</v>
      </c>
      <c r="BI118" s="7">
        <f ca="1">Sheet2!N$19+('RNG HERE'!L118-'RNG HERE'!AJ$92)*Sheet2!N$20/'RNG HERE'!AJ$93</f>
        <v>2.4943021821051481</v>
      </c>
      <c r="BJ118" s="7">
        <f ca="1">Sheet2!O$19+('RNG HERE'!M118-'RNG HERE'!AK$92)*Sheet2!O$20/'RNG HERE'!AK$93</f>
        <v>8.0775831173275172</v>
      </c>
      <c r="BK118" s="7">
        <f ca="1">Sheet2!P$19+('RNG HERE'!N118-'RNG HERE'!AL$92)*Sheet2!P$20/'RNG HERE'!AL$93</f>
        <v>23.433383020350895</v>
      </c>
      <c r="BL118" s="7">
        <f ca="1">Sheet2!Q$19+('RNG HERE'!O118-'RNG HERE'!AM$92)*Sheet2!Q$20/'RNG HERE'!AM$93</f>
        <v>8.7484890100739374</v>
      </c>
      <c r="BM118" s="7">
        <f ca="1">Sheet2!R$19+('RNG HERE'!P118-'RNG HERE'!AN$92)*Sheet2!R$20/'RNG HERE'!AN$93</f>
        <v>7.1705531289583702</v>
      </c>
      <c r="BN118" s="7">
        <f ca="1">Sheet2!S$19+('RNG HERE'!Q118-'RNG HERE'!AO$92)*Sheet2!S$20/'RNG HERE'!AO$93</f>
        <v>3.8993313249079131</v>
      </c>
      <c r="BO118" s="7">
        <f ca="1">Sheet2!T$19+('RNG HERE'!R118-'RNG HERE'!AP$92)*Sheet2!T$20/'RNG HERE'!AP$93</f>
        <v>19.160695758395409</v>
      </c>
      <c r="BP118" s="7">
        <f ca="1">Sheet2!U$19+('RNG HERE'!S118-'RNG HERE'!AQ$92)*Sheet2!U$20/'RNG HERE'!AQ$93</f>
        <v>15.186307832982731</v>
      </c>
      <c r="BQ118" s="7">
        <f ca="1">Sheet2!V$19+('RNG HERE'!T118-'RNG HERE'!AR$92)*Sheet2!V$20/'RNG HERE'!AR$93</f>
        <v>22.123614533915639</v>
      </c>
      <c r="BR118" s="7">
        <f ca="1">Sheet2!W$19+('RNG HERE'!U118-'RNG HERE'!AS$92)*Sheet2!W$20/'RNG HERE'!AS$93</f>
        <v>22.747127881681372</v>
      </c>
      <c r="BS118" s="7">
        <f ca="1">Sheet2!X$19+('RNG HERE'!V118-'RNG HERE'!AT$92)*Sheet2!X$20/'RNG HERE'!AT$93</f>
        <v>25.138972892140892</v>
      </c>
      <c r="BT118" s="7">
        <f ca="1">Sheet2!Y$19+('RNG HERE'!W118-'RNG HERE'!AU$92)*Sheet2!Y$20/'RNG HERE'!AU$93</f>
        <v>21.041368100522583</v>
      </c>
      <c r="BU118" s="7">
        <f ca="1">Sheet2!Z$19+('RNG HERE'!X118-'RNG HERE'!AV$92)*Sheet2!Z$20/'RNG HERE'!AV$93</f>
        <v>6.9296735114415871</v>
      </c>
    </row>
    <row r="119" spans="1:97" x14ac:dyDescent="0.3">
      <c r="A119" s="8" cm="1">
        <f t="array" aca="1" ref="A119" ca="1">[1]!UNIFORM_INV(RAND(),Sheet2!C$19-SQRT(3)*Sheet2!C$20,Sheet2!C$19+SQRT(3)*Sheet2!C$20)</f>
        <v>5.1765981068928877</v>
      </c>
      <c r="B119" s="8" cm="1">
        <f t="array" aca="1" ref="B119" ca="1">[1]!UNIFORM_INV(RAND(),Sheet2!D$19-SQRT(3)*Sheet2!D$20,Sheet2!D$19+SQRT(3)*Sheet2!D$20)</f>
        <v>9.838234226204678</v>
      </c>
      <c r="C119" s="8" cm="1">
        <f t="array" aca="1" ref="C119" ca="1">[1]!UNIFORM_INV(RAND(),Sheet2!E$19-SQRT(3)*Sheet2!E$20,Sheet2!E$19+SQRT(3)*Sheet2!E$20)</f>
        <v>23.477204432170449</v>
      </c>
      <c r="D119" s="8" cm="1">
        <f t="array" aca="1" ref="D119" ca="1">[1]!UNIFORM_INV(RAND(),Sheet2!F$19-SQRT(3)*Sheet2!F$20,Sheet2!F$19+SQRT(3)*Sheet2!F$20)</f>
        <v>16.166702321401392</v>
      </c>
      <c r="E119" s="8" cm="1">
        <f t="array" aca="1" ref="E119" ca="1">[1]!UNIFORM_INV(RAND(),Sheet2!G$19-SQRT(3)*Sheet2!G$20,Sheet2!G$19+SQRT(3)*Sheet2!G$20)</f>
        <v>20.925709892759269</v>
      </c>
      <c r="F119" s="8" cm="1">
        <f t="array" aca="1" ref="F119" ca="1">[1]!UNIFORM_INV(RAND(),Sheet2!H$19-SQRT(3)*Sheet2!H$20,Sheet2!H$19+SQRT(3)*Sheet2!H$20)</f>
        <v>34.675207598391495</v>
      </c>
      <c r="G119" s="8" cm="1">
        <f t="array" aca="1" ref="G119" ca="1">[1]!UNIFORM_INV(RAND(),Sheet2!I$19-SQRT(3)*Sheet2!I$20,Sheet2!I$19+SQRT(3)*Sheet2!I$20)</f>
        <v>13.010390994178033</v>
      </c>
      <c r="H119" s="8" cm="1">
        <f t="array" aca="1" ref="H119" ca="1">[1]!UNIFORM_INV(RAND(),Sheet2!J$19-SQRT(3)*Sheet2!J$20,Sheet2!J$19+SQRT(3)*Sheet2!J$20)</f>
        <v>28.043711602640403</v>
      </c>
      <c r="I119" s="8" cm="1">
        <f t="array" aca="1" ref="I119" ca="1">[1]!UNIFORM_INV(RAND(),Sheet2!K$19-SQRT(3)*Sheet2!K$20,Sheet2!K$19+SQRT(3)*Sheet2!K$20)</f>
        <v>21.419169573578582</v>
      </c>
      <c r="J119" s="8" cm="1">
        <f t="array" aca="1" ref="J119" ca="1">[1]!UNIFORM_INV(RAND(),Sheet2!L$19-SQRT(3)*Sheet2!L$20,Sheet2!L$19+SQRT(3)*Sheet2!L$20)</f>
        <v>25.149300992518466</v>
      </c>
      <c r="K119" s="8" cm="1">
        <f t="array" aca="1" ref="K119" ca="1">[1]!UNIFORM_INV(RAND(),Sheet2!M$19-SQRT(3)*Sheet2!M$20,Sheet2!M$19+SQRT(3)*Sheet2!M$20)</f>
        <v>16.201887874535807</v>
      </c>
      <c r="L119" s="8" cm="1">
        <f t="array" aca="1" ref="L119" ca="1">[1]!UNIFORM_INV(RAND(),Sheet2!N$19-SQRT(3)*Sheet2!N$20,Sheet2!N$19+SQRT(3)*Sheet2!N$20)</f>
        <v>7.5354483818166269</v>
      </c>
      <c r="M119" s="8" cm="1">
        <f t="array" aca="1" ref="M119" ca="1">[1]!UNIFORM_INV(RAND(),Sheet2!O$19-SQRT(3)*Sheet2!O$20,Sheet2!O$19+SQRT(3)*Sheet2!O$20)</f>
        <v>6.3414711639899428</v>
      </c>
      <c r="N119" s="8" cm="1">
        <f t="array" aca="1" ref="N119" ca="1">[1]!UNIFORM_INV(RAND(),Sheet2!P$19-SQRT(3)*Sheet2!P$20,Sheet2!P$19+SQRT(3)*Sheet2!P$20)</f>
        <v>26.41443823385589</v>
      </c>
      <c r="O119" s="8" cm="1">
        <f t="array" aca="1" ref="O119" ca="1">[1]!UNIFORM_INV(RAND(),Sheet2!Q$19-SQRT(3)*Sheet2!Q$20,Sheet2!Q$19+SQRT(3)*Sheet2!Q$20)</f>
        <v>11.038554784133115</v>
      </c>
      <c r="P119" s="8" cm="1">
        <f t="array" aca="1" ref="P119" ca="1">[1]!UNIFORM_INV(RAND(),Sheet2!R$19-SQRT(3)*Sheet2!R$20,Sheet2!R$19+SQRT(3)*Sheet2!R$20)</f>
        <v>8.9730164521326863</v>
      </c>
      <c r="Q119" s="8" cm="1">
        <f t="array" aca="1" ref="Q119" ca="1">[1]!UNIFORM_INV(RAND(),Sheet2!S$19-SQRT(3)*Sheet2!S$20,Sheet2!S$19+SQRT(3)*Sheet2!S$20)</f>
        <v>1.5997535004049743</v>
      </c>
      <c r="R119" s="8" cm="1">
        <f t="array" aca="1" ref="R119" ca="1">[1]!UNIFORM_INV(RAND(),Sheet2!T$19-SQRT(3)*Sheet2!T$20,Sheet2!T$19+SQRT(3)*Sheet2!T$20)</f>
        <v>17.950599774205514</v>
      </c>
      <c r="S119" s="8" cm="1">
        <f t="array" aca="1" ref="S119" ca="1">[1]!UNIFORM_INV(RAND(),Sheet2!U$19-SQRT(3)*Sheet2!U$20,Sheet2!U$19+SQRT(3)*Sheet2!U$20)</f>
        <v>21.254891553017419</v>
      </c>
      <c r="T119" s="8" cm="1">
        <f t="array" aca="1" ref="T119" ca="1">[1]!UNIFORM_INV(RAND(),Sheet2!V$19-SQRT(3)*Sheet2!V$20,Sheet2!V$19+SQRT(3)*Sheet2!V$20)</f>
        <v>21.819067462620104</v>
      </c>
      <c r="U119" s="8" cm="1">
        <f t="array" aca="1" ref="U119" ca="1">[1]!UNIFORM_INV(RAND(),Sheet2!W$19-SQRT(3)*Sheet2!W$20,Sheet2!W$19+SQRT(3)*Sheet2!W$20)</f>
        <v>25.560825259883902</v>
      </c>
      <c r="V119" s="8" cm="1">
        <f t="array" aca="1" ref="V119" ca="1">[1]!UNIFORM_INV(RAND(),Sheet2!X$19-SQRT(3)*Sheet2!X$20,Sheet2!X$19+SQRT(3)*Sheet2!X$20)</f>
        <v>23.955276020576484</v>
      </c>
      <c r="W119" s="8" cm="1">
        <f t="array" aca="1" ref="W119" ca="1">[1]!UNIFORM_INV(RAND(),Sheet2!Y$19-SQRT(3)*Sheet2!Y$20,Sheet2!Y$19+SQRT(3)*Sheet2!Y$20)</f>
        <v>21.946042088137233</v>
      </c>
      <c r="X119" s="8" cm="1">
        <f t="array" aca="1" ref="X119" ca="1">[1]!UNIFORM_INV(RAND(),Sheet2!Z$19-SQRT(3)*Sheet2!Z$20,Sheet2!Z$19+SQRT(3)*Sheet2!Z$20)</f>
        <v>6.2544907438992041</v>
      </c>
      <c r="AX119" s="7">
        <f ca="1">Sheet2!C$19+('RNG HERE'!A119-'RNG HERE'!Y$92)*Sheet2!C$20/'RNG HERE'!Y$93</f>
        <v>5.2814450293416915</v>
      </c>
      <c r="AY119" s="7">
        <f ca="1">Sheet2!D$19+('RNG HERE'!B119-'RNG HERE'!Z$92)*Sheet2!D$20/'RNG HERE'!Z$93</f>
        <v>10.891106885913812</v>
      </c>
      <c r="AZ119" s="7">
        <f ca="1">Sheet2!E$19+('RNG HERE'!C119-'RNG HERE'!AA$92)*Sheet2!E$20/'RNG HERE'!AA$93</f>
        <v>23.75553790377225</v>
      </c>
      <c r="BA119" s="7">
        <f ca="1">Sheet2!F$19+('RNG HERE'!D119-'RNG HERE'!AB$92)*Sheet2!F$20/'RNG HERE'!AB$93</f>
        <v>16.837986065648781</v>
      </c>
      <c r="BB119" s="7">
        <f ca="1">Sheet2!G$19+('RNG HERE'!E119-'RNG HERE'!AC$92)*Sheet2!G$20/'RNG HERE'!AC$93</f>
        <v>21.168736308739838</v>
      </c>
      <c r="BC119" s="7">
        <f ca="1">Sheet2!H$19+('RNG HERE'!F119-'RNG HERE'!AD$92)*Sheet2!H$20/'RNG HERE'!AD$93</f>
        <v>33.998954236026734</v>
      </c>
      <c r="BD119" s="7">
        <f ca="1">Sheet2!I$19+('RNG HERE'!G119-'RNG HERE'!AE$92)*Sheet2!I$20/'RNG HERE'!AE$93</f>
        <v>12.980431038750034</v>
      </c>
      <c r="BE119" s="7">
        <f ca="1">Sheet2!J$19+('RNG HERE'!H119-'RNG HERE'!AF$92)*Sheet2!J$20/'RNG HERE'!AF$93</f>
        <v>28.283813082880396</v>
      </c>
      <c r="BF119" s="7">
        <f ca="1">Sheet2!K$19+('RNG HERE'!I119-'RNG HERE'!AG$92)*Sheet2!K$20/'RNG HERE'!AG$93</f>
        <v>21.513104146646501</v>
      </c>
      <c r="BG119" s="7">
        <f ca="1">Sheet2!L$19+('RNG HERE'!J119-'RNG HERE'!AH$92)*Sheet2!L$20/'RNG HERE'!AH$93</f>
        <v>24.976189618596649</v>
      </c>
      <c r="BH119" s="7">
        <f ca="1">Sheet2!M$19+('RNG HERE'!K119-'RNG HERE'!AI$92)*Sheet2!M$20/'RNG HERE'!AI$93</f>
        <v>16.135861307305976</v>
      </c>
      <c r="BI119" s="7">
        <f ca="1">Sheet2!N$19+('RNG HERE'!L119-'RNG HERE'!AJ$92)*Sheet2!N$20/'RNG HERE'!AJ$93</f>
        <v>6.8581001600803511</v>
      </c>
      <c r="BJ119" s="7">
        <f ca="1">Sheet2!O$19+('RNG HERE'!M119-'RNG HERE'!AK$92)*Sheet2!O$20/'RNG HERE'!AK$93</f>
        <v>6.8296058244158164</v>
      </c>
      <c r="BK119" s="7">
        <f ca="1">Sheet2!P$19+('RNG HERE'!N119-'RNG HERE'!AL$92)*Sheet2!P$20/'RNG HERE'!AL$93</f>
        <v>26.303470833258036</v>
      </c>
      <c r="BL119" s="7">
        <f ca="1">Sheet2!Q$19+('RNG HERE'!O119-'RNG HERE'!AM$92)*Sheet2!Q$20/'RNG HERE'!AM$93</f>
        <v>11.052022207317414</v>
      </c>
      <c r="BM119" s="7">
        <f ca="1">Sheet2!R$19+('RNG HERE'!P119-'RNG HERE'!AN$92)*Sheet2!R$20/'RNG HERE'!AN$93</f>
        <v>9.046580249440149</v>
      </c>
      <c r="BN119" s="7">
        <f ca="1">Sheet2!S$19+('RNG HERE'!Q119-'RNG HERE'!AO$92)*Sheet2!S$20/'RNG HERE'!AO$93</f>
        <v>1.5456987440227976</v>
      </c>
      <c r="BO119" s="7">
        <f ca="1">Sheet2!T$19+('RNG HERE'!R119-'RNG HERE'!AP$92)*Sheet2!T$20/'RNG HERE'!AP$93</f>
        <v>19.069909749625324</v>
      </c>
      <c r="BP119" s="7">
        <f ca="1">Sheet2!U$19+('RNG HERE'!S119-'RNG HERE'!AQ$92)*Sheet2!U$20/'RNG HERE'!AQ$93</f>
        <v>21.682601935347968</v>
      </c>
      <c r="BQ119" s="7">
        <f ca="1">Sheet2!V$19+('RNG HERE'!T119-'RNG HERE'!AR$92)*Sheet2!V$20/'RNG HERE'!AR$93</f>
        <v>22.309028303658234</v>
      </c>
      <c r="BR119" s="7">
        <f ca="1">Sheet2!W$19+('RNG HERE'!U119-'RNG HERE'!AS$92)*Sheet2!W$20/'RNG HERE'!AS$93</f>
        <v>25.629259244145686</v>
      </c>
      <c r="BS119" s="7">
        <f ca="1">Sheet2!X$19+('RNG HERE'!V119-'RNG HERE'!AT$92)*Sheet2!X$20/'RNG HERE'!AT$93</f>
        <v>23.73432749343257</v>
      </c>
      <c r="BT119" s="7">
        <f ca="1">Sheet2!Y$19+('RNG HERE'!W119-'RNG HERE'!AU$92)*Sheet2!Y$20/'RNG HERE'!AU$93</f>
        <v>22.16465541620645</v>
      </c>
      <c r="BU119" s="7">
        <f ca="1">Sheet2!Z$19+('RNG HERE'!X119-'RNG HERE'!AV$92)*Sheet2!Z$20/'RNG HERE'!AV$93</f>
        <v>6.227667181009056</v>
      </c>
    </row>
    <row r="120" spans="1:97" x14ac:dyDescent="0.3">
      <c r="A120" s="8" cm="1">
        <f t="array" aca="1" ref="A120" ca="1">[1]!UNIFORM_INV(RAND(),Sheet2!C$19-SQRT(3)*Sheet2!C$20,Sheet2!C$19+SQRT(3)*Sheet2!C$20)</f>
        <v>3.3539037237269507</v>
      </c>
      <c r="B120" s="8" cm="1">
        <f t="array" aca="1" ref="B120" ca="1">[1]!UNIFORM_INV(RAND(),Sheet2!D$19-SQRT(3)*Sheet2!D$20,Sheet2!D$19+SQRT(3)*Sheet2!D$20)</f>
        <v>3.5159464790642789</v>
      </c>
      <c r="C120" s="8" cm="1">
        <f t="array" aca="1" ref="C120" ca="1">[1]!UNIFORM_INV(RAND(),Sheet2!E$19-SQRT(3)*Sheet2!E$20,Sheet2!E$19+SQRT(3)*Sheet2!E$20)</f>
        <v>23.401775605189922</v>
      </c>
      <c r="D120" s="8" cm="1">
        <f t="array" aca="1" ref="D120" ca="1">[1]!UNIFORM_INV(RAND(),Sheet2!F$19-SQRT(3)*Sheet2!F$20,Sheet2!F$19+SQRT(3)*Sheet2!F$20)</f>
        <v>14.547040542590182</v>
      </c>
      <c r="E120" s="8" cm="1">
        <f t="array" aca="1" ref="E120" ca="1">[1]!UNIFORM_INV(RAND(),Sheet2!G$19-SQRT(3)*Sheet2!G$20,Sheet2!G$19+SQRT(3)*Sheet2!G$20)</f>
        <v>17.087983221018114</v>
      </c>
      <c r="F120" s="8" cm="1">
        <f t="array" aca="1" ref="F120" ca="1">[1]!UNIFORM_INV(RAND(),Sheet2!H$19-SQRT(3)*Sheet2!H$20,Sheet2!H$19+SQRT(3)*Sheet2!H$20)</f>
        <v>37.494791694297327</v>
      </c>
      <c r="G120" s="8" cm="1">
        <f t="array" aca="1" ref="G120" ca="1">[1]!UNIFORM_INV(RAND(),Sheet2!I$19-SQRT(3)*Sheet2!I$20,Sheet2!I$19+SQRT(3)*Sheet2!I$20)</f>
        <v>10.864794303409795</v>
      </c>
      <c r="H120" s="8" cm="1">
        <f t="array" aca="1" ref="H120" ca="1">[1]!UNIFORM_INV(RAND(),Sheet2!J$19-SQRT(3)*Sheet2!J$20,Sheet2!J$19+SQRT(3)*Sheet2!J$20)</f>
        <v>23.942565775379414</v>
      </c>
      <c r="I120" s="8" cm="1">
        <f t="array" aca="1" ref="I120" ca="1">[1]!UNIFORM_INV(RAND(),Sheet2!K$19-SQRT(3)*Sheet2!K$20,Sheet2!K$19+SQRT(3)*Sheet2!K$20)</f>
        <v>19.915621038767842</v>
      </c>
      <c r="J120" s="8" cm="1">
        <f t="array" aca="1" ref="J120" ca="1">[1]!UNIFORM_INV(RAND(),Sheet2!L$19-SQRT(3)*Sheet2!L$20,Sheet2!L$19+SQRT(3)*Sheet2!L$20)</f>
        <v>25.390260132324304</v>
      </c>
      <c r="K120" s="8" cm="1">
        <f t="array" aca="1" ref="K120" ca="1">[1]!UNIFORM_INV(RAND(),Sheet2!M$19-SQRT(3)*Sheet2!M$20,Sheet2!M$19+SQRT(3)*Sheet2!M$20)</f>
        <v>16.795072489277608</v>
      </c>
      <c r="L120" s="8" cm="1">
        <f t="array" aca="1" ref="L120" ca="1">[1]!UNIFORM_INV(RAND(),Sheet2!N$19-SQRT(3)*Sheet2!N$20,Sheet2!N$19+SQRT(3)*Sheet2!N$20)</f>
        <v>10.582380895120044</v>
      </c>
      <c r="M120" s="8" cm="1">
        <f t="array" aca="1" ref="M120" ca="1">[1]!UNIFORM_INV(RAND(),Sheet2!O$19-SQRT(3)*Sheet2!O$20,Sheet2!O$19+SQRT(3)*Sheet2!O$20)</f>
        <v>6.0187832840895075</v>
      </c>
      <c r="N120" s="8" cm="1">
        <f t="array" aca="1" ref="N120" ca="1">[1]!UNIFORM_INV(RAND(),Sheet2!P$19-SQRT(3)*Sheet2!P$20,Sheet2!P$19+SQRT(3)*Sheet2!P$20)</f>
        <v>26.401661921978469</v>
      </c>
      <c r="O120" s="8" cm="1">
        <f t="array" aca="1" ref="O120" ca="1">[1]!UNIFORM_INV(RAND(),Sheet2!Q$19-SQRT(3)*Sheet2!Q$20,Sheet2!Q$19+SQRT(3)*Sheet2!Q$20)</f>
        <v>8.7475618727977515</v>
      </c>
      <c r="P120" s="8" cm="1">
        <f t="array" aca="1" ref="P120" ca="1">[1]!UNIFORM_INV(RAND(),Sheet2!R$19-SQRT(3)*Sheet2!R$20,Sheet2!R$19+SQRT(3)*Sheet2!R$20)</f>
        <v>9.0639866278410466</v>
      </c>
      <c r="Q120" s="8" cm="1">
        <f t="array" aca="1" ref="Q120" ca="1">[1]!UNIFORM_INV(RAND(),Sheet2!S$19-SQRT(3)*Sheet2!S$20,Sheet2!S$19+SQRT(3)*Sheet2!S$20)</f>
        <v>2.8055253107647937</v>
      </c>
      <c r="R120" s="8" cm="1">
        <f t="array" aca="1" ref="R120" ca="1">[1]!UNIFORM_INV(RAND(),Sheet2!T$19-SQRT(3)*Sheet2!T$20,Sheet2!T$19+SQRT(3)*Sheet2!T$20)</f>
        <v>21.925869525877761</v>
      </c>
      <c r="S120" s="8" cm="1">
        <f t="array" aca="1" ref="S120" ca="1">[1]!UNIFORM_INV(RAND(),Sheet2!U$19-SQRT(3)*Sheet2!U$20,Sheet2!U$19+SQRT(3)*Sheet2!U$20)</f>
        <v>16.026271666709253</v>
      </c>
      <c r="T120" s="8" cm="1">
        <f t="array" aca="1" ref="T120" ca="1">[1]!UNIFORM_INV(RAND(),Sheet2!V$19-SQRT(3)*Sheet2!V$20,Sheet2!V$19+SQRT(3)*Sheet2!V$20)</f>
        <v>20.754416825704581</v>
      </c>
      <c r="U120" s="8" cm="1">
        <f t="array" aca="1" ref="U120" ca="1">[1]!UNIFORM_INV(RAND(),Sheet2!W$19-SQRT(3)*Sheet2!W$20,Sheet2!W$19+SQRT(3)*Sheet2!W$20)</f>
        <v>24.032160454859223</v>
      </c>
      <c r="V120" s="8" cm="1">
        <f t="array" aca="1" ref="V120" ca="1">[1]!UNIFORM_INV(RAND(),Sheet2!X$19-SQRT(3)*Sheet2!X$20,Sheet2!X$19+SQRT(3)*Sheet2!X$20)</f>
        <v>24.656157267843806</v>
      </c>
      <c r="W120" s="8" cm="1">
        <f t="array" aca="1" ref="W120" ca="1">[1]!UNIFORM_INV(RAND(),Sheet2!Y$19-SQRT(3)*Sheet2!Y$20,Sheet2!Y$19+SQRT(3)*Sheet2!Y$20)</f>
        <v>21.41105630539284</v>
      </c>
      <c r="X120" s="8" cm="1">
        <f t="array" aca="1" ref="X120" ca="1">[1]!UNIFORM_INV(RAND(),Sheet2!Z$19-SQRT(3)*Sheet2!Z$20,Sheet2!Z$19+SQRT(3)*Sheet2!Z$20)</f>
        <v>7.6590942814826644</v>
      </c>
      <c r="AX120" s="7">
        <f ca="1">Sheet2!C$19+('RNG HERE'!A120-'RNG HERE'!Y$92)*Sheet2!C$20/'RNG HERE'!Y$93</f>
        <v>3.4773961694966369</v>
      </c>
      <c r="AY120" s="7">
        <f ca="1">Sheet2!D$19+('RNG HERE'!B120-'RNG HERE'!Z$92)*Sheet2!D$20/'RNG HERE'!Z$93</f>
        <v>3.960845984801832</v>
      </c>
      <c r="AZ120" s="7">
        <f ca="1">Sheet2!E$19+('RNG HERE'!C120-'RNG HERE'!AA$92)*Sheet2!E$20/'RNG HERE'!AA$93</f>
        <v>23.678425187545493</v>
      </c>
      <c r="BA120" s="7">
        <f ca="1">Sheet2!F$19+('RNG HERE'!D120-'RNG HERE'!AB$92)*Sheet2!F$20/'RNG HERE'!AB$93</f>
        <v>15.247995754536518</v>
      </c>
      <c r="BB120" s="7">
        <f ca="1">Sheet2!G$19+('RNG HERE'!E120-'RNG HERE'!AC$92)*Sheet2!G$20/'RNG HERE'!AC$93</f>
        <v>17.402036187576314</v>
      </c>
      <c r="BC120" s="7">
        <f ca="1">Sheet2!H$19+('RNG HERE'!F120-'RNG HERE'!AD$92)*Sheet2!H$20/'RNG HERE'!AD$93</f>
        <v>36.833478817471864</v>
      </c>
      <c r="BD120" s="7">
        <f ca="1">Sheet2!I$19+('RNG HERE'!G120-'RNG HERE'!AE$92)*Sheet2!I$20/'RNG HERE'!AE$93</f>
        <v>10.940911977967694</v>
      </c>
      <c r="BE120" s="7">
        <f ca="1">Sheet2!J$19+('RNG HERE'!H120-'RNG HERE'!AF$92)*Sheet2!J$20/'RNG HERE'!AF$93</f>
        <v>23.892350780447195</v>
      </c>
      <c r="BF120" s="7">
        <f ca="1">Sheet2!K$19+('RNG HERE'!I120-'RNG HERE'!AG$92)*Sheet2!K$20/'RNG HERE'!AG$93</f>
        <v>19.733459569257974</v>
      </c>
      <c r="BG120" s="7">
        <f ca="1">Sheet2!L$19+('RNG HERE'!J120-'RNG HERE'!AH$92)*Sheet2!L$20/'RNG HERE'!AH$93</f>
        <v>25.235785002142549</v>
      </c>
      <c r="BH120" s="7">
        <f ca="1">Sheet2!M$19+('RNG HERE'!K120-'RNG HERE'!AI$92)*Sheet2!M$20/'RNG HERE'!AI$93</f>
        <v>16.8068440154115</v>
      </c>
      <c r="BI120" s="7">
        <f ca="1">Sheet2!N$19+('RNG HERE'!L120-'RNG HERE'!AJ$92)*Sheet2!N$20/'RNG HERE'!AJ$93</f>
        <v>10.306370811490694</v>
      </c>
      <c r="BJ120" s="7">
        <f ca="1">Sheet2!O$19+('RNG HERE'!M120-'RNG HERE'!AK$92)*Sheet2!O$20/'RNG HERE'!AK$93</f>
        <v>6.3943419630666138</v>
      </c>
      <c r="BK120" s="7">
        <f ca="1">Sheet2!P$19+('RNG HERE'!N120-'RNG HERE'!AL$92)*Sheet2!P$20/'RNG HERE'!AL$93</f>
        <v>26.290628064039879</v>
      </c>
      <c r="BL120" s="7">
        <f ca="1">Sheet2!Q$19+('RNG HERE'!O120-'RNG HERE'!AM$92)*Sheet2!Q$20/'RNG HERE'!AM$93</f>
        <v>8.7935825805267189</v>
      </c>
      <c r="BM120" s="7">
        <f ca="1">Sheet2!R$19+('RNG HERE'!P120-'RNG HERE'!AN$92)*Sheet2!R$20/'RNG HERE'!AN$93</f>
        <v>9.1340245131016218</v>
      </c>
      <c r="BN120" s="7">
        <f ca="1">Sheet2!S$19+('RNG HERE'!Q120-'RNG HERE'!AO$92)*Sheet2!S$20/'RNG HERE'!AO$93</f>
        <v>2.6992407758453849</v>
      </c>
      <c r="BO120" s="7">
        <f ca="1">Sheet2!T$19+('RNG HERE'!R120-'RNG HERE'!AP$92)*Sheet2!T$20/'RNG HERE'!AP$93</f>
        <v>22.541238741902472</v>
      </c>
      <c r="BP120" s="7">
        <f ca="1">Sheet2!U$19+('RNG HERE'!S120-'RNG HERE'!AQ$92)*Sheet2!U$20/'RNG HERE'!AQ$93</f>
        <v>16.357464118947512</v>
      </c>
      <c r="BQ120" s="7">
        <f ca="1">Sheet2!V$19+('RNG HERE'!T120-'RNG HERE'!AR$92)*Sheet2!V$20/'RNG HERE'!AR$93</f>
        <v>21.333456086867809</v>
      </c>
      <c r="BR120" s="7">
        <f ca="1">Sheet2!W$19+('RNG HERE'!U120-'RNG HERE'!AS$92)*Sheet2!W$20/'RNG HERE'!AS$93</f>
        <v>24.156505390821934</v>
      </c>
      <c r="BS120" s="7">
        <f ca="1">Sheet2!X$19+('RNG HERE'!V120-'RNG HERE'!AT$92)*Sheet2!X$20/'RNG HERE'!AT$93</f>
        <v>24.44591781518762</v>
      </c>
      <c r="BT120" s="7">
        <f ca="1">Sheet2!Y$19+('RNG HERE'!W120-'RNG HERE'!AU$92)*Sheet2!Y$20/'RNG HERE'!AU$93</f>
        <v>21.64149265348788</v>
      </c>
      <c r="BU120" s="7">
        <f ca="1">Sheet2!Z$19+('RNG HERE'!X120-'RNG HERE'!AV$92)*Sheet2!Z$20/'RNG HERE'!AV$93</f>
        <v>7.7326131615220453</v>
      </c>
    </row>
    <row r="121" spans="1:97" x14ac:dyDescent="0.3">
      <c r="A121" s="8" cm="1">
        <f t="array" aca="1" ref="A121" ca="1">[1]!UNIFORM_INV(RAND(),Sheet2!C$19-SQRT(3)*Sheet2!C$20,Sheet2!C$19+SQRT(3)*Sheet2!C$20)</f>
        <v>2.4557748790432106</v>
      </c>
      <c r="B121" s="8" cm="1">
        <f t="array" aca="1" ref="B121" ca="1">[1]!UNIFORM_INV(RAND(),Sheet2!D$19-SQRT(3)*Sheet2!D$20,Sheet2!D$19+SQRT(3)*Sheet2!D$20)</f>
        <v>9.3318766462204277</v>
      </c>
      <c r="C121" s="8" cm="1">
        <f t="array" aca="1" ref="C121" ca="1">[1]!UNIFORM_INV(RAND(),Sheet2!E$19-SQRT(3)*Sheet2!E$20,Sheet2!E$19+SQRT(3)*Sheet2!E$20)</f>
        <v>22.147758892637054</v>
      </c>
      <c r="D121" s="8" cm="1">
        <f t="array" aca="1" ref="D121" ca="1">[1]!UNIFORM_INV(RAND(),Sheet2!F$19-SQRT(3)*Sheet2!F$20,Sheet2!F$19+SQRT(3)*Sheet2!F$20)</f>
        <v>14.565942049550669</v>
      </c>
      <c r="E121" s="8" cm="1">
        <f t="array" aca="1" ref="E121" ca="1">[1]!UNIFORM_INV(RAND(),Sheet2!G$19-SQRT(3)*Sheet2!G$20,Sheet2!G$19+SQRT(3)*Sheet2!G$20)</f>
        <v>17.107464006172382</v>
      </c>
      <c r="F121" s="8" cm="1">
        <f t="array" aca="1" ref="F121" ca="1">[1]!UNIFORM_INV(RAND(),Sheet2!H$19-SQRT(3)*Sheet2!H$20,Sheet2!H$19+SQRT(3)*Sheet2!H$20)</f>
        <v>28.740012074735564</v>
      </c>
      <c r="G121" s="8" cm="1">
        <f t="array" aca="1" ref="G121" ca="1">[1]!UNIFORM_INV(RAND(),Sheet2!I$19-SQRT(3)*Sheet2!I$20,Sheet2!I$19+SQRT(3)*Sheet2!I$20)</f>
        <v>12.624158188763717</v>
      </c>
      <c r="H121" s="8" cm="1">
        <f t="array" aca="1" ref="H121" ca="1">[1]!UNIFORM_INV(RAND(),Sheet2!J$19-SQRT(3)*Sheet2!J$20,Sheet2!J$19+SQRT(3)*Sheet2!J$20)</f>
        <v>27.50460376565319</v>
      </c>
      <c r="I121" s="8" cm="1">
        <f t="array" aca="1" ref="I121" ca="1">[1]!UNIFORM_INV(RAND(),Sheet2!K$19-SQRT(3)*Sheet2!K$20,Sheet2!K$19+SQRT(3)*Sheet2!K$20)</f>
        <v>22.492642682882909</v>
      </c>
      <c r="J121" s="8" cm="1">
        <f t="array" aca="1" ref="J121" ca="1">[1]!UNIFORM_INV(RAND(),Sheet2!L$19-SQRT(3)*Sheet2!L$20,Sheet2!L$19+SQRT(3)*Sheet2!L$20)</f>
        <v>23.938050474951037</v>
      </c>
      <c r="K121" s="8" cm="1">
        <f t="array" aca="1" ref="K121" ca="1">[1]!UNIFORM_INV(RAND(),Sheet2!M$19-SQRT(3)*Sheet2!M$20,Sheet2!M$19+SQRT(3)*Sheet2!M$20)</f>
        <v>16.510940963899781</v>
      </c>
      <c r="L121" s="8" cm="1">
        <f t="array" aca="1" ref="L121" ca="1">[1]!UNIFORM_INV(RAND(),Sheet2!N$19-SQRT(3)*Sheet2!N$20,Sheet2!N$19+SQRT(3)*Sheet2!N$20)</f>
        <v>9.7502006282147349</v>
      </c>
      <c r="M121" s="8" cm="1">
        <f t="array" aca="1" ref="M121" ca="1">[1]!UNIFORM_INV(RAND(),Sheet2!O$19-SQRT(3)*Sheet2!O$20,Sheet2!O$19+SQRT(3)*Sheet2!O$20)</f>
        <v>4.4297673409769986</v>
      </c>
      <c r="N121" s="8" cm="1">
        <f t="array" aca="1" ref="N121" ca="1">[1]!UNIFORM_INV(RAND(),Sheet2!P$19-SQRT(3)*Sheet2!P$20,Sheet2!P$19+SQRT(3)*Sheet2!P$20)</f>
        <v>25.158467396680756</v>
      </c>
      <c r="O121" s="8" cm="1">
        <f t="array" aca="1" ref="O121" ca="1">[1]!UNIFORM_INV(RAND(),Sheet2!Q$19-SQRT(3)*Sheet2!Q$20,Sheet2!Q$19+SQRT(3)*Sheet2!Q$20)</f>
        <v>10.086171383525715</v>
      </c>
      <c r="P121" s="8" cm="1">
        <f t="array" aca="1" ref="P121" ca="1">[1]!UNIFORM_INV(RAND(),Sheet2!R$19-SQRT(3)*Sheet2!R$20,Sheet2!R$19+SQRT(3)*Sheet2!R$20)</f>
        <v>5.3677345219038397</v>
      </c>
      <c r="Q121" s="8" cm="1">
        <f t="array" aca="1" ref="Q121" ca="1">[1]!UNIFORM_INV(RAND(),Sheet2!S$19-SQRT(3)*Sheet2!S$20,Sheet2!S$19+SQRT(3)*Sheet2!S$20)</f>
        <v>4.1714060407651017</v>
      </c>
      <c r="R121" s="8" cm="1">
        <f t="array" aca="1" ref="R121" ca="1">[1]!UNIFORM_INV(RAND(),Sheet2!T$19-SQRT(3)*Sheet2!T$20,Sheet2!T$19+SQRT(3)*Sheet2!T$20)</f>
        <v>19.633431245112227</v>
      </c>
      <c r="S121" s="8" cm="1">
        <f t="array" aca="1" ref="S121" ca="1">[1]!UNIFORM_INV(RAND(),Sheet2!U$19-SQRT(3)*Sheet2!U$20,Sheet2!U$19+SQRT(3)*Sheet2!U$20)</f>
        <v>20.517168647687964</v>
      </c>
      <c r="T121" s="8" cm="1">
        <f t="array" aca="1" ref="T121" ca="1">[1]!UNIFORM_INV(RAND(),Sheet2!V$19-SQRT(3)*Sheet2!V$20,Sheet2!V$19+SQRT(3)*Sheet2!V$20)</f>
        <v>23.290187840461666</v>
      </c>
      <c r="U121" s="8" cm="1">
        <f t="array" aca="1" ref="U121" ca="1">[1]!UNIFORM_INV(RAND(),Sheet2!W$19-SQRT(3)*Sheet2!W$20,Sheet2!W$19+SQRT(3)*Sheet2!W$20)</f>
        <v>22.921893462930718</v>
      </c>
      <c r="V121" s="8" cm="1">
        <f t="array" aca="1" ref="V121" ca="1">[1]!UNIFORM_INV(RAND(),Sheet2!X$19-SQRT(3)*Sheet2!X$20,Sheet2!X$19+SQRT(3)*Sheet2!X$20)</f>
        <v>25.070358032731388</v>
      </c>
      <c r="W121" s="8" cm="1">
        <f t="array" aca="1" ref="W121" ca="1">[1]!UNIFORM_INV(RAND(),Sheet2!Y$19-SQRT(3)*Sheet2!Y$20,Sheet2!Y$19+SQRT(3)*Sheet2!Y$20)</f>
        <v>21.793166742255281</v>
      </c>
      <c r="X121" s="8" cm="1">
        <f t="array" aca="1" ref="X121" ca="1">[1]!UNIFORM_INV(RAND(),Sheet2!Z$19-SQRT(3)*Sheet2!Z$20,Sheet2!Z$19+SQRT(3)*Sheet2!Z$20)</f>
        <v>6.7600029728620354</v>
      </c>
      <c r="AX121" s="7">
        <f ca="1">Sheet2!C$19+('RNG HERE'!A121-'RNG HERE'!Y$92)*Sheet2!C$20/'RNG HERE'!Y$93</f>
        <v>2.588454867427485</v>
      </c>
      <c r="AY121" s="7">
        <f ca="1">Sheet2!D$19+('RNG HERE'!B121-'RNG HERE'!Z$92)*Sheet2!D$20/'RNG HERE'!Z$93</f>
        <v>10.336056201905677</v>
      </c>
      <c r="AZ121" s="7">
        <f ca="1">Sheet2!E$19+('RNG HERE'!C121-'RNG HERE'!AA$92)*Sheet2!E$20/'RNG HERE'!AA$93</f>
        <v>22.396413538025016</v>
      </c>
      <c r="BA121" s="7">
        <f ca="1">Sheet2!F$19+('RNG HERE'!D121-'RNG HERE'!AB$92)*Sheet2!F$20/'RNG HERE'!AB$93</f>
        <v>15.266550994479671</v>
      </c>
      <c r="BB121" s="7">
        <f ca="1">Sheet2!G$19+('RNG HERE'!E121-'RNG HERE'!AC$92)*Sheet2!G$20/'RNG HERE'!AC$93</f>
        <v>17.421156432991722</v>
      </c>
      <c r="BC121" s="7">
        <f ca="1">Sheet2!H$19+('RNG HERE'!F121-'RNG HERE'!AD$92)*Sheet2!H$20/'RNG HERE'!AD$93</f>
        <v>28.03230914396714</v>
      </c>
      <c r="BD121" s="7">
        <f ca="1">Sheet2!I$19+('RNG HERE'!G121-'RNG HERE'!AE$92)*Sheet2!I$20/'RNG HERE'!AE$93</f>
        <v>12.613293462554442</v>
      </c>
      <c r="BE121" s="7">
        <f ca="1">Sheet2!J$19+('RNG HERE'!H121-'RNG HERE'!AF$92)*Sheet2!J$20/'RNG HERE'!AF$93</f>
        <v>27.706542280330858</v>
      </c>
      <c r="BF121" s="7">
        <f ca="1">Sheet2!K$19+('RNG HERE'!I121-'RNG HERE'!AG$92)*Sheet2!K$20/'RNG HERE'!AG$93</f>
        <v>22.783698712578701</v>
      </c>
      <c r="BG121" s="7">
        <f ca="1">Sheet2!L$19+('RNG HERE'!J121-'RNG HERE'!AH$92)*Sheet2!L$20/'RNG HERE'!AH$93</f>
        <v>23.671258654237079</v>
      </c>
      <c r="BH121" s="7">
        <f ca="1">Sheet2!M$19+('RNG HERE'!K121-'RNG HERE'!AI$92)*Sheet2!M$20/'RNG HERE'!AI$93</f>
        <v>16.485447715476866</v>
      </c>
      <c r="BI121" s="7">
        <f ca="1">Sheet2!N$19+('RNG HERE'!L121-'RNG HERE'!AJ$92)*Sheet2!N$20/'RNG HERE'!AJ$93</f>
        <v>9.3645768011135928</v>
      </c>
      <c r="BJ121" s="7">
        <f ca="1">Sheet2!O$19+('RNG HERE'!M121-'RNG HERE'!AK$92)*Sheet2!O$20/'RNG HERE'!AK$93</f>
        <v>4.2509667134043116</v>
      </c>
      <c r="BK121" s="7">
        <f ca="1">Sheet2!P$19+('RNG HERE'!N121-'RNG HERE'!AL$92)*Sheet2!P$20/'RNG HERE'!AL$93</f>
        <v>25.04096693061884</v>
      </c>
      <c r="BL121" s="7">
        <f ca="1">Sheet2!Q$19+('RNG HERE'!O121-'RNG HERE'!AM$92)*Sheet2!Q$20/'RNG HERE'!AM$93</f>
        <v>10.113171457851006</v>
      </c>
      <c r="BM121" s="7">
        <f ca="1">Sheet2!R$19+('RNG HERE'!P121-'RNG HERE'!AN$92)*Sheet2!R$20/'RNG HERE'!AN$93</f>
        <v>5.5810354021754263</v>
      </c>
      <c r="BN121" s="7">
        <f ca="1">Sheet2!S$19+('RNG HERE'!Q121-'RNG HERE'!AO$92)*Sheet2!S$20/'RNG HERE'!AO$93</f>
        <v>4.0059563740825777</v>
      </c>
      <c r="BO121" s="7">
        <f ca="1">Sheet2!T$19+('RNG HERE'!R121-'RNG HERE'!AP$92)*Sheet2!T$20/'RNG HERE'!AP$93</f>
        <v>20.539410447437717</v>
      </c>
      <c r="BP121" s="7">
        <f ca="1">Sheet2!U$19+('RNG HERE'!S121-'RNG HERE'!AQ$92)*Sheet2!U$20/'RNG HERE'!AQ$93</f>
        <v>20.931261002823511</v>
      </c>
      <c r="BQ121" s="7">
        <f ca="1">Sheet2!V$19+('RNG HERE'!T121-'RNG HERE'!AR$92)*Sheet2!V$20/'RNG HERE'!AR$93</f>
        <v>23.657061281250243</v>
      </c>
      <c r="BR121" s="7">
        <f ca="1">Sheet2!W$19+('RNG HERE'!U121-'RNG HERE'!AS$92)*Sheet2!W$20/'RNG HERE'!AS$93</f>
        <v>23.086846440601985</v>
      </c>
      <c r="BS121" s="7">
        <f ca="1">Sheet2!X$19+('RNG HERE'!V121-'RNG HERE'!AT$92)*Sheet2!X$20/'RNG HERE'!AT$93</f>
        <v>24.866447336710294</v>
      </c>
      <c r="BT121" s="7">
        <f ca="1">Sheet2!Y$19+('RNG HERE'!W121-'RNG HERE'!AU$92)*Sheet2!Y$20/'RNG HERE'!AU$93</f>
        <v>22.015158568097927</v>
      </c>
      <c r="BU121" s="7">
        <f ca="1">Sheet2!Z$19+('RNG HERE'!X121-'RNG HERE'!AV$92)*Sheet2!Z$20/'RNG HERE'!AV$93</f>
        <v>6.7692923276939583</v>
      </c>
    </row>
    <row r="122" spans="1:97" x14ac:dyDescent="0.3">
      <c r="A122" s="8" cm="1">
        <f t="array" aca="1" ref="A122" ca="1">[1]!UNIFORM_INV(RAND(),Sheet2!C$21-SQRT(3)*Sheet2!C$22,Sheet2!C$21+SQRT(3)*Sheet2!C$22)</f>
        <v>4.7163246206800364</v>
      </c>
      <c r="B122" s="8" cm="1">
        <f t="array" aca="1" ref="B122" ca="1">[1]!UNIFORM_INV(RAND(),Sheet2!D$21-SQRT(3)*Sheet2!D$22,Sheet2!D$21+SQRT(3)*Sheet2!D$22)</f>
        <v>5.8322339876493929</v>
      </c>
      <c r="C122" s="8" cm="1">
        <f t="array" aca="1" ref="C122" ca="1">[1]!UNIFORM_INV(RAND(),Sheet2!E$21-SQRT(3)*Sheet2!E$22,Sheet2!E$21+SQRT(3)*Sheet2!E$22)</f>
        <v>20.62591656424539</v>
      </c>
      <c r="D122" s="8" cm="1">
        <f t="array" aca="1" ref="D122" ca="1">[1]!UNIFORM_INV(RAND(),Sheet2!F$21-SQRT(3)*Sheet2!F$22,Sheet2!F$21+SQRT(3)*Sheet2!F$22)</f>
        <v>10.480454139884957</v>
      </c>
      <c r="E122" s="8" cm="1">
        <f t="array" aca="1" ref="E122" ca="1">[1]!UNIFORM_INV(RAND(),Sheet2!G$21-SQRT(3)*Sheet2!G$22,Sheet2!G$21+SQRT(3)*Sheet2!G$22)</f>
        <v>38.468328550465493</v>
      </c>
      <c r="F122" s="8" cm="1">
        <f t="array" aca="1" ref="F122" ca="1">[1]!UNIFORM_INV(RAND(),Sheet2!H$21-SQRT(3)*Sheet2!H$22,Sheet2!H$21+SQRT(3)*Sheet2!H$22)</f>
        <v>23.505398927193546</v>
      </c>
      <c r="G122" s="8" cm="1">
        <f t="array" aca="1" ref="G122" ca="1">[1]!UNIFORM_INV(RAND(),Sheet2!I$21-SQRT(3)*Sheet2!I$22,Sheet2!I$21+SQRT(3)*Sheet2!I$22)</f>
        <v>10.093457228519009</v>
      </c>
      <c r="H122" s="8" cm="1">
        <f t="array" aca="1" ref="H122" ca="1">[1]!UNIFORM_INV(RAND(),Sheet2!J$21-SQRT(3)*Sheet2!J$22,Sheet2!J$21+SQRT(3)*Sheet2!J$22)</f>
        <v>30.011305725441012</v>
      </c>
      <c r="I122" s="8" cm="1">
        <f t="array" aca="1" ref="I122" ca="1">[1]!UNIFORM_INV(RAND(),Sheet2!K$21-SQRT(3)*Sheet2!K$22,Sheet2!K$21+SQRT(3)*Sheet2!K$22)</f>
        <v>18.140587844630087</v>
      </c>
      <c r="J122" s="8" cm="1">
        <f t="array" aca="1" ref="J122" ca="1">[1]!UNIFORM_INV(RAND(),Sheet2!L$21-SQRT(3)*Sheet2!L$22,Sheet2!L$21+SQRT(3)*Sheet2!L$22)</f>
        <v>28.632766610274921</v>
      </c>
      <c r="K122" s="8" cm="1">
        <f t="array" aca="1" ref="K122" ca="1">[1]!UNIFORM_INV(RAND(),Sheet2!M$21-SQRT(3)*Sheet2!M$22,Sheet2!M$21+SQRT(3)*Sheet2!M$22)</f>
        <v>16.588215652939542</v>
      </c>
      <c r="L122" s="8" cm="1">
        <f t="array" aca="1" ref="L122" ca="1">[1]!UNIFORM_INV(RAND(),Sheet2!N$21-SQRT(3)*Sheet2!N$22,Sheet2!N$21+SQRT(3)*Sheet2!N$22)</f>
        <v>6.798021063898398</v>
      </c>
      <c r="M122" s="8" cm="1">
        <f t="array" aca="1" ref="M122" ca="1">[1]!UNIFORM_INV(RAND(),Sheet2!O$21-SQRT(3)*Sheet2!O$22,Sheet2!O$21+SQRT(3)*Sheet2!O$22)</f>
        <v>7.9041585155208933</v>
      </c>
      <c r="N122" s="8" cm="1">
        <f t="array" aca="1" ref="N122" ca="1">[1]!UNIFORM_INV(RAND(),Sheet2!P$21-SQRT(3)*Sheet2!P$22,Sheet2!P$21+SQRT(3)*Sheet2!P$22)</f>
        <v>15.764036862567798</v>
      </c>
      <c r="O122" s="8" cm="1">
        <f t="array" aca="1" ref="O122" ca="1">[1]!UNIFORM_INV(RAND(),Sheet2!Q$21-SQRT(3)*Sheet2!Q$22,Sheet2!Q$21+SQRT(3)*Sheet2!Q$22)</f>
        <v>18.692290349438974</v>
      </c>
      <c r="P122" s="8" cm="1">
        <f t="array" aca="1" ref="P122" ca="1">[1]!UNIFORM_INV(RAND(),Sheet2!R$21-SQRT(3)*Sheet2!R$22,Sheet2!R$21+SQRT(3)*Sheet2!R$22)</f>
        <v>7.8125364108496642</v>
      </c>
      <c r="Q122" s="8" cm="1">
        <f t="array" aca="1" ref="Q122" ca="1">[1]!UNIFORM_INV(RAND(),Sheet2!S$21-SQRT(3)*Sheet2!S$22,Sheet2!S$21+SQRT(3)*Sheet2!S$22)</f>
        <v>4.8647790785789118</v>
      </c>
      <c r="R122" s="8" cm="1">
        <f t="array" aca="1" ref="R122" ca="1">[1]!UNIFORM_INV(RAND(),Sheet2!T$21-SQRT(3)*Sheet2!T$22,Sheet2!T$21+SQRT(3)*Sheet2!T$22)</f>
        <v>9.2389428685911472</v>
      </c>
      <c r="S122" s="8" cm="1">
        <f t="array" aca="1" ref="S122" ca="1">[1]!UNIFORM_INV(RAND(),Sheet2!U$21-SQRT(3)*Sheet2!U$22,Sheet2!U$21+SQRT(3)*Sheet2!U$22)</f>
        <v>21.739779885201308</v>
      </c>
      <c r="T122" s="8" cm="1">
        <f t="array" aca="1" ref="T122" ca="1">[1]!UNIFORM_INV(RAND(),Sheet2!V$21-SQRT(3)*Sheet2!V$22,Sheet2!V$21+SQRT(3)*Sheet2!V$22)</f>
        <v>22.513102092275023</v>
      </c>
      <c r="U122" s="8" cm="1">
        <f t="array" aca="1" ref="U122" ca="1">[1]!UNIFORM_INV(RAND(),Sheet2!W$21-SQRT(3)*Sheet2!W$22,Sheet2!W$21+SQRT(3)*Sheet2!W$22)</f>
        <v>32.504011195702553</v>
      </c>
      <c r="V122" s="8" cm="1">
        <f t="array" aca="1" ref="V122" ca="1">[1]!UNIFORM_INV(RAND(),Sheet2!X$21-SQRT(3)*Sheet2!X$22,Sheet2!X$21+SQRT(3)*Sheet2!X$22)</f>
        <v>18.793062966867669</v>
      </c>
      <c r="W122" s="8" cm="1">
        <f t="array" aca="1" ref="W122" ca="1">[1]!UNIFORM_INV(RAND(),Sheet2!Y$21-SQRT(3)*Sheet2!Y$22,Sheet2!Y$21+SQRT(3)*Sheet2!Y$22)</f>
        <v>13.392801513805328</v>
      </c>
      <c r="X122" s="8" cm="1">
        <f t="array" aca="1" ref="X122" ca="1">[1]!UNIFORM_INV(RAND(),Sheet2!Z$21-SQRT(3)*Sheet2!Z$22,Sheet2!Z$21+SQRT(3)*Sheet2!Z$22)</f>
        <v>11.016002883213506</v>
      </c>
      <c r="Y122" s="5">
        <f ca="1">AVERAGE(A122:A151)</f>
        <v>4.8322453528074734</v>
      </c>
      <c r="Z122" s="5">
        <f t="shared" ref="Z122:AQ122" ca="1" si="143">AVERAGE(B122:B151)</f>
        <v>7.2623105919402375</v>
      </c>
      <c r="AA122" s="5">
        <f t="shared" ca="1" si="143"/>
        <v>21.270191852962512</v>
      </c>
      <c r="AB122" s="5">
        <f t="shared" ca="1" si="143"/>
        <v>4.6544496015423391</v>
      </c>
      <c r="AC122" s="5">
        <f t="shared" ca="1" si="143"/>
        <v>39.960480199116049</v>
      </c>
      <c r="AD122" s="5">
        <f t="shared" ca="1" si="143"/>
        <v>21.078290301359644</v>
      </c>
      <c r="AE122" s="5">
        <f t="shared" ca="1" si="143"/>
        <v>9.9785062473539448</v>
      </c>
      <c r="AF122" s="5">
        <f t="shared" ca="1" si="143"/>
        <v>28.540855783567533</v>
      </c>
      <c r="AG122" s="5">
        <f t="shared" ca="1" si="143"/>
        <v>18.580349264885172</v>
      </c>
      <c r="AH122" s="5">
        <f t="shared" ca="1" si="143"/>
        <v>26.507260047092149</v>
      </c>
      <c r="AI122" s="5">
        <f t="shared" ca="1" si="143"/>
        <v>16.240305766276226</v>
      </c>
      <c r="AJ122" s="5">
        <f t="shared" ca="1" si="143"/>
        <v>8.0249035115665954</v>
      </c>
      <c r="AK122" s="5">
        <f t="shared" ca="1" si="143"/>
        <v>8.0948366787955806</v>
      </c>
      <c r="AL122" s="5">
        <f t="shared" ca="1" si="143"/>
        <v>18.212572608200766</v>
      </c>
      <c r="AM122" s="5">
        <f t="shared" ca="1" si="143"/>
        <v>21.84114594194633</v>
      </c>
      <c r="AN122" s="5">
        <f t="shared" ca="1" si="143"/>
        <v>5.7255744887920255</v>
      </c>
      <c r="AO122" s="5">
        <f t="shared" ca="1" si="143"/>
        <v>5.4066898242546078</v>
      </c>
      <c r="AP122" s="5">
        <f t="shared" ca="1" si="143"/>
        <v>9.0089895629701573</v>
      </c>
      <c r="AQ122" s="5">
        <f t="shared" ca="1" si="143"/>
        <v>23.642796895878732</v>
      </c>
      <c r="AR122" s="5">
        <f ca="1">AVERAGE(T122:T151)</f>
        <v>22.277952523432663</v>
      </c>
      <c r="AS122" s="5">
        <f ca="1">AVERAGE(U122:U151)</f>
        <v>32.540808432909394</v>
      </c>
      <c r="AT122" s="5">
        <f t="shared" ref="AT122" ca="1" si="144">AVERAGE(V122:V151)</f>
        <v>19.894626263340992</v>
      </c>
      <c r="AU122" s="5">
        <f ca="1">AVERAGE(W122:W151)</f>
        <v>14.297388844402187</v>
      </c>
      <c r="AV122" s="5">
        <f t="shared" ref="AV122" ca="1" si="145">AVERAGE(X122:X151)</f>
        <v>10.693108465088043</v>
      </c>
      <c r="AX122" s="7">
        <f ca="1">Sheet2!C$21+('RNG HERE'!A122-'RNG HERE'!Y$122)*Sheet2!C$22/'RNG HERE'!Y$123</f>
        <v>4.9888821880102663</v>
      </c>
      <c r="AY122" s="7">
        <f ca="1">Sheet2!D$21+('RNG HERE'!B122-'RNG HERE'!Z$122)*Sheet2!D$22/'RNG HERE'!Z$123</f>
        <v>6.0978967222005913</v>
      </c>
      <c r="AZ122" s="7">
        <f ca="1">Sheet2!E$21+('RNG HERE'!C122-'RNG HERE'!AA$122)*Sheet2!E$22/'RNG HERE'!AA$123</f>
        <v>21.560251924907984</v>
      </c>
      <c r="BA122" s="7">
        <f ca="1">Sheet2!F$21+('RNG HERE'!D122-'RNG HERE'!AB$122)*Sheet2!F$22/'RNG HERE'!AB$123</f>
        <v>11.42729708449647</v>
      </c>
      <c r="BB122" s="7">
        <f ca="1">Sheet2!G$21+('RNG HERE'!E122-'RNG HERE'!AC$122)*Sheet2!G$22/'RNG HERE'!AC$123</f>
        <v>37.205863904900262</v>
      </c>
      <c r="BC122" s="7">
        <f ca="1">Sheet2!H$21+('RNG HERE'!F122-'RNG HERE'!AD$122)*Sheet2!H$22/'RNG HERE'!AD$123</f>
        <v>23.787178189236016</v>
      </c>
      <c r="BD122" s="7">
        <f ca="1">Sheet2!I$21+('RNG HERE'!G122-'RNG HERE'!AE$122)*Sheet2!I$22/'RNG HERE'!AE$123</f>
        <v>10.113783446625845</v>
      </c>
      <c r="BE122" s="7">
        <f ca="1">Sheet2!J$21+('RNG HERE'!H122-'RNG HERE'!AF$122)*Sheet2!J$22/'RNG HERE'!AF$123</f>
        <v>30.405849378177709</v>
      </c>
      <c r="BF122" s="7">
        <f ca="1">Sheet2!K$21+('RNG HERE'!I122-'RNG HERE'!AG$122)*Sheet2!K$22/'RNG HERE'!AG$123</f>
        <v>18.372276471354265</v>
      </c>
      <c r="BG122" s="7">
        <f ca="1">Sheet2!L$21+('RNG HERE'!J122-'RNG HERE'!AH$122)*Sheet2!L$22/'RNG HERE'!AH$123</f>
        <v>28.460552280215857</v>
      </c>
      <c r="BH122" s="7">
        <f ca="1">Sheet2!M$21+('RNG HERE'!K122-'RNG HERE'!AI$122)*Sheet2!M$22/'RNG HERE'!AI$123</f>
        <v>16.673959544996066</v>
      </c>
      <c r="BI122" s="7">
        <f ca="1">Sheet2!N$21+('RNG HERE'!L122-'RNG HERE'!AJ$122)*Sheet2!N$22/'RNG HERE'!AJ$123</f>
        <v>6.6473593801710882</v>
      </c>
      <c r="BJ122" s="7">
        <f ca="1">Sheet2!O$21+('RNG HERE'!M122-'RNG HERE'!AK$122)*Sheet2!O$22/'RNG HERE'!AK$123</f>
        <v>8.003211000139169</v>
      </c>
      <c r="BK122" s="7">
        <f ca="1">Sheet2!P$21+('RNG HERE'!N122-'RNG HERE'!AL$122)*Sheet2!P$22/'RNG HERE'!AL$123</f>
        <v>16.157883681310079</v>
      </c>
      <c r="BL122" s="7">
        <f ca="1">Sheet2!Q$21+('RNG HERE'!O122-'RNG HERE'!AM$122)*Sheet2!Q$22/'RNG HERE'!AM$123</f>
        <v>18.215572034312636</v>
      </c>
      <c r="BM122" s="7">
        <f ca="1">Sheet2!R$21+('RNG HERE'!P122-'RNG HERE'!AN$122)*Sheet2!R$22/'RNG HERE'!AN$123</f>
        <v>7.7048295727781113</v>
      </c>
      <c r="BN122" s="7">
        <f ca="1">Sheet2!S$21+('RNG HERE'!Q122-'RNG HERE'!AO$122)*Sheet2!S$22/'RNG HERE'!AO$123</f>
        <v>4.7785590918698961</v>
      </c>
      <c r="BO122" s="7">
        <f ca="1">Sheet2!T$21+('RNG HERE'!R122-'RNG HERE'!AP$122)*Sheet2!T$22/'RNG HERE'!AP$123</f>
        <v>9.1626315051817659</v>
      </c>
      <c r="BP122" s="7">
        <f ca="1">Sheet2!U$21+('RNG HERE'!S122-'RNG HERE'!AQ$122)*Sheet2!U$22/'RNG HERE'!AQ$123</f>
        <v>21.64695091400035</v>
      </c>
      <c r="BQ122" s="7">
        <f ca="1">Sheet2!V$21+('RNG HERE'!T122-'RNG HERE'!AR$122)*Sheet2!V$22/'RNG HERE'!AR$123</f>
        <v>22.438725185358479</v>
      </c>
      <c r="BR122" s="7">
        <f ca="1">Sheet2!W$21+('RNG HERE'!U122-'RNG HERE'!AS$122)*Sheet2!W$22/'RNG HERE'!AS$123</f>
        <v>32.565428329465028</v>
      </c>
      <c r="BS122" s="7">
        <f ca="1">Sheet2!X$21+('RNG HERE'!V122-'RNG HERE'!AT$122)*Sheet2!X$22/'RNG HERE'!AT$123</f>
        <v>19.146776875753407</v>
      </c>
      <c r="BT122" s="7">
        <f ca="1">Sheet2!Y$21+('RNG HERE'!W122-'RNG HERE'!AU$122)*Sheet2!Y$22/'RNG HERE'!AU$123</f>
        <v>13.329178096782439</v>
      </c>
      <c r="BU122" s="7">
        <f ca="1">Sheet2!Z$21+('RNG HERE'!X122-'RNG HERE'!AV$122)*Sheet2!Z$22/'RNG HERE'!AV$123</f>
        <v>11.042787920484077</v>
      </c>
      <c r="BV122" s="5">
        <f ca="1">AVERAGE(AX122:AX151)</f>
        <v>5.0999999999999988</v>
      </c>
      <c r="BW122" s="5">
        <f t="shared" ref="BW122" ca="1" si="146">AVERAGE(AY122:AY151)</f>
        <v>7.4999999999999991</v>
      </c>
      <c r="BX122" s="5">
        <f t="shared" ref="BX122" ca="1" si="147">AVERAGE(AZ122:AZ151)</f>
        <v>22.199999999999989</v>
      </c>
      <c r="BY122" s="5">
        <f t="shared" ref="BY122" ca="1" si="148">AVERAGE(BA122:BA151)</f>
        <v>5.1000000000000005</v>
      </c>
      <c r="BZ122" s="5">
        <f t="shared" ref="BZ122" ca="1" si="149">AVERAGE(BB122:BB151)</f>
        <v>38.800000000000004</v>
      </c>
      <c r="CA122" s="5">
        <f t="shared" ref="CA122" ca="1" si="150">AVERAGE(BC122:BC151)</f>
        <v>21.3</v>
      </c>
      <c r="CB122" s="5">
        <f t="shared" ref="CB122" ca="1" si="151">AVERAGE(BD122:BD151)</f>
        <v>9.9999999999999982</v>
      </c>
      <c r="CC122" s="5">
        <f t="shared" ref="CC122" ca="1" si="152">AVERAGE(BE122:BE151)</f>
        <v>28.799999999999994</v>
      </c>
      <c r="CD122" s="5">
        <f t="shared" ref="CD122" ca="1" si="153">AVERAGE(BF122:BF151)</f>
        <v>18.800000000000004</v>
      </c>
      <c r="CE122" s="5">
        <f t="shared" ref="CE122" ca="1" si="154">AVERAGE(BG122:BG151)</f>
        <v>26.2</v>
      </c>
      <c r="CF122" s="5">
        <f t="shared" ref="CF122" ca="1" si="155">AVERAGE(BH122:BH151)</f>
        <v>16.299999999999997</v>
      </c>
      <c r="CG122" s="5">
        <f t="shared" ref="CG122" ca="1" si="156">AVERAGE(BI122:BI151)</f>
        <v>7.7999999999999989</v>
      </c>
      <c r="CH122" s="5">
        <f t="shared" ref="CH122" ca="1" si="157">AVERAGE(BJ122:BJ151)</f>
        <v>8.1999999999999993</v>
      </c>
      <c r="CI122" s="5">
        <f t="shared" ref="CI122" ca="1" si="158">AVERAGE(BK122:BK151)</f>
        <v>18.8</v>
      </c>
      <c r="CJ122" s="5">
        <f t="shared" ref="CJ122" ca="1" si="159">AVERAGE(BL122:BL151)</f>
        <v>21.6</v>
      </c>
      <c r="CK122" s="5">
        <f t="shared" ref="CK122" ca="1" si="160">AVERAGE(BM122:BM151)</f>
        <v>5.7999999999999989</v>
      </c>
      <c r="CL122" s="5">
        <f t="shared" ref="CL122" ca="1" si="161">AVERAGE(BN122:BN151)</f>
        <v>5.3999999999999995</v>
      </c>
      <c r="CM122" s="5">
        <f t="shared" ref="CM122" ca="1" si="162">AVERAGE(BO122:BO151)</f>
        <v>8.9000000000000039</v>
      </c>
      <c r="CN122" s="5">
        <f t="shared" ref="CN122" ca="1" si="163">AVERAGE(BP122:BP151)</f>
        <v>23.4</v>
      </c>
      <c r="CO122" s="5">
        <f ca="1">AVERAGE(BQ122:BQ151)</f>
        <v>22.200000000000006</v>
      </c>
      <c r="CP122" s="5">
        <f ca="1">AVERAGE(BR122:BR151)</f>
        <v>32.6</v>
      </c>
      <c r="CQ122" s="5">
        <f t="shared" ref="CQ122" ca="1" si="164">AVERAGE(BS122:BS151)</f>
        <v>20.200000000000003</v>
      </c>
      <c r="CR122" s="5">
        <f ca="1">AVERAGE(BT122:BT151)</f>
        <v>14.3</v>
      </c>
      <c r="CS122" s="5">
        <f t="shared" ref="CS122" ca="1" si="165">AVERAGE(BU122:BU151)</f>
        <v>10.7</v>
      </c>
    </row>
    <row r="123" spans="1:97" x14ac:dyDescent="0.3">
      <c r="A123" s="8" cm="1">
        <f t="array" aca="1" ref="A123" ca="1">[1]!UNIFORM_INV(RAND(),Sheet2!C$21-SQRT(3)*Sheet2!C$22,Sheet2!C$21+SQRT(3)*Sheet2!C$22)</f>
        <v>3.6519366094745962</v>
      </c>
      <c r="B123" s="8" cm="1">
        <f t="array" aca="1" ref="B123" ca="1">[1]!UNIFORM_INV(RAND(),Sheet2!D$21-SQRT(3)*Sheet2!D$22,Sheet2!D$21+SQRT(3)*Sheet2!D$22)</f>
        <v>7.7931676855274734</v>
      </c>
      <c r="C123" s="8" cm="1">
        <f t="array" aca="1" ref="C123" ca="1">[1]!UNIFORM_INV(RAND(),Sheet2!E$21-SQRT(3)*Sheet2!E$22,Sheet2!E$21+SQRT(3)*Sheet2!E$22)</f>
        <v>25.443213179406918</v>
      </c>
      <c r="D123" s="8" cm="1">
        <f t="array" aca="1" ref="D123" ca="1">[1]!UNIFORM_INV(RAND(),Sheet2!F$21-SQRT(3)*Sheet2!F$22,Sheet2!F$21+SQRT(3)*Sheet2!F$22)</f>
        <v>1.556333505020717</v>
      </c>
      <c r="E123" s="8" cm="1">
        <f t="array" aca="1" ref="E123" ca="1">[1]!UNIFORM_INV(RAND(),Sheet2!G$21-SQRT(3)*Sheet2!G$22,Sheet2!G$21+SQRT(3)*Sheet2!G$22)</f>
        <v>28.915555182216515</v>
      </c>
      <c r="F123" s="8" cm="1">
        <f t="array" aca="1" ref="F123" ca="1">[1]!UNIFORM_INV(RAND(),Sheet2!H$21-SQRT(3)*Sheet2!H$22,Sheet2!H$21+SQRT(3)*Sheet2!H$22)</f>
        <v>18.471662828046764</v>
      </c>
      <c r="G123" s="8" cm="1">
        <f t="array" aca="1" ref="G123" ca="1">[1]!UNIFORM_INV(RAND(),Sheet2!I$21-SQRT(3)*Sheet2!I$22,Sheet2!I$21+SQRT(3)*Sheet2!I$22)</f>
        <v>10.090146306614631</v>
      </c>
      <c r="H123" s="8" cm="1">
        <f t="array" aca="1" ref="H123" ca="1">[1]!UNIFORM_INV(RAND(),Sheet2!J$21-SQRT(3)*Sheet2!J$22,Sheet2!J$21+SQRT(3)*Sheet2!J$22)</f>
        <v>27.897782860895628</v>
      </c>
      <c r="I123" s="8" cm="1">
        <f t="array" aca="1" ref="I123" ca="1">[1]!UNIFORM_INV(RAND(),Sheet2!K$21-SQRT(3)*Sheet2!K$22,Sheet2!K$21+SQRT(3)*Sheet2!K$22)</f>
        <v>19.386506439807743</v>
      </c>
      <c r="J123" s="8" cm="1">
        <f t="array" aca="1" ref="J123" ca="1">[1]!UNIFORM_INV(RAND(),Sheet2!L$21-SQRT(3)*Sheet2!L$22,Sheet2!L$21+SQRT(3)*Sheet2!L$22)</f>
        <v>22.747714755662251</v>
      </c>
      <c r="K123" s="8" cm="1">
        <f t="array" aca="1" ref="K123" ca="1">[1]!UNIFORM_INV(RAND(),Sheet2!M$21-SQRT(3)*Sheet2!M$22,Sheet2!M$21+SQRT(3)*Sheet2!M$22)</f>
        <v>15.378737745116446</v>
      </c>
      <c r="L123" s="8" cm="1">
        <f t="array" aca="1" ref="L123" ca="1">[1]!UNIFORM_INV(RAND(),Sheet2!N$21-SQRT(3)*Sheet2!N$22,Sheet2!N$21+SQRT(3)*Sheet2!N$22)</f>
        <v>8.3016281890991674</v>
      </c>
      <c r="M123" s="8" cm="1">
        <f t="array" aca="1" ref="M123" ca="1">[1]!UNIFORM_INV(RAND(),Sheet2!O$21-SQRT(3)*Sheet2!O$22,Sheet2!O$21+SQRT(3)*Sheet2!O$22)</f>
        <v>8.4250307171119108</v>
      </c>
      <c r="N123" s="8" cm="1">
        <f t="array" aca="1" ref="N123" ca="1">[1]!UNIFORM_INV(RAND(),Sheet2!P$21-SQRT(3)*Sheet2!P$22,Sheet2!P$21+SQRT(3)*Sheet2!P$22)</f>
        <v>16.728546045813676</v>
      </c>
      <c r="O123" s="8" cm="1">
        <f t="array" aca="1" ref="O123" ca="1">[1]!UNIFORM_INV(RAND(),Sheet2!Q$21-SQRT(3)*Sheet2!Q$22,Sheet2!Q$21+SQRT(3)*Sheet2!Q$22)</f>
        <v>21.060162829953107</v>
      </c>
      <c r="P123" s="8" cm="1">
        <f t="array" aca="1" ref="P123" ca="1">[1]!UNIFORM_INV(RAND(),Sheet2!R$21-SQRT(3)*Sheet2!R$22,Sheet2!R$21+SQRT(3)*Sheet2!R$22)</f>
        <v>5.240872634626256</v>
      </c>
      <c r="Q123" s="8" cm="1">
        <f t="array" aca="1" ref="Q123" ca="1">[1]!UNIFORM_INV(RAND(),Sheet2!S$21-SQRT(3)*Sheet2!S$22,Sheet2!S$21+SQRT(3)*Sheet2!S$22)</f>
        <v>3.9488622852902346</v>
      </c>
      <c r="R123" s="8" cm="1">
        <f t="array" aca="1" ref="R123" ca="1">[1]!UNIFORM_INV(RAND(),Sheet2!T$21-SQRT(3)*Sheet2!T$22,Sheet2!T$21+SQRT(3)*Sheet2!T$22)</f>
        <v>8.5594077230984489</v>
      </c>
      <c r="S123" s="8" cm="1">
        <f t="array" aca="1" ref="S123" ca="1">[1]!UNIFORM_INV(RAND(),Sheet2!U$21-SQRT(3)*Sheet2!U$22,Sheet2!U$21+SQRT(3)*Sheet2!U$22)</f>
        <v>21.306114600768481</v>
      </c>
      <c r="T123" s="8" cm="1">
        <f t="array" aca="1" ref="T123" ca="1">[1]!UNIFORM_INV(RAND(),Sheet2!V$21-SQRT(3)*Sheet2!V$22,Sheet2!V$21+SQRT(3)*Sheet2!V$22)</f>
        <v>22.948039788754215</v>
      </c>
      <c r="U123" s="8" cm="1">
        <f t="array" aca="1" ref="U123" ca="1">[1]!UNIFORM_INV(RAND(),Sheet2!W$21-SQRT(3)*Sheet2!W$22,Sheet2!W$21+SQRT(3)*Sheet2!W$22)</f>
        <v>31.102657003757209</v>
      </c>
      <c r="V123" s="8" cm="1">
        <f t="array" aca="1" ref="V123" ca="1">[1]!UNIFORM_INV(RAND(),Sheet2!X$21-SQRT(3)*Sheet2!X$22,Sheet2!X$21+SQRT(3)*Sheet2!X$22)</f>
        <v>19.682473495874877</v>
      </c>
      <c r="W123" s="8" cm="1">
        <f t="array" aca="1" ref="W123" ca="1">[1]!UNIFORM_INV(RAND(),Sheet2!Y$21-SQRT(3)*Sheet2!Y$22,Sheet2!Y$21+SQRT(3)*Sheet2!Y$22)</f>
        <v>14.940667443280574</v>
      </c>
      <c r="X123" s="8" cm="1">
        <f t="array" aca="1" ref="X123" ca="1">[1]!UNIFORM_INV(RAND(),Sheet2!Z$21-SQRT(3)*Sheet2!Z$22,Sheet2!Z$21+SQRT(3)*Sheet2!Z$22)</f>
        <v>10.726182591310589</v>
      </c>
      <c r="Y123" s="5">
        <f ca="1">_xlfn.STDEV.P(A122:A151)</f>
        <v>1.043223674509961</v>
      </c>
      <c r="Z123" s="5">
        <f t="shared" ref="Z123:AQ123" ca="1" si="166">_xlfn.STDEV.P(B122:B151)</f>
        <v>1.2239411691857736</v>
      </c>
      <c r="AA123" s="5">
        <f t="shared" ca="1" si="166"/>
        <v>2.3162760807623273</v>
      </c>
      <c r="AB123" s="5">
        <f t="shared" ca="1" si="166"/>
        <v>3.5910148355779929</v>
      </c>
      <c r="AC123" s="5">
        <f t="shared" ca="1" si="166"/>
        <v>7.3009970072512207</v>
      </c>
      <c r="AD123" s="5">
        <f t="shared" ca="1" si="166"/>
        <v>4.7816567056014714</v>
      </c>
      <c r="AE123" s="5">
        <f t="shared" ca="1" si="166"/>
        <v>0.50513051139617182</v>
      </c>
      <c r="AF123" s="5">
        <f t="shared" ca="1" si="166"/>
        <v>1.190388681785808</v>
      </c>
      <c r="AG123" s="5">
        <f t="shared" ca="1" si="166"/>
        <v>1.3365873234556482</v>
      </c>
      <c r="AH123" s="5">
        <f t="shared" ca="1" si="166"/>
        <v>2.0685716848608258</v>
      </c>
      <c r="AI123" s="5">
        <f t="shared" ca="1" si="166"/>
        <v>1.6746137499995042</v>
      </c>
      <c r="AJ123" s="5">
        <f t="shared" ca="1" si="166"/>
        <v>0.638646127801902</v>
      </c>
      <c r="AK123" s="5">
        <f t="shared" ca="1" si="166"/>
        <v>0.87205253885421552</v>
      </c>
      <c r="AL123" s="5">
        <f t="shared" ca="1" si="166"/>
        <v>1.6681189662099007</v>
      </c>
      <c r="AM123" s="5">
        <f t="shared" ca="1" si="166"/>
        <v>1.9538299562899564</v>
      </c>
      <c r="AN123" s="5">
        <f t="shared" ca="1" si="166"/>
        <v>2.0816705644308122</v>
      </c>
      <c r="AO123" s="5">
        <f t="shared" ca="1" si="166"/>
        <v>0.78482067196969529</v>
      </c>
      <c r="AP123" s="5">
        <f t="shared" ca="1" si="166"/>
        <v>0.61290176829047316</v>
      </c>
      <c r="AQ123" s="5">
        <f t="shared" ca="1" si="166"/>
        <v>1.519765667844468</v>
      </c>
      <c r="AR123" s="5">
        <f ca="1">_xlfn.STDEV.P(T122:T151)</f>
        <v>1.2805286506994453</v>
      </c>
      <c r="AS123" s="5">
        <f ca="1">_xlfn.STDEV.P(U122:U151)</f>
        <v>1.2772505338882965</v>
      </c>
      <c r="AT123" s="5">
        <f t="shared" ref="AT123" ca="1" si="167">_xlfn.STDEV.P(V122:V151)</f>
        <v>1.4642563190642393</v>
      </c>
      <c r="AU123" s="5">
        <f ca="1">_xlfn.STDEV.P(W122:W151)</f>
        <v>0.74541979541155157</v>
      </c>
      <c r="AV123" s="5">
        <f t="shared" ref="AV123" ca="1" si="168">_xlfn.STDEV.P(X122:X151)</f>
        <v>0.56517934063046005</v>
      </c>
      <c r="AX123" s="7">
        <f ca="1">Sheet2!C$21+('RNG HERE'!A123-'RNG HERE'!Y$122)*Sheet2!C$22/'RNG HERE'!Y$123</f>
        <v>3.9685947489762343</v>
      </c>
      <c r="AY123" s="7">
        <f ca="1">Sheet2!D$21+('RNG HERE'!B123-'RNG HERE'!Z$122)*Sheet2!D$22/'RNG HERE'!Z$123</f>
        <v>8.0204731471925772</v>
      </c>
      <c r="AZ123" s="7">
        <f ca="1">Sheet2!E$21+('RNG HERE'!C123-'RNG HERE'!AA$122)*Sheet2!E$22/'RNG HERE'!AA$123</f>
        <v>26.34369821047553</v>
      </c>
      <c r="BA123" s="7">
        <f ca="1">Sheet2!F$21+('RNG HERE'!D123-'RNG HERE'!AB$122)*Sheet2!F$22/'RNG HERE'!AB$123</f>
        <v>1.7353097022252881</v>
      </c>
      <c r="BB123" s="7">
        <f ca="1">Sheet2!G$21+('RNG HERE'!E123-'RNG HERE'!AC$122)*Sheet2!G$22/'RNG HERE'!AC$123</f>
        <v>27.000184845130971</v>
      </c>
      <c r="BC123" s="7">
        <f ca="1">Sheet2!H$21+('RNG HERE'!F123-'RNG HERE'!AD$122)*Sheet2!H$22/'RNG HERE'!AD$123</f>
        <v>18.628859973516963</v>
      </c>
      <c r="BD123" s="7">
        <f ca="1">Sheet2!I$21+('RNG HERE'!G123-'RNG HERE'!AE$122)*Sheet2!I$22/'RNG HERE'!AE$123</f>
        <v>10.110506153104982</v>
      </c>
      <c r="BE123" s="7">
        <f ca="1">Sheet2!J$21+('RNG HERE'!H123-'RNG HERE'!AF$122)*Sheet2!J$22/'RNG HERE'!AF$123</f>
        <v>28.097712745202411</v>
      </c>
      <c r="BF123" s="7">
        <f ca="1">Sheet2!K$21+('RNG HERE'!I123-'RNG HERE'!AG$122)*Sheet2!K$22/'RNG HERE'!AG$123</f>
        <v>19.584089680493008</v>
      </c>
      <c r="BG123" s="7">
        <f ca="1">Sheet2!L$21+('RNG HERE'!J123-'RNG HERE'!AH$122)*Sheet2!L$22/'RNG HERE'!AH$123</f>
        <v>22.201589066659658</v>
      </c>
      <c r="BH123" s="7">
        <f ca="1">Sheet2!M$21+('RNG HERE'!K123-'RNG HERE'!AI$122)*Sheet2!M$22/'RNG HERE'!AI$123</f>
        <v>15.373922307106303</v>
      </c>
      <c r="BI123" s="7">
        <f ca="1">Sheet2!N$21+('RNG HERE'!L123-'RNG HERE'!AJ$122)*Sheet2!N$22/'RNG HERE'!AJ$123</f>
        <v>8.0599793520881473</v>
      </c>
      <c r="BJ123" s="7">
        <f ca="1">Sheet2!O$21+('RNG HERE'!M123-'RNG HERE'!AK$122)*Sheet2!O$22/'RNG HERE'!AK$123</f>
        <v>8.5407760670878297</v>
      </c>
      <c r="BK123" s="7">
        <f ca="1">Sheet2!P$21+('RNG HERE'!N123-'RNG HERE'!AL$122)*Sheet2!P$22/'RNG HERE'!AL$123</f>
        <v>17.198646699422135</v>
      </c>
      <c r="BL123" s="7">
        <f ca="1">Sheet2!Q$21+('RNG HERE'!O123-'RNG HERE'!AM$122)*Sheet2!Q$22/'RNG HERE'!AM$123</f>
        <v>20.760589932657183</v>
      </c>
      <c r="BM123" s="7">
        <f ca="1">Sheet2!R$21+('RNG HERE'!P123-'RNG HERE'!AN$122)*Sheet2!R$22/'RNG HERE'!AN$123</f>
        <v>5.357598815753648</v>
      </c>
      <c r="BN123" s="7">
        <f ca="1">Sheet2!S$21+('RNG HERE'!Q123-'RNG HERE'!AO$122)*Sheet2!S$22/'RNG HERE'!AO$123</f>
        <v>3.728223463106489</v>
      </c>
      <c r="BO123" s="7">
        <f ca="1">Sheet2!T$21+('RNG HERE'!R123-'RNG HERE'!AP$122)*Sheet2!T$22/'RNG HERE'!AP$123</f>
        <v>8.3865289934013596</v>
      </c>
      <c r="BP123" s="7">
        <f ca="1">Sheet2!U$21+('RNG HERE'!S123-'RNG HERE'!AQ$122)*Sheet2!U$22/'RNG HERE'!AQ$123</f>
        <v>21.247460774795485</v>
      </c>
      <c r="BQ123" s="7">
        <f ca="1">Sheet2!V$21+('RNG HERE'!T123-'RNG HERE'!AR$122)*Sheet2!V$22/'RNG HERE'!AR$123</f>
        <v>22.880276418994764</v>
      </c>
      <c r="BR123" s="7">
        <f ca="1">Sheet2!W$21+('RNG HERE'!U123-'RNG HERE'!AS$122)*Sheet2!W$22/'RNG HERE'!AS$123</f>
        <v>31.248830695941169</v>
      </c>
      <c r="BS123" s="7">
        <f ca="1">Sheet2!X$21+('RNG HERE'!V123-'RNG HERE'!AT$122)*Sheet2!X$22/'RNG HERE'!AT$123</f>
        <v>19.997157184445427</v>
      </c>
      <c r="BT123" s="7">
        <f ca="1">Sheet2!Y$21+('RNG HERE'!W123-'RNG HERE'!AU$122)*Sheet2!Y$22/'RNG HERE'!AU$123</f>
        <v>14.990379947340388</v>
      </c>
      <c r="BU123" s="7">
        <f ca="1">Sheet2!Z$21+('RNG HERE'!X123-'RNG HERE'!AV$122)*Sheet2!Z$22/'RNG HERE'!AV$123</f>
        <v>10.735111820809641</v>
      </c>
      <c r="BV123" s="5">
        <f ca="1">_xlfn.STDEV.P(AX122:AX151)</f>
        <v>1.000000000000002</v>
      </c>
      <c r="BW123" s="5">
        <f t="shared" ref="BW123" ca="1" si="169">_xlfn.STDEV.P(AY122:AY151)</f>
        <v>1.2000000000000102</v>
      </c>
      <c r="BX123" s="5">
        <f t="shared" ref="BX123" ca="1" si="170">_xlfn.STDEV.P(AZ122:AZ151)</f>
        <v>2.3000000000000984</v>
      </c>
      <c r="BY123" s="5">
        <f t="shared" ref="BY123" ca="1" si="171">_xlfn.STDEV.P(BA122:BA151)</f>
        <v>3.8999999999999977</v>
      </c>
      <c r="BZ123" s="5">
        <f t="shared" ref="BZ123" ca="1" si="172">_xlfn.STDEV.P(BB122:BB151)</f>
        <v>7.7999999999999172</v>
      </c>
      <c r="CA123" s="5">
        <f t="shared" ref="CA123" ca="1" si="173">_xlfn.STDEV.P(BC122:BC151)</f>
        <v>4.9000000000000128</v>
      </c>
      <c r="CB123" s="5">
        <f t="shared" ref="CB123" ca="1" si="174">_xlfn.STDEV.P(BD122:BD151)</f>
        <v>0.50000000000000022</v>
      </c>
      <c r="CC123" s="5">
        <f t="shared" ref="CC123" ca="1" si="175">_xlfn.STDEV.P(BE122:BE151)</f>
        <v>1.2999999999999998</v>
      </c>
      <c r="CD123" s="5">
        <f t="shared" ref="CD123" ca="1" si="176">_xlfn.STDEV.P(BF122:BF151)</f>
        <v>1.2999999999999998</v>
      </c>
      <c r="CE123" s="5">
        <f t="shared" ref="CE123" ca="1" si="177">_xlfn.STDEV.P(BG122:BG151)</f>
        <v>2.2000000000000006</v>
      </c>
      <c r="CF123" s="5">
        <f t="shared" ref="CF123" ca="1" si="178">_xlfn.STDEV.P(BH122:BH151)</f>
        <v>1.8000000000000089</v>
      </c>
      <c r="CG123" s="5">
        <f t="shared" ref="CG123" ca="1" si="179">_xlfn.STDEV.P(BI122:BI151)</f>
        <v>0.60000000000000009</v>
      </c>
      <c r="CH123" s="5">
        <f t="shared" ref="CH123" ca="1" si="180">_xlfn.STDEV.P(BJ122:BJ151)</f>
        <v>0.89999999999999558</v>
      </c>
      <c r="CI123" s="5">
        <f t="shared" ref="CI123" ca="1" si="181">_xlfn.STDEV.P(BK122:BK151)</f>
        <v>1.8000000000000003</v>
      </c>
      <c r="CJ123" s="5">
        <f t="shared" ref="CJ123" ca="1" si="182">_xlfn.STDEV.P(BL122:BL151)</f>
        <v>2.0999999999999996</v>
      </c>
      <c r="CK123" s="5">
        <f t="shared" ref="CK123" ca="1" si="183">_xlfn.STDEV.P(BM122:BM151)</f>
        <v>1.900000000000001</v>
      </c>
      <c r="CL123" s="5">
        <f t="shared" ref="CL123" ca="1" si="184">_xlfn.STDEV.P(BN122:BN151)</f>
        <v>0.90000000000000446</v>
      </c>
      <c r="CM123" s="5">
        <f t="shared" ref="CM123" ca="1" si="185">_xlfn.STDEV.P(BO122:BO151)</f>
        <v>0.7</v>
      </c>
      <c r="CN123" s="5">
        <f t="shared" ref="CN123" ca="1" si="186">_xlfn.STDEV.P(BP122:BP151)</f>
        <v>1.3999999999999997</v>
      </c>
      <c r="CO123" s="5">
        <f ca="1">_xlfn.STDEV.P(BQ122:BQ151)</f>
        <v>1.3</v>
      </c>
      <c r="CP123" s="5">
        <f ca="1">_xlfn.STDEV.P(BR122:BR151)</f>
        <v>1.2000000000000002</v>
      </c>
      <c r="CQ123" s="5">
        <f t="shared" ref="CQ123" ca="1" si="187">_xlfn.STDEV.P(BS122:BS151)</f>
        <v>1.4000000000000001</v>
      </c>
      <c r="CR123" s="5">
        <f ca="1">_xlfn.STDEV.P(BT122:BT151)</f>
        <v>0.79999999999999993</v>
      </c>
      <c r="CS123" s="5">
        <f t="shared" ref="CS123" ca="1" si="188">_xlfn.STDEV.P(BU122:BU151)</f>
        <v>0.6</v>
      </c>
    </row>
    <row r="124" spans="1:97" x14ac:dyDescent="0.3">
      <c r="A124" s="8" cm="1">
        <f t="array" aca="1" ref="A124" ca="1">[1]!UNIFORM_INV(RAND(),Sheet2!C$21-SQRT(3)*Sheet2!C$22,Sheet2!C$21+SQRT(3)*Sheet2!C$22)</f>
        <v>5.2907736632864797</v>
      </c>
      <c r="B124" s="8" cm="1">
        <f t="array" aca="1" ref="B124" ca="1">[1]!UNIFORM_INV(RAND(),Sheet2!D$21-SQRT(3)*Sheet2!D$22,Sheet2!D$21+SQRT(3)*Sheet2!D$22)</f>
        <v>5.8847744852008637</v>
      </c>
      <c r="C124" s="8" cm="1">
        <f t="array" aca="1" ref="C124" ca="1">[1]!UNIFORM_INV(RAND(),Sheet2!E$21-SQRT(3)*Sheet2!E$22,Sheet2!E$21+SQRT(3)*Sheet2!E$22)</f>
        <v>19.486697812025959</v>
      </c>
      <c r="D124" s="8" cm="1">
        <f t="array" aca="1" ref="D124" ca="1">[1]!UNIFORM_INV(RAND(),Sheet2!F$21-SQRT(3)*Sheet2!F$22,Sheet2!F$21+SQRT(3)*Sheet2!F$22)</f>
        <v>0.4768798245537238</v>
      </c>
      <c r="E124" s="8" cm="1">
        <f t="array" aca="1" ref="E124" ca="1">[1]!UNIFORM_INV(RAND(),Sheet2!G$21-SQRT(3)*Sheet2!G$22,Sheet2!G$21+SQRT(3)*Sheet2!G$22)</f>
        <v>28.074031888336677</v>
      </c>
      <c r="F124" s="8" cm="1">
        <f t="array" aca="1" ref="F124" ca="1">[1]!UNIFORM_INV(RAND(),Sheet2!H$21-SQRT(3)*Sheet2!H$22,Sheet2!H$21+SQRT(3)*Sheet2!H$22)</f>
        <v>29.086834242907724</v>
      </c>
      <c r="G124" s="8" cm="1">
        <f t="array" aca="1" ref="G124" ca="1">[1]!UNIFORM_INV(RAND(),Sheet2!I$21-SQRT(3)*Sheet2!I$22,Sheet2!I$21+SQRT(3)*Sheet2!I$22)</f>
        <v>9.2406167588243928</v>
      </c>
      <c r="H124" s="8" cm="1">
        <f t="array" aca="1" ref="H124" ca="1">[1]!UNIFORM_INV(RAND(),Sheet2!J$21-SQRT(3)*Sheet2!J$22,Sheet2!J$21+SQRT(3)*Sheet2!J$22)</f>
        <v>27.412206313301017</v>
      </c>
      <c r="I124" s="8" cm="1">
        <f t="array" aca="1" ref="I124" ca="1">[1]!UNIFORM_INV(RAND(),Sheet2!K$21-SQRT(3)*Sheet2!K$22,Sheet2!K$21+SQRT(3)*Sheet2!K$22)</f>
        <v>16.570885602676565</v>
      </c>
      <c r="J124" s="8" cm="1">
        <f t="array" aca="1" ref="J124" ca="1">[1]!UNIFORM_INV(RAND(),Sheet2!L$21-SQRT(3)*Sheet2!L$22,Sheet2!L$21+SQRT(3)*Sheet2!L$22)</f>
        <v>23.257217873324841</v>
      </c>
      <c r="K124" s="8" cm="1">
        <f t="array" aca="1" ref="K124" ca="1">[1]!UNIFORM_INV(RAND(),Sheet2!M$21-SQRT(3)*Sheet2!M$22,Sheet2!M$21+SQRT(3)*Sheet2!M$22)</f>
        <v>17.722948363640537</v>
      </c>
      <c r="L124" s="8" cm="1">
        <f t="array" aca="1" ref="L124" ca="1">[1]!UNIFORM_INV(RAND(),Sheet2!N$21-SQRT(3)*Sheet2!N$22,Sheet2!N$21+SQRT(3)*Sheet2!N$22)</f>
        <v>8.5787233225656987</v>
      </c>
      <c r="M124" s="8" cm="1">
        <f t="array" aca="1" ref="M124" ca="1">[1]!UNIFORM_INV(RAND(),Sheet2!O$21-SQRT(3)*Sheet2!O$22,Sheet2!O$21+SQRT(3)*Sheet2!O$22)</f>
        <v>7.5492348651607051</v>
      </c>
      <c r="N124" s="8" cm="1">
        <f t="array" aca="1" ref="N124" ca="1">[1]!UNIFORM_INV(RAND(),Sheet2!P$21-SQRT(3)*Sheet2!P$22,Sheet2!P$21+SQRT(3)*Sheet2!P$22)</f>
        <v>20.06885793523124</v>
      </c>
      <c r="O124" s="8" cm="1">
        <f t="array" aca="1" ref="O124" ca="1">[1]!UNIFORM_INV(RAND(),Sheet2!Q$21-SQRT(3)*Sheet2!Q$22,Sheet2!Q$21+SQRT(3)*Sheet2!Q$22)</f>
        <v>21.314063650611143</v>
      </c>
      <c r="P124" s="8" cm="1">
        <f t="array" aca="1" ref="P124" ca="1">[1]!UNIFORM_INV(RAND(),Sheet2!R$21-SQRT(3)*Sheet2!R$22,Sheet2!R$21+SQRT(3)*Sheet2!R$22)</f>
        <v>5.4299884609546556</v>
      </c>
      <c r="Q124" s="8" cm="1">
        <f t="array" aca="1" ref="Q124" ca="1">[1]!UNIFORM_INV(RAND(),Sheet2!S$21-SQRT(3)*Sheet2!S$22,Sheet2!S$21+SQRT(3)*Sheet2!S$22)</f>
        <v>6.6953453337844842</v>
      </c>
      <c r="R124" s="8" cm="1">
        <f t="array" aca="1" ref="R124" ca="1">[1]!UNIFORM_INV(RAND(),Sheet2!T$21-SQRT(3)*Sheet2!T$22,Sheet2!T$21+SQRT(3)*Sheet2!T$22)</f>
        <v>8.2957884310486474</v>
      </c>
      <c r="S124" s="8" cm="1">
        <f t="array" aca="1" ref="S124" ca="1">[1]!UNIFORM_INV(RAND(),Sheet2!U$21-SQRT(3)*Sheet2!U$22,Sheet2!U$21+SQRT(3)*Sheet2!U$22)</f>
        <v>23.515178790807678</v>
      </c>
      <c r="T124" s="8" cm="1">
        <f t="array" aca="1" ref="T124" ca="1">[1]!UNIFORM_INV(RAND(),Sheet2!V$21-SQRT(3)*Sheet2!V$22,Sheet2!V$21+SQRT(3)*Sheet2!V$22)</f>
        <v>23.490497734811992</v>
      </c>
      <c r="U124" s="8" cm="1">
        <f t="array" aca="1" ref="U124" ca="1">[1]!UNIFORM_INV(RAND(),Sheet2!W$21-SQRT(3)*Sheet2!W$22,Sheet2!W$21+SQRT(3)*Sheet2!W$22)</f>
        <v>33.278757653556156</v>
      </c>
      <c r="V124" s="8" cm="1">
        <f t="array" aca="1" ref="V124" ca="1">[1]!UNIFORM_INV(RAND(),Sheet2!X$21-SQRT(3)*Sheet2!X$22,Sheet2!X$21+SQRT(3)*Sheet2!X$22)</f>
        <v>19.262244466342541</v>
      </c>
      <c r="W124" s="8" cm="1">
        <f t="array" aca="1" ref="W124" ca="1">[1]!UNIFORM_INV(RAND(),Sheet2!Y$21-SQRT(3)*Sheet2!Y$22,Sheet2!Y$21+SQRT(3)*Sheet2!Y$22)</f>
        <v>14.278260842398705</v>
      </c>
      <c r="X124" s="8" cm="1">
        <f t="array" aca="1" ref="X124" ca="1">[1]!UNIFORM_INV(RAND(),Sheet2!Z$21-SQRT(3)*Sheet2!Z$22,Sheet2!Z$21+SQRT(3)*Sheet2!Z$22)</f>
        <v>10.895237840302508</v>
      </c>
      <c r="AX124" s="7">
        <f ca="1">Sheet2!C$21+('RNG HERE'!A124-'RNG HERE'!Y$122)*Sheet2!C$22/'RNG HERE'!Y$123</f>
        <v>5.5395302001695779</v>
      </c>
      <c r="AY124" s="7">
        <f ca="1">Sheet2!D$21+('RNG HERE'!B124-'RNG HERE'!Z$122)*Sheet2!D$22/'RNG HERE'!Z$123</f>
        <v>6.1494094898475105</v>
      </c>
      <c r="AZ124" s="7">
        <f ca="1">Sheet2!E$21+('RNG HERE'!C124-'RNG HERE'!AA$122)*Sheet2!E$22/'RNG HERE'!AA$123</f>
        <v>20.429038270427583</v>
      </c>
      <c r="BA124" s="7">
        <f ca="1">Sheet2!F$21+('RNG HERE'!D124-'RNG HERE'!AB$122)*Sheet2!F$22/'RNG HERE'!AB$123</f>
        <v>0.56297554417281148</v>
      </c>
      <c r="BB124" s="7">
        <f ca="1">Sheet2!G$21+('RNG HERE'!E124-'RNG HERE'!AC$122)*Sheet2!G$22/'RNG HERE'!AC$123</f>
        <v>26.101145756942934</v>
      </c>
      <c r="BC124" s="7">
        <f ca="1">Sheet2!H$21+('RNG HERE'!F124-'RNG HERE'!AD$122)*Sheet2!H$22/'RNG HERE'!AD$123</f>
        <v>29.506750866831513</v>
      </c>
      <c r="BD124" s="7">
        <f ca="1">Sheet2!I$21+('RNG HERE'!G124-'RNG HERE'!AE$122)*Sheet2!I$22/'RNG HERE'!AE$123</f>
        <v>9.2696051100832939</v>
      </c>
      <c r="BE124" s="7">
        <f ca="1">Sheet2!J$21+('RNG HERE'!H124-'RNG HERE'!AF$122)*Sheet2!J$22/'RNG HERE'!AF$123</f>
        <v>27.567424175148133</v>
      </c>
      <c r="BF124" s="7">
        <f ca="1">Sheet2!K$21+('RNG HERE'!I124-'RNG HERE'!AG$122)*Sheet2!K$22/'RNG HERE'!AG$123</f>
        <v>16.845542767742799</v>
      </c>
      <c r="BG124" s="7">
        <f ca="1">Sheet2!L$21+('RNG HERE'!J124-'RNG HERE'!AH$122)*Sheet2!L$22/'RNG HERE'!AH$123</f>
        <v>22.743463862230552</v>
      </c>
      <c r="BH124" s="7">
        <f ca="1">Sheet2!M$21+('RNG HERE'!K124-'RNG HERE'!AI$122)*Sheet2!M$22/'RNG HERE'!AI$123</f>
        <v>17.893655059416865</v>
      </c>
      <c r="BI124" s="7">
        <f ca="1">Sheet2!N$21+('RNG HERE'!L124-'RNG HERE'!AJ$122)*Sheet2!N$22/'RNG HERE'!AJ$123</f>
        <v>8.3203067428642328</v>
      </c>
      <c r="BJ124" s="7">
        <f ca="1">Sheet2!O$21+('RNG HERE'!M124-'RNG HERE'!AK$122)*Sheet2!O$22/'RNG HERE'!AK$123</f>
        <v>7.636912788630184</v>
      </c>
      <c r="BK124" s="7">
        <f ca="1">Sheet2!P$21+('RNG HERE'!N124-'RNG HERE'!AL$122)*Sheet2!P$22/'RNG HERE'!AL$123</f>
        <v>20.803042742357029</v>
      </c>
      <c r="BL124" s="7">
        <f ca="1">Sheet2!Q$21+('RNG HERE'!O124-'RNG HERE'!AM$122)*Sheet2!Q$22/'RNG HERE'!AM$123</f>
        <v>21.033485596717085</v>
      </c>
      <c r="BM124" s="7">
        <f ca="1">Sheet2!R$21+('RNG HERE'!P124-'RNG HERE'!AN$122)*Sheet2!R$22/'RNG HERE'!AN$123</f>
        <v>5.530210215541687</v>
      </c>
      <c r="BN124" s="7">
        <f ca="1">Sheet2!S$21+('RNG HERE'!Q124-'RNG HERE'!AO$122)*Sheet2!S$22/'RNG HERE'!AO$123</f>
        <v>6.8777770260129856</v>
      </c>
      <c r="BO124" s="7">
        <f ca="1">Sheet2!T$21+('RNG HERE'!R124-'RNG HERE'!AP$122)*Sheet2!T$22/'RNG HERE'!AP$123</f>
        <v>8.0854472964932764</v>
      </c>
      <c r="BP124" s="7">
        <f ca="1">Sheet2!U$21+('RNG HERE'!S124-'RNG HERE'!AQ$122)*Sheet2!U$22/'RNG HERE'!AQ$123</f>
        <v>23.282438884572986</v>
      </c>
      <c r="BQ124" s="7">
        <f ca="1">Sheet2!V$21+('RNG HERE'!T124-'RNG HERE'!AR$122)*Sheet2!V$22/'RNG HERE'!AR$123</f>
        <v>23.430982824111059</v>
      </c>
      <c r="BR124" s="7">
        <f ca="1">Sheet2!W$21+('RNG HERE'!U124-'RNG HERE'!AS$122)*Sheet2!W$22/'RNG HERE'!AS$123</f>
        <v>33.293316652669773</v>
      </c>
      <c r="BS124" s="7">
        <f ca="1">Sheet2!X$21+('RNG HERE'!V124-'RNG HERE'!AT$122)*Sheet2!X$22/'RNG HERE'!AT$123</f>
        <v>19.595369168450219</v>
      </c>
      <c r="BT124" s="7">
        <f ca="1">Sheet2!Y$21+('RNG HERE'!W124-'RNG HERE'!AU$122)*Sheet2!Y$22/'RNG HERE'!AU$123</f>
        <v>14.279471431135878</v>
      </c>
      <c r="BU124" s="7">
        <f ca="1">Sheet2!Z$21+('RNG HERE'!X124-'RNG HERE'!AV$122)*Sheet2!Z$22/'RNG HERE'!AV$123</f>
        <v>10.914582551785054</v>
      </c>
    </row>
    <row r="125" spans="1:97" x14ac:dyDescent="0.3">
      <c r="A125" s="8" cm="1">
        <f t="array" aca="1" ref="A125" ca="1">[1]!UNIFORM_INV(RAND(),Sheet2!C$21-SQRT(3)*Sheet2!C$22,Sheet2!C$21+SQRT(3)*Sheet2!C$22)</f>
        <v>3.6731298261882142</v>
      </c>
      <c r="B125" s="8" cm="1">
        <f t="array" aca="1" ref="B125" ca="1">[1]!UNIFORM_INV(RAND(),Sheet2!D$21-SQRT(3)*Sheet2!D$22,Sheet2!D$21+SQRT(3)*Sheet2!D$22)</f>
        <v>6.4810351685657741</v>
      </c>
      <c r="C125" s="8" cm="1">
        <f t="array" aca="1" ref="C125" ca="1">[1]!UNIFORM_INV(RAND(),Sheet2!E$21-SQRT(3)*Sheet2!E$22,Sheet2!E$21+SQRT(3)*Sheet2!E$22)</f>
        <v>18.257436179183269</v>
      </c>
      <c r="D125" s="8" cm="1">
        <f t="array" aca="1" ref="D125" ca="1">[1]!UNIFORM_INV(RAND(),Sheet2!F$21-SQRT(3)*Sheet2!F$22,Sheet2!F$21+SQRT(3)*Sheet2!F$22)</f>
        <v>3.5130548733412383</v>
      </c>
      <c r="E125" s="8" cm="1">
        <f t="array" aca="1" ref="E125" ca="1">[1]!UNIFORM_INV(RAND(),Sheet2!G$21-SQRT(3)*Sheet2!G$22,Sheet2!G$21+SQRT(3)*Sheet2!G$22)</f>
        <v>37.204037050327862</v>
      </c>
      <c r="F125" s="8" cm="1">
        <f t="array" aca="1" ref="F125" ca="1">[1]!UNIFORM_INV(RAND(),Sheet2!H$21-SQRT(3)*Sheet2!H$22,Sheet2!H$21+SQRT(3)*Sheet2!H$22)</f>
        <v>22.134997089263329</v>
      </c>
      <c r="G125" s="8" cm="1">
        <f t="array" aca="1" ref="G125" ca="1">[1]!UNIFORM_INV(RAND(),Sheet2!I$21-SQRT(3)*Sheet2!I$22,Sheet2!I$21+SQRT(3)*Sheet2!I$22)</f>
        <v>10.144400277298006</v>
      </c>
      <c r="H125" s="8" cm="1">
        <f t="array" aca="1" ref="H125" ca="1">[1]!UNIFORM_INV(RAND(),Sheet2!J$21-SQRT(3)*Sheet2!J$22,Sheet2!J$21+SQRT(3)*Sheet2!J$22)</f>
        <v>28.99754555234415</v>
      </c>
      <c r="I125" s="8" cm="1">
        <f t="array" aca="1" ref="I125" ca="1">[1]!UNIFORM_INV(RAND(),Sheet2!K$21-SQRT(3)*Sheet2!K$22,Sheet2!K$21+SQRT(3)*Sheet2!K$22)</f>
        <v>17.282501091423413</v>
      </c>
      <c r="J125" s="8" cm="1">
        <f t="array" aca="1" ref="J125" ca="1">[1]!UNIFORM_INV(RAND(),Sheet2!L$21-SQRT(3)*Sheet2!L$22,Sheet2!L$21+SQRT(3)*Sheet2!L$22)</f>
        <v>29.850468078154798</v>
      </c>
      <c r="K125" s="8" cm="1">
        <f t="array" aca="1" ref="K125" ca="1">[1]!UNIFORM_INV(RAND(),Sheet2!M$21-SQRT(3)*Sheet2!M$22,Sheet2!M$21+SQRT(3)*Sheet2!M$22)</f>
        <v>17.281448865230026</v>
      </c>
      <c r="L125" s="8" cm="1">
        <f t="array" aca="1" ref="L125" ca="1">[1]!UNIFORM_INV(RAND(),Sheet2!N$21-SQRT(3)*Sheet2!N$22,Sheet2!N$21+SQRT(3)*Sheet2!N$22)</f>
        <v>8.4931412168305833</v>
      </c>
      <c r="M125" s="8" cm="1">
        <f t="array" aca="1" ref="M125" ca="1">[1]!UNIFORM_INV(RAND(),Sheet2!O$21-SQRT(3)*Sheet2!O$22,Sheet2!O$21+SQRT(3)*Sheet2!O$22)</f>
        <v>9.0204086156204486</v>
      </c>
      <c r="N125" s="8" cm="1">
        <f t="array" aca="1" ref="N125" ca="1">[1]!UNIFORM_INV(RAND(),Sheet2!P$21-SQRT(3)*Sheet2!P$22,Sheet2!P$21+SQRT(3)*Sheet2!P$22)</f>
        <v>16.697158545954657</v>
      </c>
      <c r="O125" s="8" cm="1">
        <f t="array" aca="1" ref="O125" ca="1">[1]!UNIFORM_INV(RAND(),Sheet2!Q$21-SQRT(3)*Sheet2!Q$22,Sheet2!Q$21+SQRT(3)*Sheet2!Q$22)</f>
        <v>24.404597981390179</v>
      </c>
      <c r="P125" s="8" cm="1">
        <f t="array" aca="1" ref="P125" ca="1">[1]!UNIFORM_INV(RAND(),Sheet2!R$21-SQRT(3)*Sheet2!R$22,Sheet2!R$21+SQRT(3)*Sheet2!R$22)</f>
        <v>8.7841054404587275</v>
      </c>
      <c r="Q125" s="8" cm="1">
        <f t="array" aca="1" ref="Q125" ca="1">[1]!UNIFORM_INV(RAND(),Sheet2!S$21-SQRT(3)*Sheet2!S$22,Sheet2!S$21+SQRT(3)*Sheet2!S$22)</f>
        <v>5.0635950249154087</v>
      </c>
      <c r="R125" s="8" cm="1">
        <f t="array" aca="1" ref="R125" ca="1">[1]!UNIFORM_INV(RAND(),Sheet2!T$21-SQRT(3)*Sheet2!T$22,Sheet2!T$21+SQRT(3)*Sheet2!T$22)</f>
        <v>8.6950160683456303</v>
      </c>
      <c r="S125" s="8" cm="1">
        <f t="array" aca="1" ref="S125" ca="1">[1]!UNIFORM_INV(RAND(),Sheet2!U$21-SQRT(3)*Sheet2!U$22,Sheet2!U$21+SQRT(3)*Sheet2!U$22)</f>
        <v>25.033567532693567</v>
      </c>
      <c r="T125" s="8" cm="1">
        <f t="array" aca="1" ref="T125" ca="1">[1]!UNIFORM_INV(RAND(),Sheet2!V$21-SQRT(3)*Sheet2!V$22,Sheet2!V$21+SQRT(3)*Sheet2!V$22)</f>
        <v>20.094469621498863</v>
      </c>
      <c r="U125" s="8" cm="1">
        <f t="array" aca="1" ref="U125" ca="1">[1]!UNIFORM_INV(RAND(),Sheet2!W$21-SQRT(3)*Sheet2!W$22,Sheet2!W$21+SQRT(3)*Sheet2!W$22)</f>
        <v>34.349090676476962</v>
      </c>
      <c r="V125" s="8" cm="1">
        <f t="array" aca="1" ref="V125" ca="1">[1]!UNIFORM_INV(RAND(),Sheet2!X$21-SQRT(3)*Sheet2!X$22,Sheet2!X$21+SQRT(3)*Sheet2!X$22)</f>
        <v>22.117894420652345</v>
      </c>
      <c r="W125" s="8" cm="1">
        <f t="array" aca="1" ref="W125" ca="1">[1]!UNIFORM_INV(RAND(),Sheet2!Y$21-SQRT(3)*Sheet2!Y$22,Sheet2!Y$21+SQRT(3)*Sheet2!Y$22)</f>
        <v>15.53029402936072</v>
      </c>
      <c r="X125" s="8" cm="1">
        <f t="array" aca="1" ref="X125" ca="1">[1]!UNIFORM_INV(RAND(),Sheet2!Z$21-SQRT(3)*Sheet2!Z$22,Sheet2!Z$21+SQRT(3)*Sheet2!Z$22)</f>
        <v>11.308046901879594</v>
      </c>
      <c r="AX125" s="7">
        <f ca="1">Sheet2!C$21+('RNG HERE'!A125-'RNG HERE'!Y$122)*Sheet2!C$22/'RNG HERE'!Y$123</f>
        <v>3.9889098714484819</v>
      </c>
      <c r="AY125" s="7">
        <f ca="1">Sheet2!D$21+('RNG HERE'!B125-'RNG HERE'!Z$122)*Sheet2!D$22/'RNG HERE'!Z$123</f>
        <v>6.7340068855817243</v>
      </c>
      <c r="AZ125" s="7">
        <f ca="1">Sheet2!E$21+('RNG HERE'!C125-'RNG HERE'!AA$122)*Sheet2!E$22/'RNG HERE'!AA$123</f>
        <v>19.208414451436337</v>
      </c>
      <c r="BA125" s="7">
        <f ca="1">Sheet2!F$21+('RNG HERE'!D125-'RNG HERE'!AB$122)*Sheet2!F$22/'RNG HERE'!AB$123</f>
        <v>3.860395140704616</v>
      </c>
      <c r="BB125" s="7">
        <f ca="1">Sheet2!G$21+('RNG HERE'!E125-'RNG HERE'!AC$122)*Sheet2!G$22/'RNG HERE'!AC$123</f>
        <v>35.855161570509587</v>
      </c>
      <c r="BC125" s="7">
        <f ca="1">Sheet2!H$21+('RNG HERE'!F125-'RNG HERE'!AD$122)*Sheet2!H$22/'RNG HERE'!AD$123</f>
        <v>22.382859682223206</v>
      </c>
      <c r="BD125" s="7">
        <f ca="1">Sheet2!I$21+('RNG HERE'!G125-'RNG HERE'!AE$122)*Sheet2!I$22/'RNG HERE'!AE$123</f>
        <v>10.164209076863653</v>
      </c>
      <c r="BE125" s="7">
        <f ca="1">Sheet2!J$21+('RNG HERE'!H125-'RNG HERE'!AF$122)*Sheet2!J$22/'RNG HERE'!AF$123</f>
        <v>29.298741888673661</v>
      </c>
      <c r="BF125" s="7">
        <f ca="1">Sheet2!K$21+('RNG HERE'!I125-'RNG HERE'!AG$122)*Sheet2!K$22/'RNG HERE'!AG$123</f>
        <v>17.537678716615279</v>
      </c>
      <c r="BG125" s="7">
        <f ca="1">Sheet2!L$21+('RNG HERE'!J125-'RNG HERE'!AH$122)*Sheet2!L$22/'RNG HERE'!AH$123</f>
        <v>29.755621360461905</v>
      </c>
      <c r="BH125" s="7">
        <f ca="1">Sheet2!M$21+('RNG HERE'!K125-'RNG HERE'!AI$122)*Sheet2!M$22/'RNG HERE'!AI$123</f>
        <v>17.41909840589652</v>
      </c>
      <c r="BI125" s="7">
        <f ca="1">Sheet2!N$21+('RNG HERE'!L125-'RNG HERE'!AJ$122)*Sheet2!N$22/'RNG HERE'!AJ$123</f>
        <v>8.2399034315378117</v>
      </c>
      <c r="BJ125" s="7">
        <f ca="1">Sheet2!O$21+('RNG HERE'!M125-'RNG HERE'!AK$122)*Sheet2!O$22/'RNG HERE'!AK$123</f>
        <v>9.1552345828118042</v>
      </c>
      <c r="BK125" s="7">
        <f ca="1">Sheet2!P$21+('RNG HERE'!N125-'RNG HERE'!AL$122)*Sheet2!P$22/'RNG HERE'!AL$123</f>
        <v>17.16477771232309</v>
      </c>
      <c r="BL125" s="7">
        <f ca="1">Sheet2!Q$21+('RNG HERE'!O125-'RNG HERE'!AM$122)*Sheet2!Q$22/'RNG HERE'!AM$123</f>
        <v>24.355229166950693</v>
      </c>
      <c r="BM125" s="7">
        <f ca="1">Sheet2!R$21+('RNG HERE'!P125-'RNG HERE'!AN$122)*Sheet2!R$22/'RNG HERE'!AN$123</f>
        <v>8.5916082916586198</v>
      </c>
      <c r="BN125" s="7">
        <f ca="1">Sheet2!S$21+('RNG HERE'!Q125-'RNG HERE'!AO$122)*Sheet2!S$22/'RNG HERE'!AO$123</f>
        <v>5.0065530248708816</v>
      </c>
      <c r="BO125" s="7">
        <f ca="1">Sheet2!T$21+('RNG HERE'!R125-'RNG HERE'!AP$122)*Sheet2!T$22/'RNG HERE'!AP$123</f>
        <v>8.5414083665475609</v>
      </c>
      <c r="BP125" s="7">
        <f ca="1">Sheet2!U$21+('RNG HERE'!S125-'RNG HERE'!AQ$122)*Sheet2!U$22/'RNG HERE'!AQ$123</f>
        <v>24.681170467748736</v>
      </c>
      <c r="BQ125" s="7">
        <f ca="1">Sheet2!V$21+('RNG HERE'!T125-'RNG HERE'!AR$122)*Sheet2!V$22/'RNG HERE'!AR$123</f>
        <v>19.98331568687394</v>
      </c>
      <c r="BR125" s="7">
        <f ca="1">Sheet2!W$21+('RNG HERE'!U125-'RNG HERE'!AS$122)*Sheet2!W$22/'RNG HERE'!AS$123</f>
        <v>34.298913905070137</v>
      </c>
      <c r="BS125" s="7">
        <f ca="1">Sheet2!X$21+('RNG HERE'!V125-'RNG HERE'!AT$122)*Sheet2!X$22/'RNG HERE'!AT$123</f>
        <v>22.325703935650449</v>
      </c>
      <c r="BT125" s="7">
        <f ca="1">Sheet2!Y$21+('RNG HERE'!W125-'RNG HERE'!AU$122)*Sheet2!Y$22/'RNG HERE'!AU$123</f>
        <v>15.623179440683179</v>
      </c>
      <c r="BU125" s="7">
        <f ca="1">Sheet2!Z$21+('RNG HERE'!X125-'RNG HERE'!AV$122)*Sheet2!Z$22/'RNG HERE'!AV$123</f>
        <v>11.352824750570942</v>
      </c>
    </row>
    <row r="126" spans="1:97" x14ac:dyDescent="0.3">
      <c r="A126" s="8" cm="1">
        <f t="array" aca="1" ref="A126" ca="1">[1]!UNIFORM_INV(RAND(),Sheet2!C$21-SQRT(3)*Sheet2!C$22,Sheet2!C$21+SQRT(3)*Sheet2!C$22)</f>
        <v>6.6127653132948652</v>
      </c>
      <c r="B126" s="8" cm="1">
        <f t="array" aca="1" ref="B126" ca="1">[1]!UNIFORM_INV(RAND(),Sheet2!D$21-SQRT(3)*Sheet2!D$22,Sheet2!D$21+SQRT(3)*Sheet2!D$22)</f>
        <v>6.2347161805463225</v>
      </c>
      <c r="C126" s="8" cm="1">
        <f t="array" aca="1" ref="C126" ca="1">[1]!UNIFORM_INV(RAND(),Sheet2!E$21-SQRT(3)*Sheet2!E$22,Sheet2!E$21+SQRT(3)*Sheet2!E$22)</f>
        <v>21.755415030698501</v>
      </c>
      <c r="D126" s="8" cm="1">
        <f t="array" aca="1" ref="D126" ca="1">[1]!UNIFORM_INV(RAND(),Sheet2!F$21-SQRT(3)*Sheet2!F$22,Sheet2!F$21+SQRT(3)*Sheet2!F$22)</f>
        <v>6.6095370025672917</v>
      </c>
      <c r="E126" s="8" cm="1">
        <f t="array" aca="1" ref="E126" ca="1">[1]!UNIFORM_INV(RAND(),Sheet2!G$21-SQRT(3)*Sheet2!G$22,Sheet2!G$21+SQRT(3)*Sheet2!G$22)</f>
        <v>46.860596889754078</v>
      </c>
      <c r="F126" s="8" cm="1">
        <f t="array" aca="1" ref="F126" ca="1">[1]!UNIFORM_INV(RAND(),Sheet2!H$21-SQRT(3)*Sheet2!H$22,Sheet2!H$21+SQRT(3)*Sheet2!H$22)</f>
        <v>28.171351435329559</v>
      </c>
      <c r="G126" s="8" cm="1">
        <f t="array" aca="1" ref="G126" ca="1">[1]!UNIFORM_INV(RAND(),Sheet2!I$21-SQRT(3)*Sheet2!I$22,Sheet2!I$21+SQRT(3)*Sheet2!I$22)</f>
        <v>10.191827772590461</v>
      </c>
      <c r="H126" s="8" cm="1">
        <f t="array" aca="1" ref="H126" ca="1">[1]!UNIFORM_INV(RAND(),Sheet2!J$21-SQRT(3)*Sheet2!J$22,Sheet2!J$21+SQRT(3)*Sheet2!J$22)</f>
        <v>26.884378049049204</v>
      </c>
      <c r="I126" s="8" cm="1">
        <f t="array" aca="1" ref="I126" ca="1">[1]!UNIFORM_INV(RAND(),Sheet2!K$21-SQRT(3)*Sheet2!K$22,Sheet2!K$21+SQRT(3)*Sheet2!K$22)</f>
        <v>16.923785488838938</v>
      </c>
      <c r="J126" s="8" cm="1">
        <f t="array" aca="1" ref="J126" ca="1">[1]!UNIFORM_INV(RAND(),Sheet2!L$21-SQRT(3)*Sheet2!L$22,Sheet2!L$21+SQRT(3)*Sheet2!L$22)</f>
        <v>27.750155053313922</v>
      </c>
      <c r="K126" s="8" cm="1">
        <f t="array" aca="1" ref="K126" ca="1">[1]!UNIFORM_INV(RAND(),Sheet2!M$21-SQRT(3)*Sheet2!M$22,Sheet2!M$21+SQRT(3)*Sheet2!M$22)</f>
        <v>16.472918686995911</v>
      </c>
      <c r="L126" s="8" cm="1">
        <f t="array" aca="1" ref="L126" ca="1">[1]!UNIFORM_INV(RAND(),Sheet2!N$21-SQRT(3)*Sheet2!N$22,Sheet2!N$21+SQRT(3)*Sheet2!N$22)</f>
        <v>8.1786716363179153</v>
      </c>
      <c r="M126" s="8" cm="1">
        <f t="array" aca="1" ref="M126" ca="1">[1]!UNIFORM_INV(RAND(),Sheet2!O$21-SQRT(3)*Sheet2!O$22,Sheet2!O$21+SQRT(3)*Sheet2!O$22)</f>
        <v>9.6170383077196622</v>
      </c>
      <c r="N126" s="8" cm="1">
        <f t="array" aca="1" ref="N126" ca="1">[1]!UNIFORM_INV(RAND(),Sheet2!P$21-SQRT(3)*Sheet2!P$22,Sheet2!P$21+SQRT(3)*Sheet2!P$22)</f>
        <v>20.946024944184682</v>
      </c>
      <c r="O126" s="8" cm="1">
        <f t="array" aca="1" ref="O126" ca="1">[1]!UNIFORM_INV(RAND(),Sheet2!Q$21-SQRT(3)*Sheet2!Q$22,Sheet2!Q$21+SQRT(3)*Sheet2!Q$22)</f>
        <v>18.933803905394303</v>
      </c>
      <c r="P126" s="8" cm="1">
        <f t="array" aca="1" ref="P126" ca="1">[1]!UNIFORM_INV(RAND(),Sheet2!R$21-SQRT(3)*Sheet2!R$22,Sheet2!R$21+SQRT(3)*Sheet2!R$22)</f>
        <v>3.0100761165497287</v>
      </c>
      <c r="Q126" s="8" cm="1">
        <f t="array" aca="1" ref="Q126" ca="1">[1]!UNIFORM_INV(RAND(),Sheet2!S$21-SQRT(3)*Sheet2!S$22,Sheet2!S$21+SQRT(3)*Sheet2!S$22)</f>
        <v>5.8923963764526421</v>
      </c>
      <c r="R126" s="8" cm="1">
        <f t="array" aca="1" ref="R126" ca="1">[1]!UNIFORM_INV(RAND(),Sheet2!T$21-SQRT(3)*Sheet2!T$22,Sheet2!T$21+SQRT(3)*Sheet2!T$22)</f>
        <v>9.9801125999771489</v>
      </c>
      <c r="S126" s="8" cm="1">
        <f t="array" aca="1" ref="S126" ca="1">[1]!UNIFORM_INV(RAND(),Sheet2!U$21-SQRT(3)*Sheet2!U$22,Sheet2!U$21+SQRT(3)*Sheet2!U$22)</f>
        <v>21.620512929646377</v>
      </c>
      <c r="T126" s="8" cm="1">
        <f t="array" aca="1" ref="T126" ca="1">[1]!UNIFORM_INV(RAND(),Sheet2!V$21-SQRT(3)*Sheet2!V$22,Sheet2!V$21+SQRT(3)*Sheet2!V$22)</f>
        <v>22.125922356470952</v>
      </c>
      <c r="U126" s="8" cm="1">
        <f t="array" aca="1" ref="U126" ca="1">[1]!UNIFORM_INV(RAND(),Sheet2!W$21-SQRT(3)*Sheet2!W$22,Sheet2!W$21+SQRT(3)*Sheet2!W$22)</f>
        <v>31.756766723575627</v>
      </c>
      <c r="V126" s="8" cm="1">
        <f t="array" aca="1" ref="V126" ca="1">[1]!UNIFORM_INV(RAND(),Sheet2!X$21-SQRT(3)*Sheet2!X$22,Sheet2!X$21+SQRT(3)*Sheet2!X$22)</f>
        <v>20.251597529579211</v>
      </c>
      <c r="W126" s="8" cm="1">
        <f t="array" aca="1" ref="W126" ca="1">[1]!UNIFORM_INV(RAND(),Sheet2!Y$21-SQRT(3)*Sheet2!Y$22,Sheet2!Y$21+SQRT(3)*Sheet2!Y$22)</f>
        <v>13.86393446879077</v>
      </c>
      <c r="X126" s="8" cm="1">
        <f t="array" aca="1" ref="X126" ca="1">[1]!UNIFORM_INV(RAND(),Sheet2!Z$21-SQRT(3)*Sheet2!Z$22,Sheet2!Z$21+SQRT(3)*Sheet2!Z$22)</f>
        <v>9.9601981912447464</v>
      </c>
      <c r="AX126" s="7">
        <f ca="1">Sheet2!C$21+('RNG HERE'!A126-'RNG HERE'!Y$122)*Sheet2!C$22/'RNG HERE'!Y$123</f>
        <v>6.8067480387882924</v>
      </c>
      <c r="AY126" s="7">
        <f ca="1">Sheet2!D$21+('RNG HERE'!B126-'RNG HERE'!Z$122)*Sheet2!D$22/'RNG HERE'!Z$123</f>
        <v>6.4925060740517235</v>
      </c>
      <c r="AZ126" s="7">
        <f ca="1">Sheet2!E$21+('RNG HERE'!C126-'RNG HERE'!AA$122)*Sheet2!E$22/'RNG HERE'!AA$123</f>
        <v>22.681813596428228</v>
      </c>
      <c r="BA126" s="7">
        <f ca="1">Sheet2!F$21+('RNG HERE'!D126-'RNG HERE'!AB$122)*Sheet2!F$22/'RNG HERE'!AB$123</f>
        <v>7.2233108781546029</v>
      </c>
      <c r="BB126" s="7">
        <f ca="1">Sheet2!G$21+('RNG HERE'!E126-'RNG HERE'!AC$122)*Sheet2!G$22/'RNG HERE'!AC$123</f>
        <v>46.17172062028277</v>
      </c>
      <c r="BC126" s="7">
        <f ca="1">Sheet2!H$21+('RNG HERE'!F126-'RNG HERE'!AD$122)*Sheet2!H$22/'RNG HERE'!AD$123</f>
        <v>28.568610378435924</v>
      </c>
      <c r="BD126" s="7">
        <f ca="1">Sheet2!I$21+('RNG HERE'!G126-'RNG HERE'!AE$122)*Sheet2!I$22/'RNG HERE'!AE$123</f>
        <v>10.211154860401225</v>
      </c>
      <c r="BE126" s="7">
        <f ca="1">Sheet2!J$21+('RNG HERE'!H126-'RNG HERE'!AF$122)*Sheet2!J$22/'RNG HERE'!AF$123</f>
        <v>26.990993338710773</v>
      </c>
      <c r="BF126" s="7">
        <f ca="1">Sheet2!K$21+('RNG HERE'!I126-'RNG HERE'!AG$122)*Sheet2!K$22/'RNG HERE'!AG$123</f>
        <v>17.188782482769401</v>
      </c>
      <c r="BG126" s="7">
        <f ca="1">Sheet2!L$21+('RNG HERE'!J126-'RNG HERE'!AH$122)*Sheet2!L$22/'RNG HERE'!AH$123</f>
        <v>27.521863309693263</v>
      </c>
      <c r="BH126" s="7">
        <f ca="1">Sheet2!M$21+('RNG HERE'!K126-'RNG HERE'!AI$122)*Sheet2!M$22/'RNG HERE'!AI$123</f>
        <v>16.550029750021793</v>
      </c>
      <c r="BI126" s="7">
        <f ca="1">Sheet2!N$21+('RNG HERE'!L126-'RNG HERE'!AJ$122)*Sheet2!N$22/'RNG HERE'!AJ$123</f>
        <v>7.9444632181022312</v>
      </c>
      <c r="BJ126" s="7">
        <f ca="1">Sheet2!O$21+('RNG HERE'!M126-'RNG HERE'!AK$122)*Sheet2!O$22/'RNG HERE'!AK$123</f>
        <v>9.7709850094945914</v>
      </c>
      <c r="BK126" s="7">
        <f ca="1">Sheet2!P$21+('RNG HERE'!N126-'RNG HERE'!AL$122)*Sheet2!P$22/'RNG HERE'!AL$123</f>
        <v>21.749558337526832</v>
      </c>
      <c r="BL126" s="7">
        <f ca="1">Sheet2!Q$21+('RNG HERE'!O126-'RNG HERE'!AM$122)*Sheet2!Q$22/'RNG HERE'!AM$123</f>
        <v>18.475153716880989</v>
      </c>
      <c r="BM126" s="7">
        <f ca="1">Sheet2!R$21+('RNG HERE'!P126-'RNG HERE'!AN$122)*Sheet2!R$22/'RNG HERE'!AN$123</f>
        <v>3.3214873114799972</v>
      </c>
      <c r="BN126" s="7">
        <f ca="1">Sheet2!S$21+('RNG HERE'!Q126-'RNG HERE'!AO$122)*Sheet2!S$22/'RNG HERE'!AO$123</f>
        <v>5.9569882555222886</v>
      </c>
      <c r="BO126" s="7">
        <f ca="1">Sheet2!T$21+('RNG HERE'!R126-'RNG HERE'!AP$122)*Sheet2!T$22/'RNG HERE'!AP$123</f>
        <v>10.009127369302551</v>
      </c>
      <c r="BP126" s="7">
        <f ca="1">Sheet2!U$21+('RNG HERE'!S126-'RNG HERE'!AQ$122)*Sheet2!U$22/'RNG HERE'!AQ$123</f>
        <v>21.537082832815354</v>
      </c>
      <c r="BQ126" s="7">
        <f ca="1">Sheet2!V$21+('RNG HERE'!T126-'RNG HERE'!AR$122)*Sheet2!V$22/'RNG HERE'!AR$123</f>
        <v>22.045658106171796</v>
      </c>
      <c r="BR126" s="7">
        <f ca="1">Sheet2!W$21+('RNG HERE'!U126-'RNG HERE'!AS$122)*Sheet2!W$22/'RNG HERE'!AS$123</f>
        <v>31.863378619747909</v>
      </c>
      <c r="BS126" s="7">
        <f ca="1">Sheet2!X$21+('RNG HERE'!V126-'RNG HERE'!AT$122)*Sheet2!X$22/'RNG HERE'!AT$123</f>
        <v>20.541306208637629</v>
      </c>
      <c r="BT126" s="7">
        <f ca="1">Sheet2!Y$21+('RNG HERE'!W126-'RNG HERE'!AU$122)*Sheet2!Y$22/'RNG HERE'!AU$123</f>
        <v>13.834807765203388</v>
      </c>
      <c r="BU126" s="7">
        <f ca="1">Sheet2!Z$21+('RNG HERE'!X126-'RNG HERE'!AV$122)*Sheet2!Z$22/'RNG HERE'!AV$123</f>
        <v>9.9219351758055421</v>
      </c>
    </row>
    <row r="127" spans="1:97" x14ac:dyDescent="0.3">
      <c r="A127" s="8" cm="1">
        <f t="array" aca="1" ref="A127" ca="1">[1]!UNIFORM_INV(RAND(),Sheet2!C$21-SQRT(3)*Sheet2!C$22,Sheet2!C$21+SQRT(3)*Sheet2!C$22)</f>
        <v>4.6312771913903426</v>
      </c>
      <c r="B127" s="8" cm="1">
        <f t="array" aca="1" ref="B127" ca="1">[1]!UNIFORM_INV(RAND(),Sheet2!D$21-SQRT(3)*Sheet2!D$22,Sheet2!D$21+SQRT(3)*Sheet2!D$22)</f>
        <v>9.2884585549484306</v>
      </c>
      <c r="C127" s="8" cm="1">
        <f t="array" aca="1" ref="C127" ca="1">[1]!UNIFORM_INV(RAND(),Sheet2!E$21-SQRT(3)*Sheet2!E$22,Sheet2!E$21+SQRT(3)*Sheet2!E$22)</f>
        <v>24.422657044040633</v>
      </c>
      <c r="D127" s="8" cm="1">
        <f t="array" aca="1" ref="D127" ca="1">[1]!UNIFORM_INV(RAND(),Sheet2!F$21-SQRT(3)*Sheet2!F$22,Sheet2!F$21+SQRT(3)*Sheet2!F$22)</f>
        <v>-1.022797562694215</v>
      </c>
      <c r="E127" s="8" cm="1">
        <f t="array" aca="1" ref="E127" ca="1">[1]!UNIFORM_INV(RAND(),Sheet2!G$21-SQRT(3)*Sheet2!G$22,Sheet2!G$21+SQRT(3)*Sheet2!G$22)</f>
        <v>31.262552548490724</v>
      </c>
      <c r="F127" s="8" cm="1">
        <f t="array" aca="1" ref="F127" ca="1">[1]!UNIFORM_INV(RAND(),Sheet2!H$21-SQRT(3)*Sheet2!H$22,Sheet2!H$21+SQRT(3)*Sheet2!H$22)</f>
        <v>21.738096301176284</v>
      </c>
      <c r="G127" s="8" cm="1">
        <f t="array" aca="1" ref="G127" ca="1">[1]!UNIFORM_INV(RAND(),Sheet2!I$21-SQRT(3)*Sheet2!I$22,Sheet2!I$21+SQRT(3)*Sheet2!I$22)</f>
        <v>10.528655633618907</v>
      </c>
      <c r="H127" s="8" cm="1">
        <f t="array" aca="1" ref="H127" ca="1">[1]!UNIFORM_INV(RAND(),Sheet2!J$21-SQRT(3)*Sheet2!J$22,Sheet2!J$21+SQRT(3)*Sheet2!J$22)</f>
        <v>28.162841470209141</v>
      </c>
      <c r="I127" s="8" cm="1">
        <f t="array" aca="1" ref="I127" ca="1">[1]!UNIFORM_INV(RAND(),Sheet2!K$21-SQRT(3)*Sheet2!K$22,Sheet2!K$21+SQRT(3)*Sheet2!K$22)</f>
        <v>17.181599324095156</v>
      </c>
      <c r="J127" s="8" cm="1">
        <f t="array" aca="1" ref="J127" ca="1">[1]!UNIFORM_INV(RAND(),Sheet2!L$21-SQRT(3)*Sheet2!L$22,Sheet2!L$21+SQRT(3)*Sheet2!L$22)</f>
        <v>28.829162296487741</v>
      </c>
      <c r="K127" s="8" cm="1">
        <f t="array" aca="1" ref="K127" ca="1">[1]!UNIFORM_INV(RAND(),Sheet2!M$21-SQRT(3)*Sheet2!M$22,Sheet2!M$21+SQRT(3)*Sheet2!M$22)</f>
        <v>16.485821642969388</v>
      </c>
      <c r="L127" s="8" cm="1">
        <f t="array" aca="1" ref="L127" ca="1">[1]!UNIFORM_INV(RAND(),Sheet2!N$21-SQRT(3)*Sheet2!N$22,Sheet2!N$21+SQRT(3)*Sheet2!N$22)</f>
        <v>6.8335958850913023</v>
      </c>
      <c r="M127" s="8" cm="1">
        <f t="array" aca="1" ref="M127" ca="1">[1]!UNIFORM_INV(RAND(),Sheet2!O$21-SQRT(3)*Sheet2!O$22,Sheet2!O$21+SQRT(3)*Sheet2!O$22)</f>
        <v>7.404652408997725</v>
      </c>
      <c r="N127" s="8" cm="1">
        <f t="array" aca="1" ref="N127" ca="1">[1]!UNIFORM_INV(RAND(),Sheet2!P$21-SQRT(3)*Sheet2!P$22,Sheet2!P$21+SQRT(3)*Sheet2!P$22)</f>
        <v>19.960420379841693</v>
      </c>
      <c r="O127" s="8" cm="1">
        <f t="array" aca="1" ref="O127" ca="1">[1]!UNIFORM_INV(RAND(),Sheet2!Q$21-SQRT(3)*Sheet2!Q$22,Sheet2!Q$21+SQRT(3)*Sheet2!Q$22)</f>
        <v>21.506461372480043</v>
      </c>
      <c r="P127" s="8" cm="1">
        <f t="array" aca="1" ref="P127" ca="1">[1]!UNIFORM_INV(RAND(),Sheet2!R$21-SQRT(3)*Sheet2!R$22,Sheet2!R$21+SQRT(3)*Sheet2!R$22)</f>
        <v>4.2861931970819578</v>
      </c>
      <c r="Q127" s="8" cm="1">
        <f t="array" aca="1" ref="Q127" ca="1">[1]!UNIFORM_INV(RAND(),Sheet2!S$21-SQRT(3)*Sheet2!S$22,Sheet2!S$21+SQRT(3)*Sheet2!S$22)</f>
        <v>3.9611570532528351</v>
      </c>
      <c r="R127" s="8" cm="1">
        <f t="array" aca="1" ref="R127" ca="1">[1]!UNIFORM_INV(RAND(),Sheet2!T$21-SQRT(3)*Sheet2!T$22,Sheet2!T$21+SQRT(3)*Sheet2!T$22)</f>
        <v>9.7692516695177609</v>
      </c>
      <c r="S127" s="8" cm="1">
        <f t="array" aca="1" ref="S127" ca="1">[1]!UNIFORM_INV(RAND(),Sheet2!U$21-SQRT(3)*Sheet2!U$22,Sheet2!U$21+SQRT(3)*Sheet2!U$22)</f>
        <v>22.755832796213401</v>
      </c>
      <c r="T127" s="8" cm="1">
        <f t="array" aca="1" ref="T127" ca="1">[1]!UNIFORM_INV(RAND(),Sheet2!V$21-SQRT(3)*Sheet2!V$22,Sheet2!V$21+SQRT(3)*Sheet2!V$22)</f>
        <v>20.704356185796609</v>
      </c>
      <c r="U127" s="8" cm="1">
        <f t="array" aca="1" ref="U127" ca="1">[1]!UNIFORM_INV(RAND(),Sheet2!W$21-SQRT(3)*Sheet2!W$22,Sheet2!W$21+SQRT(3)*Sheet2!W$22)</f>
        <v>32.075619403661996</v>
      </c>
      <c r="V127" s="8" cm="1">
        <f t="array" aca="1" ref="V127" ca="1">[1]!UNIFORM_INV(RAND(),Sheet2!X$21-SQRT(3)*Sheet2!X$22,Sheet2!X$21+SQRT(3)*Sheet2!X$22)</f>
        <v>19.680266012518818</v>
      </c>
      <c r="W127" s="8" cm="1">
        <f t="array" aca="1" ref="W127" ca="1">[1]!UNIFORM_INV(RAND(),Sheet2!Y$21-SQRT(3)*Sheet2!Y$22,Sheet2!Y$21+SQRT(3)*Sheet2!Y$22)</f>
        <v>12.922667981227693</v>
      </c>
      <c r="X127" s="8" cm="1">
        <f t="array" aca="1" ref="X127" ca="1">[1]!UNIFORM_INV(RAND(),Sheet2!Z$21-SQRT(3)*Sheet2!Z$22,Sheet2!Z$21+SQRT(3)*Sheet2!Z$22)</f>
        <v>10.176639324407383</v>
      </c>
      <c r="AX127" s="7">
        <f ca="1">Sheet2!C$21+('RNG HERE'!A127-'RNG HERE'!Y$122)*Sheet2!C$22/'RNG HERE'!Y$123</f>
        <v>4.9073585115756382</v>
      </c>
      <c r="AY127" s="7">
        <f ca="1">Sheet2!D$21+('RNG HERE'!B127-'RNG HERE'!Z$122)*Sheet2!D$22/'RNG HERE'!Z$123</f>
        <v>9.4865150522122761</v>
      </c>
      <c r="AZ127" s="7">
        <f ca="1">Sheet2!E$21+('RNG HERE'!C127-'RNG HERE'!AA$122)*Sheet2!E$22/'RNG HERE'!AA$123</f>
        <v>25.330313350683721</v>
      </c>
      <c r="BA127" s="7">
        <f ca="1">Sheet2!F$21+('RNG HERE'!D127-'RNG HERE'!AB$122)*Sheet2!F$22/'RNG HERE'!AB$123</f>
        <v>-1.06574003570186</v>
      </c>
      <c r="BB127" s="7">
        <f ca="1">Sheet2!G$21+('RNG HERE'!E127-'RNG HERE'!AC$122)*Sheet2!G$22/'RNG HERE'!AC$123</f>
        <v>29.507593003052015</v>
      </c>
      <c r="BC127" s="7">
        <f ca="1">Sheet2!H$21+('RNG HERE'!F127-'RNG HERE'!AD$122)*Sheet2!H$22/'RNG HERE'!AD$123</f>
        <v>21.976135824496598</v>
      </c>
      <c r="BD127" s="7">
        <f ca="1">Sheet2!I$21+('RNG HERE'!G127-'RNG HERE'!AE$122)*Sheet2!I$22/'RNG HERE'!AE$123</f>
        <v>10.544561626998496</v>
      </c>
      <c r="BE127" s="7">
        <f ca="1">Sheet2!J$21+('RNG HERE'!H127-'RNG HERE'!AF$122)*Sheet2!J$22/'RNG HERE'!AF$123</f>
        <v>28.387178024383861</v>
      </c>
      <c r="BF127" s="7">
        <f ca="1">Sheet2!K$21+('RNG HERE'!I127-'RNG HERE'!AG$122)*Sheet2!K$22/'RNG HERE'!AG$123</f>
        <v>17.439539002714955</v>
      </c>
      <c r="BG127" s="7">
        <f ca="1">Sheet2!L$21+('RNG HERE'!J127-'RNG HERE'!AH$122)*Sheet2!L$22/'RNG HERE'!AH$123</f>
        <v>28.669426119508149</v>
      </c>
      <c r="BH127" s="7">
        <f ca="1">Sheet2!M$21+('RNG HERE'!K127-'RNG HERE'!AI$122)*Sheet2!M$22/'RNG HERE'!AI$123</f>
        <v>16.563898811321611</v>
      </c>
      <c r="BI127" s="7">
        <f ca="1">Sheet2!N$21+('RNG HERE'!L127-'RNG HERE'!AJ$122)*Sheet2!N$22/'RNG HERE'!AJ$123</f>
        <v>6.6807814769889422</v>
      </c>
      <c r="BJ127" s="7">
        <f ca="1">Sheet2!O$21+('RNG HERE'!M127-'RNG HERE'!AK$122)*Sheet2!O$22/'RNG HERE'!AK$123</f>
        <v>7.4876967669468444</v>
      </c>
      <c r="BK127" s="7">
        <f ca="1">Sheet2!P$21+('RNG HERE'!N127-'RNG HERE'!AL$122)*Sheet2!P$22/'RNG HERE'!AL$123</f>
        <v>20.686032143200144</v>
      </c>
      <c r="BL127" s="7">
        <f ca="1">Sheet2!Q$21+('RNG HERE'!O127-'RNG HERE'!AM$122)*Sheet2!Q$22/'RNG HERE'!AM$123</f>
        <v>21.240276988477653</v>
      </c>
      <c r="BM127" s="7">
        <f ca="1">Sheet2!R$21+('RNG HERE'!P127-'RNG HERE'!AN$122)*Sheet2!R$22/'RNG HERE'!AN$123</f>
        <v>4.4862357084840134</v>
      </c>
      <c r="BN127" s="7">
        <f ca="1">Sheet2!S$21+('RNG HERE'!Q127-'RNG HERE'!AO$122)*Sheet2!S$22/'RNG HERE'!AO$123</f>
        <v>3.7423225962735209</v>
      </c>
      <c r="BO127" s="7">
        <f ca="1">Sheet2!T$21+('RNG HERE'!R127-'RNG HERE'!AP$122)*Sheet2!T$22/'RNG HERE'!AP$123</f>
        <v>9.7683014181337864</v>
      </c>
      <c r="BP127" s="7">
        <f ca="1">Sheet2!U$21+('RNG HERE'!S127-'RNG HERE'!AQ$122)*Sheet2!U$22/'RNG HERE'!AQ$123</f>
        <v>22.582933418088935</v>
      </c>
      <c r="BQ127" s="7">
        <f ca="1">Sheet2!V$21+('RNG HERE'!T127-'RNG HERE'!AR$122)*Sheet2!V$22/'RNG HERE'!AR$123</f>
        <v>20.602476010349719</v>
      </c>
      <c r="BR127" s="7">
        <f ca="1">Sheet2!W$21+('RNG HERE'!U127-'RNG HERE'!AS$122)*Sheet2!W$22/'RNG HERE'!AS$123</f>
        <v>32.162946485215016</v>
      </c>
      <c r="BS127" s="7">
        <f ca="1">Sheet2!X$21+('RNG HERE'!V127-'RNG HERE'!AT$122)*Sheet2!X$22/'RNG HERE'!AT$123</f>
        <v>19.995046572622726</v>
      </c>
      <c r="BT127" s="7">
        <f ca="1">Sheet2!Y$21+('RNG HERE'!W127-'RNG HERE'!AU$122)*Sheet2!Y$22/'RNG HERE'!AU$123</f>
        <v>12.824621029238431</v>
      </c>
      <c r="BU127" s="7">
        <f ca="1">Sheet2!Z$21+('RNG HERE'!X127-'RNG HERE'!AV$122)*Sheet2!Z$22/'RNG HERE'!AV$123</f>
        <v>10.15171123193795</v>
      </c>
    </row>
    <row r="128" spans="1:97" x14ac:dyDescent="0.3">
      <c r="A128" s="8" cm="1">
        <f t="array" aca="1" ref="A128" ca="1">[1]!UNIFORM_INV(RAND(),Sheet2!C$21-SQRT(3)*Sheet2!C$22,Sheet2!C$21+SQRT(3)*Sheet2!C$22)</f>
        <v>3.6237467500430571</v>
      </c>
      <c r="B128" s="8" cm="1">
        <f t="array" aca="1" ref="B128" ca="1">[1]!UNIFORM_INV(RAND(),Sheet2!D$21-SQRT(3)*Sheet2!D$22,Sheet2!D$21+SQRT(3)*Sheet2!D$22)</f>
        <v>6.0302619813468255</v>
      </c>
      <c r="C128" s="8" cm="1">
        <f t="array" aca="1" ref="C128" ca="1">[1]!UNIFORM_INV(RAND(),Sheet2!E$21-SQRT(3)*Sheet2!E$22,Sheet2!E$21+SQRT(3)*Sheet2!E$22)</f>
        <v>22.784489116095326</v>
      </c>
      <c r="D128" s="8" cm="1">
        <f t="array" aca="1" ref="D128" ca="1">[1]!UNIFORM_INV(RAND(),Sheet2!F$21-SQRT(3)*Sheet2!F$22,Sheet2!F$21+SQRT(3)*Sheet2!F$22)</f>
        <v>-6.1785337364557866E-2</v>
      </c>
      <c r="E128" s="8" cm="1">
        <f t="array" aca="1" ref="E128" ca="1">[1]!UNIFORM_INV(RAND(),Sheet2!G$21-SQRT(3)*Sheet2!G$22,Sheet2!G$21+SQRT(3)*Sheet2!G$22)</f>
        <v>49.589701279201549</v>
      </c>
      <c r="F128" s="8" cm="1">
        <f t="array" aca="1" ref="F128" ca="1">[1]!UNIFORM_INV(RAND(),Sheet2!H$21-SQRT(3)*Sheet2!H$22,Sheet2!H$21+SQRT(3)*Sheet2!H$22)</f>
        <v>17.012729647211216</v>
      </c>
      <c r="G128" s="8" cm="1">
        <f t="array" aca="1" ref="G128" ca="1">[1]!UNIFORM_INV(RAND(),Sheet2!I$21-SQRT(3)*Sheet2!I$22,Sheet2!I$21+SQRT(3)*Sheet2!I$22)</f>
        <v>9.9766593680534257</v>
      </c>
      <c r="H128" s="8" cm="1">
        <f t="array" aca="1" ref="H128" ca="1">[1]!UNIFORM_INV(RAND(),Sheet2!J$21-SQRT(3)*Sheet2!J$22,Sheet2!J$21+SQRT(3)*Sheet2!J$22)</f>
        <v>27.447916988888039</v>
      </c>
      <c r="I128" s="8" cm="1">
        <f t="array" aca="1" ref="I128" ca="1">[1]!UNIFORM_INV(RAND(),Sheet2!K$21-SQRT(3)*Sheet2!K$22,Sheet2!K$21+SQRT(3)*Sheet2!K$22)</f>
        <v>19.013980791970436</v>
      </c>
      <c r="J128" s="8" cm="1">
        <f t="array" aca="1" ref="J128" ca="1">[1]!UNIFORM_INV(RAND(),Sheet2!L$21-SQRT(3)*Sheet2!L$22,Sheet2!L$21+SQRT(3)*Sheet2!L$22)</f>
        <v>29.733936540673717</v>
      </c>
      <c r="K128" s="8" cm="1">
        <f t="array" aca="1" ref="K128" ca="1">[1]!UNIFORM_INV(RAND(),Sheet2!M$21-SQRT(3)*Sheet2!M$22,Sheet2!M$21+SQRT(3)*Sheet2!M$22)</f>
        <v>14.460568040720073</v>
      </c>
      <c r="L128" s="8" cm="1">
        <f t="array" aca="1" ref="L128" ca="1">[1]!UNIFORM_INV(RAND(),Sheet2!N$21-SQRT(3)*Sheet2!N$22,Sheet2!N$21+SQRT(3)*Sheet2!N$22)</f>
        <v>8.4310070566686992</v>
      </c>
      <c r="M128" s="8" cm="1">
        <f t="array" aca="1" ref="M128" ca="1">[1]!UNIFORM_INV(RAND(),Sheet2!O$21-SQRT(3)*Sheet2!O$22,Sheet2!O$21+SQRT(3)*Sheet2!O$22)</f>
        <v>9.3797627506606371</v>
      </c>
      <c r="N128" s="8" cm="1">
        <f t="array" aca="1" ref="N128" ca="1">[1]!UNIFORM_INV(RAND(),Sheet2!P$21-SQRT(3)*Sheet2!P$22,Sheet2!P$21+SQRT(3)*Sheet2!P$22)</f>
        <v>19.520774774986563</v>
      </c>
      <c r="O128" s="8" cm="1">
        <f t="array" aca="1" ref="O128" ca="1">[1]!UNIFORM_INV(RAND(),Sheet2!Q$21-SQRT(3)*Sheet2!Q$22,Sheet2!Q$21+SQRT(3)*Sheet2!Q$22)</f>
        <v>21.240549978986945</v>
      </c>
      <c r="P128" s="8" cm="1">
        <f t="array" aca="1" ref="P128" ca="1">[1]!UNIFORM_INV(RAND(),Sheet2!R$21-SQRT(3)*Sheet2!R$22,Sheet2!R$21+SQRT(3)*Sheet2!R$22)</f>
        <v>3.3222084332075954</v>
      </c>
      <c r="Q128" s="8" cm="1">
        <f t="array" aca="1" ref="Q128" ca="1">[1]!UNIFORM_INV(RAND(),Sheet2!S$21-SQRT(3)*Sheet2!S$22,Sheet2!S$21+SQRT(3)*Sheet2!S$22)</f>
        <v>5.1032096696816982</v>
      </c>
      <c r="R128" s="8" cm="1">
        <f t="array" aca="1" ref="R128" ca="1">[1]!UNIFORM_INV(RAND(),Sheet2!T$21-SQRT(3)*Sheet2!T$22,Sheet2!T$21+SQRT(3)*Sheet2!T$22)</f>
        <v>9.2480793266820349</v>
      </c>
      <c r="S128" s="8" cm="1">
        <f t="array" aca="1" ref="S128" ca="1">[1]!UNIFORM_INV(RAND(),Sheet2!U$21-SQRT(3)*Sheet2!U$22,Sheet2!U$21+SQRT(3)*Sheet2!U$22)</f>
        <v>25.293693241879726</v>
      </c>
      <c r="T128" s="8" cm="1">
        <f t="array" aca="1" ref="T128" ca="1">[1]!UNIFORM_INV(RAND(),Sheet2!V$21-SQRT(3)*Sheet2!V$22,Sheet2!V$21+SQRT(3)*Sheet2!V$22)</f>
        <v>20.53731422211948</v>
      </c>
      <c r="U128" s="8" cm="1">
        <f t="array" aca="1" ref="U128" ca="1">[1]!UNIFORM_INV(RAND(),Sheet2!W$21-SQRT(3)*Sheet2!W$22,Sheet2!W$21+SQRT(3)*Sheet2!W$22)</f>
        <v>30.956333181618707</v>
      </c>
      <c r="V128" s="8" cm="1">
        <f t="array" aca="1" ref="V128" ca="1">[1]!UNIFORM_INV(RAND(),Sheet2!X$21-SQRT(3)*Sheet2!X$22,Sheet2!X$21+SQRT(3)*Sheet2!X$22)</f>
        <v>21.784492996579772</v>
      </c>
      <c r="W128" s="8" cm="1">
        <f t="array" aca="1" ref="W128" ca="1">[1]!UNIFORM_INV(RAND(),Sheet2!Y$21-SQRT(3)*Sheet2!Y$22,Sheet2!Y$21+SQRT(3)*Sheet2!Y$22)</f>
        <v>13.190187262220244</v>
      </c>
      <c r="X128" s="8" cm="1">
        <f t="array" aca="1" ref="X128" ca="1">[1]!UNIFORM_INV(RAND(),Sheet2!Z$21-SQRT(3)*Sheet2!Z$22,Sheet2!Z$21+SQRT(3)*Sheet2!Z$22)</f>
        <v>10.485044273287835</v>
      </c>
      <c r="AX128" s="7">
        <f ca="1">Sheet2!C$21+('RNG HERE'!A128-'RNG HERE'!Y$122)*Sheet2!C$22/'RNG HERE'!Y$123</f>
        <v>3.9415728742619924</v>
      </c>
      <c r="AY128" s="7">
        <f ca="1">Sheet2!D$21+('RNG HERE'!B128-'RNG HERE'!Z$122)*Sheet2!D$22/'RNG HERE'!Z$123</f>
        <v>6.2920511459749013</v>
      </c>
      <c r="AZ128" s="7">
        <f ca="1">Sheet2!E$21+('RNG HERE'!C128-'RNG HERE'!AA$122)*Sheet2!E$22/'RNG HERE'!AA$123</f>
        <v>23.703656552054532</v>
      </c>
      <c r="BA128" s="7">
        <f ca="1">Sheet2!F$21+('RNG HERE'!D128-'RNG HERE'!AB$122)*Sheet2!F$22/'RNG HERE'!AB$123</f>
        <v>-2.2038505523577889E-2</v>
      </c>
      <c r="BB128" s="7">
        <f ca="1">Sheet2!G$21+('RNG HERE'!E128-'RNG HERE'!AC$122)*Sheet2!G$22/'RNG HERE'!AC$123</f>
        <v>49.087351761693782</v>
      </c>
      <c r="BC128" s="7">
        <f ca="1">Sheet2!H$21+('RNG HERE'!F128-'RNG HERE'!AD$122)*Sheet2!H$22/'RNG HERE'!AD$123</f>
        <v>17.133819023019669</v>
      </c>
      <c r="BD128" s="7">
        <f ca="1">Sheet2!I$21+('RNG HERE'!G128-'RNG HERE'!AE$122)*Sheet2!I$22/'RNG HERE'!AE$123</f>
        <v>9.9981718790898082</v>
      </c>
      <c r="BE128" s="7">
        <f ca="1">Sheet2!J$21+('RNG HERE'!H128-'RNG HERE'!AF$122)*Sheet2!J$22/'RNG HERE'!AF$123</f>
        <v>27.606423099594796</v>
      </c>
      <c r="BF128" s="7">
        <f ca="1">Sheet2!K$21+('RNG HERE'!I128-'RNG HERE'!AG$122)*Sheet2!K$22/'RNG HERE'!AG$123</f>
        <v>19.221761433254795</v>
      </c>
      <c r="BG128" s="7">
        <f ca="1">Sheet2!L$21+('RNG HERE'!J128-'RNG HERE'!AH$122)*Sheet2!L$22/'RNG HERE'!AH$123</f>
        <v>29.631685900871766</v>
      </c>
      <c r="BH128" s="7">
        <f ca="1">Sheet2!M$21+('RNG HERE'!K128-'RNG HERE'!AI$122)*Sheet2!M$22/'RNG HERE'!AI$123</f>
        <v>14.38700489530674</v>
      </c>
      <c r="BI128" s="7">
        <f ca="1">Sheet2!N$21+('RNG HERE'!L128-'RNG HERE'!AJ$122)*Sheet2!N$22/'RNG HERE'!AJ$123</f>
        <v>8.1815291699957537</v>
      </c>
      <c r="BJ128" s="7">
        <f ca="1">Sheet2!O$21+('RNG HERE'!M128-'RNG HERE'!AK$122)*Sheet2!O$22/'RNG HERE'!AK$123</f>
        <v>9.5261052667743868</v>
      </c>
      <c r="BK128" s="7">
        <f ca="1">Sheet2!P$21+('RNG HERE'!N128-'RNG HERE'!AL$122)*Sheet2!P$22/'RNG HERE'!AL$123</f>
        <v>20.211628275868506</v>
      </c>
      <c r="BL128" s="7">
        <f ca="1">Sheet2!Q$21+('RNG HERE'!O128-'RNG HERE'!AM$122)*Sheet2!Q$22/'RNG HERE'!AM$123</f>
        <v>20.954472215888408</v>
      </c>
      <c r="BM128" s="7">
        <f ca="1">Sheet2!R$21+('RNG HERE'!P128-'RNG HERE'!AN$122)*Sheet2!R$22/'RNG HERE'!AN$123</f>
        <v>3.6063793649025349</v>
      </c>
      <c r="BN128" s="7">
        <f ca="1">Sheet2!S$21+('RNG HERE'!Q128-'RNG HERE'!AO$122)*Sheet2!S$22/'RNG HERE'!AO$123</f>
        <v>5.0519814667596252</v>
      </c>
      <c r="BO128" s="7">
        <f ca="1">Sheet2!T$21+('RNG HERE'!R128-'RNG HERE'!AP$122)*Sheet2!T$22/'RNG HERE'!AP$123</f>
        <v>9.1730663268685433</v>
      </c>
      <c r="BP128" s="7">
        <f ca="1">Sheet2!U$21+('RNG HERE'!S128-'RNG HERE'!AQ$122)*Sheet2!U$22/'RNG HERE'!AQ$123</f>
        <v>24.920796878955368</v>
      </c>
      <c r="BQ128" s="7">
        <f ca="1">Sheet2!V$21+('RNG HERE'!T128-'RNG HERE'!AR$122)*Sheet2!V$22/'RNG HERE'!AR$123</f>
        <v>20.43289405475532</v>
      </c>
      <c r="BR128" s="7">
        <f ca="1">Sheet2!W$21+('RNG HERE'!U128-'RNG HERE'!AS$122)*Sheet2!W$22/'RNG HERE'!AS$123</f>
        <v>31.111356815987747</v>
      </c>
      <c r="BS128" s="7">
        <f ca="1">Sheet2!X$21+('RNG HERE'!V128-'RNG HERE'!AT$122)*Sheet2!X$22/'RNG HERE'!AT$123</f>
        <v>22.00693324801572</v>
      </c>
      <c r="BT128" s="7">
        <f ca="1">Sheet2!Y$21+('RNG HERE'!W128-'RNG HERE'!AU$122)*Sheet2!Y$22/'RNG HERE'!AU$123</f>
        <v>13.111728275532958</v>
      </c>
      <c r="BU128" s="7">
        <f ca="1">Sheet2!Z$21+('RNG HERE'!X128-'RNG HERE'!AV$122)*Sheet2!Z$22/'RNG HERE'!AV$123</f>
        <v>10.479116987997354</v>
      </c>
    </row>
    <row r="129" spans="1:73" x14ac:dyDescent="0.3">
      <c r="A129" s="8" cm="1">
        <f t="array" aca="1" ref="A129" ca="1">[1]!UNIFORM_INV(RAND(),Sheet2!C$21-SQRT(3)*Sheet2!C$22,Sheet2!C$21+SQRT(3)*Sheet2!C$22)</f>
        <v>5.5610887765565673</v>
      </c>
      <c r="B129" s="8" cm="1">
        <f t="array" aca="1" ref="B129" ca="1">[1]!UNIFORM_INV(RAND(),Sheet2!D$21-SQRT(3)*Sheet2!D$22,Sheet2!D$21+SQRT(3)*Sheet2!D$22)</f>
        <v>9.4732760631256898</v>
      </c>
      <c r="C129" s="8" cm="1">
        <f t="array" aca="1" ref="C129" ca="1">[1]!UNIFORM_INV(RAND(),Sheet2!E$21-SQRT(3)*Sheet2!E$22,Sheet2!E$21+SQRT(3)*Sheet2!E$22)</f>
        <v>18.286156881820549</v>
      </c>
      <c r="D129" s="8" cm="1">
        <f t="array" aca="1" ref="D129" ca="1">[1]!UNIFORM_INV(RAND(),Sheet2!F$21-SQRT(3)*Sheet2!F$22,Sheet2!F$21+SQRT(3)*Sheet2!F$22)</f>
        <v>1.2929001622396792</v>
      </c>
      <c r="E129" s="8" cm="1">
        <f t="array" aca="1" ref="E129" ca="1">[1]!UNIFORM_INV(RAND(),Sheet2!G$21-SQRT(3)*Sheet2!G$22,Sheet2!G$21+SQRT(3)*Sheet2!G$22)</f>
        <v>38.717272637149648</v>
      </c>
      <c r="F129" s="8" cm="1">
        <f t="array" aca="1" ref="F129" ca="1">[1]!UNIFORM_INV(RAND(),Sheet2!H$21-SQRT(3)*Sheet2!H$22,Sheet2!H$21+SQRT(3)*Sheet2!H$22)</f>
        <v>28.85223494092785</v>
      </c>
      <c r="G129" s="8" cm="1">
        <f t="array" aca="1" ref="G129" ca="1">[1]!UNIFORM_INV(RAND(),Sheet2!I$21-SQRT(3)*Sheet2!I$22,Sheet2!I$21+SQRT(3)*Sheet2!I$22)</f>
        <v>10.52028193437965</v>
      </c>
      <c r="H129" s="8" cm="1">
        <f t="array" aca="1" ref="H129" ca="1">[1]!UNIFORM_INV(RAND(),Sheet2!J$21-SQRT(3)*Sheet2!J$22,Sheet2!J$21+SQRT(3)*Sheet2!J$22)</f>
        <v>30.388157845070982</v>
      </c>
      <c r="I129" s="8" cm="1">
        <f t="array" aca="1" ref="I129" ca="1">[1]!UNIFORM_INV(RAND(),Sheet2!K$21-SQRT(3)*Sheet2!K$22,Sheet2!K$21+SQRT(3)*Sheet2!K$22)</f>
        <v>19.598815177044354</v>
      </c>
      <c r="J129" s="8" cm="1">
        <f t="array" aca="1" ref="J129" ca="1">[1]!UNIFORM_INV(RAND(),Sheet2!L$21-SQRT(3)*Sheet2!L$22,Sheet2!L$21+SQRT(3)*Sheet2!L$22)</f>
        <v>29.362150149508459</v>
      </c>
      <c r="K129" s="8" cm="1">
        <f t="array" aca="1" ref="K129" ca="1">[1]!UNIFORM_INV(RAND(),Sheet2!M$21-SQRT(3)*Sheet2!M$22,Sheet2!M$21+SQRT(3)*Sheet2!M$22)</f>
        <v>16.223762927531567</v>
      </c>
      <c r="L129" s="8" cm="1">
        <f t="array" aca="1" ref="L129" ca="1">[1]!UNIFORM_INV(RAND(),Sheet2!N$21-SQRT(3)*Sheet2!N$22,Sheet2!N$21+SQRT(3)*Sheet2!N$22)</f>
        <v>8.1209011151690174</v>
      </c>
      <c r="M129" s="8" cm="1">
        <f t="array" aca="1" ref="M129" ca="1">[1]!UNIFORM_INV(RAND(),Sheet2!O$21-SQRT(3)*Sheet2!O$22,Sheet2!O$21+SQRT(3)*Sheet2!O$22)</f>
        <v>7.6171514844253867</v>
      </c>
      <c r="N129" s="8" cm="1">
        <f t="array" aca="1" ref="N129" ca="1">[1]!UNIFORM_INV(RAND(),Sheet2!P$21-SQRT(3)*Sheet2!P$22,Sheet2!P$21+SQRT(3)*Sheet2!P$22)</f>
        <v>18.563745219713699</v>
      </c>
      <c r="O129" s="8" cm="1">
        <f t="array" aca="1" ref="O129" ca="1">[1]!UNIFORM_INV(RAND(),Sheet2!Q$21-SQRT(3)*Sheet2!Q$22,Sheet2!Q$21+SQRT(3)*Sheet2!Q$22)</f>
        <v>23.617995865958722</v>
      </c>
      <c r="P129" s="8" cm="1">
        <f t="array" aca="1" ref="P129" ca="1">[1]!UNIFORM_INV(RAND(),Sheet2!R$21-SQRT(3)*Sheet2!R$22,Sheet2!R$21+SQRT(3)*Sheet2!R$22)</f>
        <v>8.2897492413222995</v>
      </c>
      <c r="Q129" s="8" cm="1">
        <f t="array" aca="1" ref="Q129" ca="1">[1]!UNIFORM_INV(RAND(),Sheet2!S$21-SQRT(3)*Sheet2!S$22,Sheet2!S$21+SQRT(3)*Sheet2!S$22)</f>
        <v>5.9611693775552084</v>
      </c>
      <c r="R129" s="8" cm="1">
        <f t="array" aca="1" ref="R129" ca="1">[1]!UNIFORM_INV(RAND(),Sheet2!T$21-SQRT(3)*Sheet2!T$22,Sheet2!T$21+SQRT(3)*Sheet2!T$22)</f>
        <v>8.6304400975250832</v>
      </c>
      <c r="S129" s="8" cm="1">
        <f t="array" aca="1" ref="S129" ca="1">[1]!UNIFORM_INV(RAND(),Sheet2!U$21-SQRT(3)*Sheet2!U$22,Sheet2!U$21+SQRT(3)*Sheet2!U$22)</f>
        <v>25.106844217972284</v>
      </c>
      <c r="T129" s="8" cm="1">
        <f t="array" aca="1" ref="T129" ca="1">[1]!UNIFORM_INV(RAND(),Sheet2!V$21-SQRT(3)*Sheet2!V$22,Sheet2!V$21+SQRT(3)*Sheet2!V$22)</f>
        <v>22.664054401920545</v>
      </c>
      <c r="U129" s="8" cm="1">
        <f t="array" aca="1" ref="U129" ca="1">[1]!UNIFORM_INV(RAND(),Sheet2!W$21-SQRT(3)*Sheet2!W$22,Sheet2!W$21+SQRT(3)*Sheet2!W$22)</f>
        <v>30.560611589146966</v>
      </c>
      <c r="V129" s="8" cm="1">
        <f t="array" aca="1" ref="V129" ca="1">[1]!UNIFORM_INV(RAND(),Sheet2!X$21-SQRT(3)*Sheet2!X$22,Sheet2!X$21+SQRT(3)*Sheet2!X$22)</f>
        <v>19.035750422881016</v>
      </c>
      <c r="W129" s="8" cm="1">
        <f t="array" aca="1" ref="W129" ca="1">[1]!UNIFORM_INV(RAND(),Sheet2!Y$21-SQRT(3)*Sheet2!Y$22,Sheet2!Y$21+SQRT(3)*Sheet2!Y$22)</f>
        <v>14.717709145798041</v>
      </c>
      <c r="X129" s="8" cm="1">
        <f t="array" aca="1" ref="X129" ca="1">[1]!UNIFORM_INV(RAND(),Sheet2!Z$21-SQRT(3)*Sheet2!Z$22,Sheet2!Z$21+SQRT(3)*Sheet2!Z$22)</f>
        <v>10.213675738222671</v>
      </c>
      <c r="AX129" s="7">
        <f ca="1">Sheet2!C$21+('RNG HERE'!A129-'RNG HERE'!Y$122)*Sheet2!C$22/'RNG HERE'!Y$123</f>
        <v>5.7986454022829355</v>
      </c>
      <c r="AY129" s="7">
        <f ca="1">Sheet2!D$21+('RNG HERE'!B129-'RNG HERE'!Z$122)*Sheet2!D$22/'RNG HERE'!Z$123</f>
        <v>9.6677173970604784</v>
      </c>
      <c r="AZ129" s="7">
        <f ca="1">Sheet2!E$21+('RNG HERE'!C129-'RNG HERE'!AA$122)*Sheet2!E$22/'RNG HERE'!AA$123</f>
        <v>19.236933338547583</v>
      </c>
      <c r="BA129" s="7">
        <f ca="1">Sheet2!F$21+('RNG HERE'!D129-'RNG HERE'!AB$122)*Sheet2!F$22/'RNG HERE'!AB$123</f>
        <v>1.4492095094142812</v>
      </c>
      <c r="BB129" s="7">
        <f ca="1">Sheet2!G$21+('RNG HERE'!E129-'RNG HERE'!AC$122)*Sheet2!G$22/'RNG HERE'!AC$123</f>
        <v>37.471822632757274</v>
      </c>
      <c r="BC129" s="7">
        <f ca="1">Sheet2!H$21+('RNG HERE'!F129-'RNG HERE'!AD$122)*Sheet2!H$22/'RNG HERE'!AD$123</f>
        <v>29.266345365040731</v>
      </c>
      <c r="BD129" s="7">
        <f ca="1">Sheet2!I$21+('RNG HERE'!G129-'RNG HERE'!AE$122)*Sheet2!I$22/'RNG HERE'!AE$123</f>
        <v>10.536272977777809</v>
      </c>
      <c r="BE129" s="7">
        <f ca="1">Sheet2!J$21+('RNG HERE'!H129-'RNG HERE'!AF$122)*Sheet2!J$22/'RNG HERE'!AF$123</f>
        <v>30.817402144946296</v>
      </c>
      <c r="BF129" s="7">
        <f ca="1">Sheet2!K$21+('RNG HERE'!I129-'RNG HERE'!AG$122)*Sheet2!K$22/'RNG HERE'!AG$123</f>
        <v>19.790586744743187</v>
      </c>
      <c r="BG129" s="7">
        <f ca="1">Sheet2!L$21+('RNG HERE'!J129-'RNG HERE'!AH$122)*Sheet2!L$22/'RNG HERE'!AH$123</f>
        <v>29.236277771412333</v>
      </c>
      <c r="BH129" s="7">
        <f ca="1">Sheet2!M$21+('RNG HERE'!K129-'RNG HERE'!AI$122)*Sheet2!M$22/'RNG HERE'!AI$123</f>
        <v>16.282218520694464</v>
      </c>
      <c r="BI129" s="7">
        <f ca="1">Sheet2!N$21+('RNG HERE'!L129-'RNG HERE'!AJ$122)*Sheet2!N$22/'RNG HERE'!AJ$123</f>
        <v>7.8901885404984702</v>
      </c>
      <c r="BJ129" s="7">
        <f ca="1">Sheet2!O$21+('RNG HERE'!M129-'RNG HERE'!AK$122)*Sheet2!O$22/'RNG HERE'!AK$123</f>
        <v>7.7070059935860744</v>
      </c>
      <c r="BK129" s="7">
        <f ca="1">Sheet2!P$21+('RNG HERE'!N129-'RNG HERE'!AL$122)*Sheet2!P$22/'RNG HERE'!AL$123</f>
        <v>19.178936223091743</v>
      </c>
      <c r="BL129" s="7">
        <f ca="1">Sheet2!Q$21+('RNG HERE'!O129-'RNG HERE'!AM$122)*Sheet2!Q$22/'RNG HERE'!AM$123</f>
        <v>23.509779726947883</v>
      </c>
      <c r="BM129" s="7">
        <f ca="1">Sheet2!R$21+('RNG HERE'!P129-'RNG HERE'!AN$122)*Sheet2!R$22/'RNG HERE'!AN$123</f>
        <v>8.1403953118488008</v>
      </c>
      <c r="BN129" s="7">
        <f ca="1">Sheet2!S$21+('RNG HERE'!Q129-'RNG HERE'!AO$122)*Sheet2!S$22/'RNG HERE'!AO$123</f>
        <v>6.0358542986872425</v>
      </c>
      <c r="BO129" s="7">
        <f ca="1">Sheet2!T$21+('RNG HERE'!R129-'RNG HERE'!AP$122)*Sheet2!T$22/'RNG HERE'!AP$123</f>
        <v>8.4676556350120258</v>
      </c>
      <c r="BP129" s="7">
        <f ca="1">Sheet2!U$21+('RNG HERE'!S129-'RNG HERE'!AQ$122)*Sheet2!U$22/'RNG HERE'!AQ$123</f>
        <v>24.748672558078034</v>
      </c>
      <c r="BQ129" s="7">
        <f ca="1">Sheet2!V$21+('RNG HERE'!T129-'RNG HERE'!AR$122)*Sheet2!V$22/'RNG HERE'!AR$123</f>
        <v>22.591972832283044</v>
      </c>
      <c r="BR129" s="7">
        <f ca="1">Sheet2!W$21+('RNG HERE'!U129-'RNG HERE'!AS$122)*Sheet2!W$22/'RNG HERE'!AS$123</f>
        <v>30.739569215695681</v>
      </c>
      <c r="BS129" s="7">
        <f ca="1">Sheet2!X$21+('RNG HERE'!V129-'RNG HERE'!AT$122)*Sheet2!X$22/'RNG HERE'!AT$123</f>
        <v>19.37881441863102</v>
      </c>
      <c r="BT129" s="7">
        <f ca="1">Sheet2!Y$21+('RNG HERE'!W129-'RNG HERE'!AU$122)*Sheet2!Y$22/'RNG HERE'!AU$123</f>
        <v>14.75109647367365</v>
      </c>
      <c r="BU129" s="7">
        <f ca="1">Sheet2!Z$21+('RNG HERE'!X129-'RNG HERE'!AV$122)*Sheet2!Z$22/'RNG HERE'!AV$123</f>
        <v>10.19102945659985</v>
      </c>
    </row>
    <row r="130" spans="1:73" x14ac:dyDescent="0.3">
      <c r="A130" s="8" cm="1">
        <f t="array" aca="1" ref="A130" ca="1">[1]!UNIFORM_INV(RAND(),Sheet2!C$21-SQRT(3)*Sheet2!C$22,Sheet2!C$21+SQRT(3)*Sheet2!C$22)</f>
        <v>4.1284398395748925</v>
      </c>
      <c r="B130" s="8" cm="1">
        <f t="array" aca="1" ref="B130" ca="1">[1]!UNIFORM_INV(RAND(),Sheet2!D$21-SQRT(3)*Sheet2!D$22,Sheet2!D$21+SQRT(3)*Sheet2!D$22)</f>
        <v>5.914657134441172</v>
      </c>
      <c r="C130" s="8" cm="1">
        <f t="array" aca="1" ref="C130" ca="1">[1]!UNIFORM_INV(RAND(),Sheet2!E$21-SQRT(3)*Sheet2!E$22,Sheet2!E$21+SQRT(3)*Sheet2!E$22)</f>
        <v>24.706003107170375</v>
      </c>
      <c r="D130" s="8" cm="1">
        <f t="array" aca="1" ref="D130" ca="1">[1]!UNIFORM_INV(RAND(),Sheet2!F$21-SQRT(3)*Sheet2!F$22,Sheet2!F$21+SQRT(3)*Sheet2!F$22)</f>
        <v>3.8899422587612245</v>
      </c>
      <c r="E130" s="8" cm="1">
        <f t="array" aca="1" ref="E130" ca="1">[1]!UNIFORM_INV(RAND(),Sheet2!G$21-SQRT(3)*Sheet2!G$22,Sheet2!G$21+SQRT(3)*Sheet2!G$22)</f>
        <v>32.609026509215525</v>
      </c>
      <c r="F130" s="8" cm="1">
        <f t="array" aca="1" ref="F130" ca="1">[1]!UNIFORM_INV(RAND(),Sheet2!H$21-SQRT(3)*Sheet2!H$22,Sheet2!H$21+SQRT(3)*Sheet2!H$22)</f>
        <v>16.574836978130659</v>
      </c>
      <c r="G130" s="8" cm="1">
        <f t="array" aca="1" ref="G130" ca="1">[1]!UNIFORM_INV(RAND(),Sheet2!I$21-SQRT(3)*Sheet2!I$22,Sheet2!I$21+SQRT(3)*Sheet2!I$22)</f>
        <v>9.1851708550339648</v>
      </c>
      <c r="H130" s="8" cm="1">
        <f t="array" aca="1" ref="H130" ca="1">[1]!UNIFORM_INV(RAND(),Sheet2!J$21-SQRT(3)*Sheet2!J$22,Sheet2!J$21+SQRT(3)*Sheet2!J$22)</f>
        <v>27.407840457234499</v>
      </c>
      <c r="I130" s="8" cm="1">
        <f t="array" aca="1" ref="I130" ca="1">[1]!UNIFORM_INV(RAND(),Sheet2!K$21-SQRT(3)*Sheet2!K$22,Sheet2!K$21+SQRT(3)*Sheet2!K$22)</f>
        <v>18.115076169558343</v>
      </c>
      <c r="J130" s="8" cm="1">
        <f t="array" aca="1" ref="J130" ca="1">[1]!UNIFORM_INV(RAND(),Sheet2!L$21-SQRT(3)*Sheet2!L$22,Sheet2!L$21+SQRT(3)*Sheet2!L$22)</f>
        <v>25.206046703727722</v>
      </c>
      <c r="K130" s="8" cm="1">
        <f t="array" aca="1" ref="K130" ca="1">[1]!UNIFORM_INV(RAND(),Sheet2!M$21-SQRT(3)*Sheet2!M$22,Sheet2!M$21+SQRT(3)*Sheet2!M$22)</f>
        <v>18.136097252657471</v>
      </c>
      <c r="L130" s="8" cm="1">
        <f t="array" aca="1" ref="L130" ca="1">[1]!UNIFORM_INV(RAND(),Sheet2!N$21-SQRT(3)*Sheet2!N$22,Sheet2!N$21+SQRT(3)*Sheet2!N$22)</f>
        <v>7.0873839667799894</v>
      </c>
      <c r="M130" s="8" cm="1">
        <f t="array" aca="1" ref="M130" ca="1">[1]!UNIFORM_INV(RAND(),Sheet2!O$21-SQRT(3)*Sheet2!O$22,Sheet2!O$21+SQRT(3)*Sheet2!O$22)</f>
        <v>9.2828697013942403</v>
      </c>
      <c r="N130" s="8" cm="1">
        <f t="array" aca="1" ref="N130" ca="1">[1]!UNIFORM_INV(RAND(),Sheet2!P$21-SQRT(3)*Sheet2!P$22,Sheet2!P$21+SQRT(3)*Sheet2!P$22)</f>
        <v>19.144046074007854</v>
      </c>
      <c r="O130" s="8" cm="1">
        <f t="array" aca="1" ref="O130" ca="1">[1]!UNIFORM_INV(RAND(),Sheet2!Q$21-SQRT(3)*Sheet2!Q$22,Sheet2!Q$21+SQRT(3)*Sheet2!Q$22)</f>
        <v>19.256895920165949</v>
      </c>
      <c r="P130" s="8" cm="1">
        <f t="array" aca="1" ref="P130" ca="1">[1]!UNIFORM_INV(RAND(),Sheet2!R$21-SQRT(3)*Sheet2!R$22,Sheet2!R$21+SQRT(3)*Sheet2!R$22)</f>
        <v>3.5015766688989349</v>
      </c>
      <c r="Q130" s="8" cm="1">
        <f t="array" aca="1" ref="Q130" ca="1">[1]!UNIFORM_INV(RAND(),Sheet2!S$21-SQRT(3)*Sheet2!S$22,Sheet2!S$21+SQRT(3)*Sheet2!S$22)</f>
        <v>4.590366481287413</v>
      </c>
      <c r="R130" s="8" cm="1">
        <f t="array" aca="1" ref="R130" ca="1">[1]!UNIFORM_INV(RAND(),Sheet2!T$21-SQRT(3)*Sheet2!T$22,Sheet2!T$21+SQRT(3)*Sheet2!T$22)</f>
        <v>9.4259862370671872</v>
      </c>
      <c r="S130" s="8" cm="1">
        <f t="array" aca="1" ref="S130" ca="1">[1]!UNIFORM_INV(RAND(),Sheet2!U$21-SQRT(3)*Sheet2!U$22,Sheet2!U$21+SQRT(3)*Sheet2!U$22)</f>
        <v>25.289061881988935</v>
      </c>
      <c r="T130" s="8" cm="1">
        <f t="array" aca="1" ref="T130" ca="1">[1]!UNIFORM_INV(RAND(),Sheet2!V$21-SQRT(3)*Sheet2!V$22,Sheet2!V$21+SQRT(3)*Sheet2!V$22)</f>
        <v>22.010171578244794</v>
      </c>
      <c r="U130" s="8" cm="1">
        <f t="array" aca="1" ref="U130" ca="1">[1]!UNIFORM_INV(RAND(),Sheet2!W$21-SQRT(3)*Sheet2!W$22,Sheet2!W$21+SQRT(3)*Sheet2!W$22)</f>
        <v>33.432980066977009</v>
      </c>
      <c r="V130" s="8" cm="1">
        <f t="array" aca="1" ref="V130" ca="1">[1]!UNIFORM_INV(RAND(),Sheet2!X$21-SQRT(3)*Sheet2!X$22,Sheet2!X$21+SQRT(3)*Sheet2!X$22)</f>
        <v>17.843215606088833</v>
      </c>
      <c r="W130" s="8" cm="1">
        <f t="array" aca="1" ref="W130" ca="1">[1]!UNIFORM_INV(RAND(),Sheet2!Y$21-SQRT(3)*Sheet2!Y$22,Sheet2!Y$21+SQRT(3)*Sheet2!Y$22)</f>
        <v>14.538133154526806</v>
      </c>
      <c r="X130" s="8" cm="1">
        <f t="array" aca="1" ref="X130" ca="1">[1]!UNIFORM_INV(RAND(),Sheet2!Z$21-SQRT(3)*Sheet2!Z$22,Sheet2!Z$21+SQRT(3)*Sheet2!Z$22)</f>
        <v>11.45784858778857</v>
      </c>
      <c r="AX130" s="7">
        <f ca="1">Sheet2!C$21+('RNG HERE'!A130-'RNG HERE'!Y$122)*Sheet2!C$22/'RNG HERE'!Y$123</f>
        <v>4.4253551175751609</v>
      </c>
      <c r="AY130" s="7">
        <f ca="1">Sheet2!D$21+('RNG HERE'!B130-'RNG HERE'!Z$122)*Sheet2!D$22/'RNG HERE'!Z$123</f>
        <v>6.178707612985427</v>
      </c>
      <c r="AZ130" s="7">
        <f ca="1">Sheet2!E$21+('RNG HERE'!C130-'RNG HERE'!AA$122)*Sheet2!E$22/'RNG HERE'!AA$123</f>
        <v>25.611668388889669</v>
      </c>
      <c r="BA130" s="7">
        <f ca="1">Sheet2!F$21+('RNG HERE'!D130-'RNG HERE'!AB$122)*Sheet2!F$22/'RNG HERE'!AB$123</f>
        <v>4.2697114121316497</v>
      </c>
      <c r="BB130" s="7">
        <f ca="1">Sheet2!G$21+('RNG HERE'!E130-'RNG HERE'!AC$122)*Sheet2!G$22/'RNG HERE'!AC$123</f>
        <v>30.946094742365503</v>
      </c>
      <c r="BC130" s="7">
        <f ca="1">Sheet2!H$21+('RNG HERE'!F130-'RNG HERE'!AD$122)*Sheet2!H$22/'RNG HERE'!AD$123</f>
        <v>16.68508875846906</v>
      </c>
      <c r="BD130" s="7">
        <f ca="1">Sheet2!I$21+('RNG HERE'!G130-'RNG HERE'!AE$122)*Sheet2!I$22/'RNG HERE'!AE$123</f>
        <v>9.2147223594480412</v>
      </c>
      <c r="BE130" s="7">
        <f ca="1">Sheet2!J$21+('RNG HERE'!H130-'RNG HERE'!AF$122)*Sheet2!J$22/'RNG HERE'!AF$123</f>
        <v>27.562656309850592</v>
      </c>
      <c r="BF130" s="7">
        <f ca="1">Sheet2!K$21+('RNG HERE'!I130-'RNG HERE'!AG$122)*Sheet2!K$22/'RNG HERE'!AG$123</f>
        <v>18.347463144898704</v>
      </c>
      <c r="BG130" s="7">
        <f ca="1">Sheet2!L$21+('RNG HERE'!J130-'RNG HERE'!AH$122)*Sheet2!L$22/'RNG HERE'!AH$123</f>
        <v>24.81611305213513</v>
      </c>
      <c r="BH130" s="7">
        <f ca="1">Sheet2!M$21+('RNG HERE'!K130-'RNG HERE'!AI$122)*Sheet2!M$22/'RNG HERE'!AI$123</f>
        <v>18.337738359360333</v>
      </c>
      <c r="BI130" s="7">
        <f ca="1">Sheet2!N$21+('RNG HERE'!L130-'RNG HERE'!AJ$122)*Sheet2!N$22/'RNG HERE'!AJ$123</f>
        <v>6.9192121859283455</v>
      </c>
      <c r="BJ130" s="7">
        <f ca="1">Sheet2!O$21+('RNG HERE'!M130-'RNG HERE'!AK$122)*Sheet2!O$22/'RNG HERE'!AK$123</f>
        <v>9.4261069978004386</v>
      </c>
      <c r="BK130" s="7">
        <f ca="1">Sheet2!P$21+('RNG HERE'!N130-'RNG HERE'!AL$122)*Sheet2!P$22/'RNG HERE'!AL$123</f>
        <v>19.805115505797676</v>
      </c>
      <c r="BL130" s="7">
        <f ca="1">Sheet2!Q$21+('RNG HERE'!O130-'RNG HERE'!AM$122)*Sheet2!Q$22/'RNG HERE'!AM$123</f>
        <v>18.822416910812571</v>
      </c>
      <c r="BM130" s="7">
        <f ca="1">Sheet2!R$21+('RNG HERE'!P130-'RNG HERE'!AN$122)*Sheet2!R$22/'RNG HERE'!AN$123</f>
        <v>3.770093861152199</v>
      </c>
      <c r="BN130" s="7">
        <f ca="1">Sheet2!S$21+('RNG HERE'!Q130-'RNG HERE'!AO$122)*Sheet2!S$22/'RNG HERE'!AO$123</f>
        <v>4.4638740352919193</v>
      </c>
      <c r="BO130" s="7">
        <f ca="1">Sheet2!T$21+('RNG HERE'!R130-'RNG HERE'!AP$122)*Sheet2!T$22/'RNG HERE'!AP$123</f>
        <v>9.376255228765439</v>
      </c>
      <c r="BP130" s="7">
        <f ca="1">Sheet2!U$21+('RNG HERE'!S130-'RNG HERE'!AQ$122)*Sheet2!U$22/'RNG HERE'!AQ$123</f>
        <v>24.916530495009283</v>
      </c>
      <c r="BQ130" s="7">
        <f ca="1">Sheet2!V$21+('RNG HERE'!T130-'RNG HERE'!AR$122)*Sheet2!V$22/'RNG HERE'!AR$123</f>
        <v>21.928147254999654</v>
      </c>
      <c r="BR130" s="7">
        <f ca="1">Sheet2!W$21+('RNG HERE'!U130-'RNG HERE'!AS$122)*Sheet2!W$22/'RNG HERE'!AS$123</f>
        <v>33.438211402129483</v>
      </c>
      <c r="BS130" s="7">
        <f ca="1">Sheet2!X$21+('RNG HERE'!V130-'RNG HERE'!AT$122)*Sheet2!X$22/'RNG HERE'!AT$123</f>
        <v>18.238611899596641</v>
      </c>
      <c r="BT130" s="7">
        <f ca="1">Sheet2!Y$21+('RNG HERE'!W130-'RNG HERE'!AU$122)*Sheet2!Y$22/'RNG HERE'!AU$123</f>
        <v>14.558371791687343</v>
      </c>
      <c r="BU130" s="7">
        <f ca="1">Sheet2!Z$21+('RNG HERE'!X130-'RNG HERE'!AV$122)*Sheet2!Z$22/'RNG HERE'!AV$123</f>
        <v>11.511855707797942</v>
      </c>
    </row>
    <row r="131" spans="1:73" x14ac:dyDescent="0.3">
      <c r="A131" s="8" cm="1">
        <f t="array" aca="1" ref="A131" ca="1">[1]!UNIFORM_INV(RAND(),Sheet2!C$21-SQRT(3)*Sheet2!C$22,Sheet2!C$21+SQRT(3)*Sheet2!C$22)</f>
        <v>6.6210659754828161</v>
      </c>
      <c r="B131" s="8" cm="1">
        <f t="array" aca="1" ref="B131" ca="1">[1]!UNIFORM_INV(RAND(),Sheet2!D$21-SQRT(3)*Sheet2!D$22,Sheet2!D$21+SQRT(3)*Sheet2!D$22)</f>
        <v>7.462840432939406</v>
      </c>
      <c r="C131" s="8" cm="1">
        <f t="array" aca="1" ref="C131" ca="1">[1]!UNIFORM_INV(RAND(),Sheet2!E$21-SQRT(3)*Sheet2!E$22,Sheet2!E$21+SQRT(3)*Sheet2!E$22)</f>
        <v>22.921359188859498</v>
      </c>
      <c r="D131" s="8" cm="1">
        <f t="array" aca="1" ref="D131" ca="1">[1]!UNIFORM_INV(RAND(),Sheet2!F$21-SQRT(3)*Sheet2!F$22,Sheet2!F$21+SQRT(3)*Sheet2!F$22)</f>
        <v>6.4908406499111297</v>
      </c>
      <c r="E131" s="8" cm="1">
        <f t="array" aca="1" ref="E131" ca="1">[1]!UNIFORM_INV(RAND(),Sheet2!G$21-SQRT(3)*Sheet2!G$22,Sheet2!G$21+SQRT(3)*Sheet2!G$22)</f>
        <v>50.954194695292308</v>
      </c>
      <c r="F131" s="8" cm="1">
        <f t="array" aca="1" ref="F131" ca="1">[1]!UNIFORM_INV(RAND(),Sheet2!H$21-SQRT(3)*Sheet2!H$22,Sheet2!H$21+SQRT(3)*Sheet2!H$22)</f>
        <v>18.71674284375587</v>
      </c>
      <c r="G131" s="8" cm="1">
        <f t="array" aca="1" ref="G131" ca="1">[1]!UNIFORM_INV(RAND(),Sheet2!I$21-SQRT(3)*Sheet2!I$22,Sheet2!I$21+SQRT(3)*Sheet2!I$22)</f>
        <v>10.500167504668129</v>
      </c>
      <c r="H131" s="8" cm="1">
        <f t="array" aca="1" ref="H131" ca="1">[1]!UNIFORM_INV(RAND(),Sheet2!J$21-SQRT(3)*Sheet2!J$22,Sheet2!J$21+SQRT(3)*Sheet2!J$22)</f>
        <v>28.410202765081351</v>
      </c>
      <c r="I131" s="8" cm="1">
        <f t="array" aca="1" ref="I131" ca="1">[1]!UNIFORM_INV(RAND(),Sheet2!K$21-SQRT(3)*Sheet2!K$22,Sheet2!K$21+SQRT(3)*Sheet2!K$22)</f>
        <v>20.772200907584054</v>
      </c>
      <c r="J131" s="8" cm="1">
        <f t="array" aca="1" ref="J131" ca="1">[1]!UNIFORM_INV(RAND(),Sheet2!L$21-SQRT(3)*Sheet2!L$22,Sheet2!L$21+SQRT(3)*Sheet2!L$22)</f>
        <v>24.0883125691633</v>
      </c>
      <c r="K131" s="8" cm="1">
        <f t="array" aca="1" ref="K131" ca="1">[1]!UNIFORM_INV(RAND(),Sheet2!M$21-SQRT(3)*Sheet2!M$22,Sheet2!M$21+SQRT(3)*Sheet2!M$22)</f>
        <v>13.864505166287209</v>
      </c>
      <c r="L131" s="8" cm="1">
        <f t="array" aca="1" ref="L131" ca="1">[1]!UNIFORM_INV(RAND(),Sheet2!N$21-SQRT(3)*Sheet2!N$22,Sheet2!N$21+SQRT(3)*Sheet2!N$22)</f>
        <v>8.5211734035352169</v>
      </c>
      <c r="M131" s="8" cm="1">
        <f t="array" aca="1" ref="M131" ca="1">[1]!UNIFORM_INV(RAND(),Sheet2!O$21-SQRT(3)*Sheet2!O$22,Sheet2!O$21+SQRT(3)*Sheet2!O$22)</f>
        <v>7.1909022235507942</v>
      </c>
      <c r="N131" s="8" cm="1">
        <f t="array" aca="1" ref="N131" ca="1">[1]!UNIFORM_INV(RAND(),Sheet2!P$21-SQRT(3)*Sheet2!P$22,Sheet2!P$21+SQRT(3)*Sheet2!P$22)</f>
        <v>18.850361264106926</v>
      </c>
      <c r="O131" s="8" cm="1">
        <f t="array" aca="1" ref="O131" ca="1">[1]!UNIFORM_INV(RAND(),Sheet2!Q$21-SQRT(3)*Sheet2!Q$22,Sheet2!Q$21+SQRT(3)*Sheet2!Q$22)</f>
        <v>24.566389222315923</v>
      </c>
      <c r="P131" s="8" cm="1">
        <f t="array" aca="1" ref="P131" ca="1">[1]!UNIFORM_INV(RAND(),Sheet2!R$21-SQRT(3)*Sheet2!R$22,Sheet2!R$21+SQRT(3)*Sheet2!R$22)</f>
        <v>8.1132176583359108</v>
      </c>
      <c r="Q131" s="8" cm="1">
        <f t="array" aca="1" ref="Q131" ca="1">[1]!UNIFORM_INV(RAND(),Sheet2!S$21-SQRT(3)*Sheet2!S$22,Sheet2!S$21+SQRT(3)*Sheet2!S$22)</f>
        <v>5.0787782337929093</v>
      </c>
      <c r="R131" s="8" cm="1">
        <f t="array" aca="1" ref="R131" ca="1">[1]!UNIFORM_INV(RAND(),Sheet2!T$21-SQRT(3)*Sheet2!T$22,Sheet2!T$21+SQRT(3)*Sheet2!T$22)</f>
        <v>9.9022081221959848</v>
      </c>
      <c r="S131" s="8" cm="1">
        <f t="array" aca="1" ref="S131" ca="1">[1]!UNIFORM_INV(RAND(),Sheet2!U$21-SQRT(3)*Sheet2!U$22,Sheet2!U$21+SQRT(3)*Sheet2!U$22)</f>
        <v>21.931033033832055</v>
      </c>
      <c r="T131" s="8" cm="1">
        <f t="array" aca="1" ref="T131" ca="1">[1]!UNIFORM_INV(RAND(),Sheet2!V$21-SQRT(3)*Sheet2!V$22,Sheet2!V$21+SQRT(3)*Sheet2!V$22)</f>
        <v>20.743830731440735</v>
      </c>
      <c r="U131" s="8" cm="1">
        <f t="array" aca="1" ref="U131" ca="1">[1]!UNIFORM_INV(RAND(),Sheet2!W$21-SQRT(3)*Sheet2!W$22,Sheet2!W$21+SQRT(3)*Sheet2!W$22)</f>
        <v>32.996454063106469</v>
      </c>
      <c r="V131" s="8" cm="1">
        <f t="array" aca="1" ref="V131" ca="1">[1]!UNIFORM_INV(RAND(),Sheet2!X$21-SQRT(3)*Sheet2!X$22,Sheet2!X$21+SQRT(3)*Sheet2!X$22)</f>
        <v>18.199153974750626</v>
      </c>
      <c r="W131" s="8" cm="1">
        <f t="array" aca="1" ref="W131" ca="1">[1]!UNIFORM_INV(RAND(),Sheet2!Y$21-SQRT(3)*Sheet2!Y$22,Sheet2!Y$21+SQRT(3)*Sheet2!Y$22)</f>
        <v>13.434966769897379</v>
      </c>
      <c r="X131" s="8" cm="1">
        <f t="array" aca="1" ref="X131" ca="1">[1]!UNIFORM_INV(RAND(),Sheet2!Z$21-SQRT(3)*Sheet2!Z$22,Sheet2!Z$21+SQRT(3)*Sheet2!Z$22)</f>
        <v>10.074372892884012</v>
      </c>
      <c r="AX131" s="7">
        <f ca="1">Sheet2!C$21+('RNG HERE'!A131-'RNG HERE'!Y$122)*Sheet2!C$22/'RNG HERE'!Y$123</f>
        <v>6.8147047813266077</v>
      </c>
      <c r="AY131" s="7">
        <f ca="1">Sheet2!D$21+('RNG HERE'!B131-'RNG HERE'!Z$122)*Sheet2!D$22/'RNG HERE'!Z$123</f>
        <v>7.6966073331441942</v>
      </c>
      <c r="AZ131" s="7">
        <f ca="1">Sheet2!E$21+('RNG HERE'!C131-'RNG HERE'!AA$122)*Sheet2!E$22/'RNG HERE'!AA$123</f>
        <v>23.839564861937003</v>
      </c>
      <c r="BA131" s="7">
        <f ca="1">Sheet2!F$21+('RNG HERE'!D131-'RNG HERE'!AB$122)*Sheet2!F$22/'RNG HERE'!AB$123</f>
        <v>7.0944014203677135</v>
      </c>
      <c r="BB131" s="7">
        <f ca="1">Sheet2!G$21+('RNG HERE'!E131-'RNG HERE'!AC$122)*Sheet2!G$22/'RNG HERE'!AC$123</f>
        <v>50.545104536408992</v>
      </c>
      <c r="BC131" s="7">
        <f ca="1">Sheet2!H$21+('RNG HERE'!F131-'RNG HERE'!AD$122)*Sheet2!H$22/'RNG HERE'!AD$123</f>
        <v>18.880005580763889</v>
      </c>
      <c r="BD131" s="7">
        <f ca="1">Sheet2!I$21+('RNG HERE'!G131-'RNG HERE'!AE$122)*Sheet2!I$22/'RNG HERE'!AE$123</f>
        <v>10.516362846378376</v>
      </c>
      <c r="BE131" s="7">
        <f ca="1">Sheet2!J$21+('RNG HERE'!H131-'RNG HERE'!AF$122)*Sheet2!J$22/'RNG HERE'!AF$123</f>
        <v>28.657316415528051</v>
      </c>
      <c r="BF131" s="7">
        <f ca="1">Sheet2!K$21+('RNG HERE'!I131-'RNG HERE'!AG$122)*Sheet2!K$22/'RNG HERE'!AG$123</f>
        <v>20.931852581200317</v>
      </c>
      <c r="BG131" s="7">
        <f ca="1">Sheet2!L$21+('RNG HERE'!J131-'RNG HERE'!AH$122)*Sheet2!L$22/'RNG HERE'!AH$123</f>
        <v>23.627362807684609</v>
      </c>
      <c r="BH131" s="7">
        <f ca="1">Sheet2!M$21+('RNG HERE'!K131-'RNG HERE'!AI$122)*Sheet2!M$22/'RNG HERE'!AI$123</f>
        <v>13.746311974936612</v>
      </c>
      <c r="BI131" s="7">
        <f ca="1">Sheet2!N$21+('RNG HERE'!L131-'RNG HERE'!AJ$122)*Sheet2!N$22/'RNG HERE'!AJ$123</f>
        <v>8.2662393181745468</v>
      </c>
      <c r="BJ131" s="7">
        <f ca="1">Sheet2!O$21+('RNG HERE'!M131-'RNG HERE'!AK$122)*Sheet2!O$22/'RNG HERE'!AK$123</f>
        <v>7.2670963348272402</v>
      </c>
      <c r="BK131" s="7">
        <f ca="1">Sheet2!P$21+('RNG HERE'!N131-'RNG HERE'!AL$122)*Sheet2!P$22/'RNG HERE'!AL$123</f>
        <v>19.488212054347347</v>
      </c>
      <c r="BL131" s="7">
        <f ca="1">Sheet2!Q$21+('RNG HERE'!O131-'RNG HERE'!AM$122)*Sheet2!Q$22/'RNG HERE'!AM$123</f>
        <v>24.529124343882682</v>
      </c>
      <c r="BM131" s="7">
        <f ca="1">Sheet2!R$21+('RNG HERE'!P131-'RNG HERE'!AN$122)*Sheet2!R$22/'RNG HERE'!AN$123</f>
        <v>7.9792699092970052</v>
      </c>
      <c r="BN131" s="7">
        <f ca="1">Sheet2!S$21+('RNG HERE'!Q131-'RNG HERE'!AO$122)*Sheet2!S$22/'RNG HERE'!AO$123</f>
        <v>5.0239645030311788</v>
      </c>
      <c r="BO131" s="7">
        <f ca="1">Sheet2!T$21+('RNG HERE'!R131-'RNG HERE'!AP$122)*Sheet2!T$22/'RNG HERE'!AP$123</f>
        <v>9.9201520436171311</v>
      </c>
      <c r="BP131" s="7">
        <f ca="1">Sheet2!U$21+('RNG HERE'!S131-'RNG HERE'!AQ$122)*Sheet2!U$22/'RNG HERE'!AQ$123</f>
        <v>21.82313229100356</v>
      </c>
      <c r="BQ131" s="7">
        <f ca="1">Sheet2!V$21+('RNG HERE'!T131-'RNG HERE'!AR$122)*Sheet2!V$22/'RNG HERE'!AR$123</f>
        <v>20.642550794548676</v>
      </c>
      <c r="BR131" s="7">
        <f ca="1">Sheet2!W$21+('RNG HERE'!U131-'RNG HERE'!AS$122)*Sheet2!W$22/'RNG HERE'!AS$123</f>
        <v>33.028087318602999</v>
      </c>
      <c r="BS131" s="7">
        <f ca="1">Sheet2!X$21+('RNG HERE'!V131-'RNG HERE'!AT$122)*Sheet2!X$22/'RNG HERE'!AT$123</f>
        <v>18.578930537555443</v>
      </c>
      <c r="BT131" s="7">
        <f ca="1">Sheet2!Y$21+('RNG HERE'!W131-'RNG HERE'!AU$122)*Sheet2!Y$22/'RNG HERE'!AU$123</f>
        <v>13.374430725007878</v>
      </c>
      <c r="BU131" s="7">
        <f ca="1">Sheet2!Z$21+('RNG HERE'!X131-'RNG HERE'!AV$122)*Sheet2!Z$22/'RNG HERE'!AV$123</f>
        <v>10.043144172771253</v>
      </c>
    </row>
    <row r="132" spans="1:73" x14ac:dyDescent="0.3">
      <c r="A132" s="8" cm="1">
        <f t="array" aca="1" ref="A132" ca="1">[1]!UNIFORM_INV(RAND(),Sheet2!C$21-SQRT(3)*Sheet2!C$22,Sheet2!C$21+SQRT(3)*Sheet2!C$22)</f>
        <v>4.9734541118181941</v>
      </c>
      <c r="B132" s="8" cm="1">
        <f t="array" aca="1" ref="B132" ca="1">[1]!UNIFORM_INV(RAND(),Sheet2!D$21-SQRT(3)*Sheet2!D$22,Sheet2!D$21+SQRT(3)*Sheet2!D$22)</f>
        <v>8.8766338663171336</v>
      </c>
      <c r="C132" s="8" cm="1">
        <f t="array" aca="1" ref="C132" ca="1">[1]!UNIFORM_INV(RAND(),Sheet2!E$21-SQRT(3)*Sheet2!E$22,Sheet2!E$21+SQRT(3)*Sheet2!E$22)</f>
        <v>20.046700689402936</v>
      </c>
      <c r="D132" s="8" cm="1">
        <f t="array" aca="1" ref="D132" ca="1">[1]!UNIFORM_INV(RAND(),Sheet2!F$21-SQRT(3)*Sheet2!F$22,Sheet2!F$21+SQRT(3)*Sheet2!F$22)</f>
        <v>7.5075904671507674</v>
      </c>
      <c r="E132" s="8" cm="1">
        <f t="array" aca="1" ref="E132" ca="1">[1]!UNIFORM_INV(RAND(),Sheet2!G$21-SQRT(3)*Sheet2!G$22,Sheet2!G$21+SQRT(3)*Sheet2!G$22)</f>
        <v>29.613309234317555</v>
      </c>
      <c r="F132" s="8" cm="1">
        <f t="array" aca="1" ref="F132" ca="1">[1]!UNIFORM_INV(RAND(),Sheet2!H$21-SQRT(3)*Sheet2!H$22,Sheet2!H$21+SQRT(3)*Sheet2!H$22)</f>
        <v>17.7935179009412</v>
      </c>
      <c r="G132" s="8" cm="1">
        <f t="array" aca="1" ref="G132" ca="1">[1]!UNIFORM_INV(RAND(),Sheet2!I$21-SQRT(3)*Sheet2!I$22,Sheet2!I$21+SQRT(3)*Sheet2!I$22)</f>
        <v>10.090935262448504</v>
      </c>
      <c r="H132" s="8" cm="1">
        <f t="array" aca="1" ref="H132" ca="1">[1]!UNIFORM_INV(RAND(),Sheet2!J$21-SQRT(3)*Sheet2!J$22,Sheet2!J$21+SQRT(3)*Sheet2!J$22)</f>
        <v>29.623849557675829</v>
      </c>
      <c r="I132" s="8" cm="1">
        <f t="array" aca="1" ref="I132" ca="1">[1]!UNIFORM_INV(RAND(),Sheet2!K$21-SQRT(3)*Sheet2!K$22,Sheet2!K$21+SQRT(3)*Sheet2!K$22)</f>
        <v>16.824274372993514</v>
      </c>
      <c r="J132" s="8" cm="1">
        <f t="array" aca="1" ref="J132" ca="1">[1]!UNIFORM_INV(RAND(),Sheet2!L$21-SQRT(3)*Sheet2!L$22,Sheet2!L$21+SQRT(3)*Sheet2!L$22)</f>
        <v>24.162623508043552</v>
      </c>
      <c r="K132" s="8" cm="1">
        <f t="array" aca="1" ref="K132" ca="1">[1]!UNIFORM_INV(RAND(),Sheet2!M$21-SQRT(3)*Sheet2!M$22,Sheet2!M$21+SQRT(3)*Sheet2!M$22)</f>
        <v>15.530870517520011</v>
      </c>
      <c r="L132" s="8" cm="1">
        <f t="array" aca="1" ref="L132" ca="1">[1]!UNIFORM_INV(RAND(),Sheet2!N$21-SQRT(3)*Sheet2!N$22,Sheet2!N$21+SQRT(3)*Sheet2!N$22)</f>
        <v>8.7400058382913759</v>
      </c>
      <c r="M132" s="8" cm="1">
        <f t="array" aca="1" ref="M132" ca="1">[1]!UNIFORM_INV(RAND(),Sheet2!O$21-SQRT(3)*Sheet2!O$22,Sheet2!O$21+SQRT(3)*Sheet2!O$22)</f>
        <v>7.718286918812133</v>
      </c>
      <c r="N132" s="8" cm="1">
        <f t="array" aca="1" ref="N132" ca="1">[1]!UNIFORM_INV(RAND(),Sheet2!P$21-SQRT(3)*Sheet2!P$22,Sheet2!P$21+SQRT(3)*Sheet2!P$22)</f>
        <v>15.915390317249175</v>
      </c>
      <c r="O132" s="8" cm="1">
        <f t="array" aca="1" ref="O132" ca="1">[1]!UNIFORM_INV(RAND(),Sheet2!Q$21-SQRT(3)*Sheet2!Q$22,Sheet2!Q$21+SQRT(3)*Sheet2!Q$22)</f>
        <v>19.498113641899199</v>
      </c>
      <c r="P132" s="8" cm="1">
        <f t="array" aca="1" ref="P132" ca="1">[1]!UNIFORM_INV(RAND(),Sheet2!R$21-SQRT(3)*Sheet2!R$22,Sheet2!R$21+SQRT(3)*Sheet2!R$22)</f>
        <v>4.4373412167599149</v>
      </c>
      <c r="Q132" s="8" cm="1">
        <f t="array" aca="1" ref="Q132" ca="1">[1]!UNIFORM_INV(RAND(),Sheet2!S$21-SQRT(3)*Sheet2!S$22,Sheet2!S$21+SQRT(3)*Sheet2!S$22)</f>
        <v>5.0380142232814453</v>
      </c>
      <c r="R132" s="8" cm="1">
        <f t="array" aca="1" ref="R132" ca="1">[1]!UNIFORM_INV(RAND(),Sheet2!T$21-SQRT(3)*Sheet2!T$22,Sheet2!T$21+SQRT(3)*Sheet2!T$22)</f>
        <v>8.1565521993303616</v>
      </c>
      <c r="S132" s="8" cm="1">
        <f t="array" aca="1" ref="S132" ca="1">[1]!UNIFORM_INV(RAND(),Sheet2!U$21-SQRT(3)*Sheet2!U$22,Sheet2!U$21+SQRT(3)*Sheet2!U$22)</f>
        <v>21.176554936168024</v>
      </c>
      <c r="T132" s="8" cm="1">
        <f t="array" aca="1" ref="T132" ca="1">[1]!UNIFORM_INV(RAND(),Sheet2!V$21-SQRT(3)*Sheet2!V$22,Sheet2!V$21+SQRT(3)*Sheet2!V$22)</f>
        <v>23.688968276328541</v>
      </c>
      <c r="U132" s="8" cm="1">
        <f t="array" aca="1" ref="U132" ca="1">[1]!UNIFORM_INV(RAND(),Sheet2!W$21-SQRT(3)*Sheet2!W$22,Sheet2!W$21+SQRT(3)*Sheet2!W$22)</f>
        <v>30.967513172230039</v>
      </c>
      <c r="V132" s="8" cm="1">
        <f t="array" aca="1" ref="V132" ca="1">[1]!UNIFORM_INV(RAND(),Sheet2!X$21-SQRT(3)*Sheet2!X$22,Sheet2!X$21+SQRT(3)*Sheet2!X$22)</f>
        <v>19.119695382679982</v>
      </c>
      <c r="W132" s="8" cm="1">
        <f t="array" aca="1" ref="W132" ca="1">[1]!UNIFORM_INV(RAND(),Sheet2!Y$21-SQRT(3)*Sheet2!Y$22,Sheet2!Y$21+SQRT(3)*Sheet2!Y$22)</f>
        <v>13.98068865441674</v>
      </c>
      <c r="X132" s="8" cm="1">
        <f t="array" aca="1" ref="X132" ca="1">[1]!UNIFORM_INV(RAND(),Sheet2!Z$21-SQRT(3)*Sheet2!Z$22,Sheet2!Z$21+SQRT(3)*Sheet2!Z$22)</f>
        <v>10.558628483150176</v>
      </c>
      <c r="AX132" s="7">
        <f ca="1">Sheet2!C$21+('RNG HERE'!A132-'RNG HERE'!Y$122)*Sheet2!C$22/'RNG HERE'!Y$123</f>
        <v>5.2353580851940036</v>
      </c>
      <c r="AY132" s="7">
        <f ca="1">Sheet2!D$21+('RNG HERE'!B132-'RNG HERE'!Z$122)*Sheet2!D$22/'RNG HERE'!Z$123</f>
        <v>9.082745950559854</v>
      </c>
      <c r="AZ132" s="7">
        <f ca="1">Sheet2!E$21+('RNG HERE'!C132-'RNG HERE'!AA$122)*Sheet2!E$22/'RNG HERE'!AA$123</f>
        <v>20.985106102178943</v>
      </c>
      <c r="BA132" s="7">
        <f ca="1">Sheet2!F$21+('RNG HERE'!D132-'RNG HERE'!AB$122)*Sheet2!F$22/'RNG HERE'!AB$123</f>
        <v>8.1986364260123921</v>
      </c>
      <c r="BB132" s="7">
        <f ca="1">Sheet2!G$21+('RNG HERE'!E132-'RNG HERE'!AC$122)*Sheet2!G$22/'RNG HERE'!AC$123</f>
        <v>27.74562846070604</v>
      </c>
      <c r="BC132" s="7">
        <f ca="1">Sheet2!H$21+('RNG HERE'!F132-'RNG HERE'!AD$122)*Sheet2!H$22/'RNG HERE'!AD$123</f>
        <v>17.933931343671027</v>
      </c>
      <c r="BD132" s="7">
        <f ca="1">Sheet2!I$21+('RNG HERE'!G132-'RNG HERE'!AE$122)*Sheet2!I$22/'RNG HERE'!AE$123</f>
        <v>10.111287095669402</v>
      </c>
      <c r="BE132" s="7">
        <f ca="1">Sheet2!J$21+('RNG HERE'!H132-'RNG HERE'!AF$122)*Sheet2!J$22/'RNG HERE'!AF$123</f>
        <v>29.982716139596256</v>
      </c>
      <c r="BF132" s="7">
        <f ca="1">Sheet2!K$21+('RNG HERE'!I132-'RNG HERE'!AG$122)*Sheet2!K$22/'RNG HERE'!AG$123</f>
        <v>17.091995353093061</v>
      </c>
      <c r="BG132" s="7">
        <f ca="1">Sheet2!L$21+('RNG HERE'!J132-'RNG HERE'!AH$122)*Sheet2!L$22/'RNG HERE'!AH$123</f>
        <v>23.706395150016782</v>
      </c>
      <c r="BH132" s="7">
        <f ca="1">Sheet2!M$21+('RNG HERE'!K132-'RNG HERE'!AI$122)*Sheet2!M$22/'RNG HERE'!AI$123</f>
        <v>15.537445979551068</v>
      </c>
      <c r="BI132" s="7">
        <f ca="1">Sheet2!N$21+('RNG HERE'!L132-'RNG HERE'!AJ$122)*Sheet2!N$22/'RNG HERE'!AJ$123</f>
        <v>8.4718296367216936</v>
      </c>
      <c r="BJ132" s="7">
        <f ca="1">Sheet2!O$21+('RNG HERE'!M132-'RNG HERE'!AK$122)*Sheet2!O$22/'RNG HERE'!AK$123</f>
        <v>7.8113826072562382</v>
      </c>
      <c r="BK132" s="7">
        <f ca="1">Sheet2!P$21+('RNG HERE'!N132-'RNG HERE'!AL$122)*Sheet2!P$22/'RNG HERE'!AL$123</f>
        <v>16.321203099136419</v>
      </c>
      <c r="BL132" s="7">
        <f ca="1">Sheet2!Q$21+('RNG HERE'!O132-'RNG HERE'!AM$122)*Sheet2!Q$22/'RNG HERE'!AM$123</f>
        <v>19.0816806271913</v>
      </c>
      <c r="BM132" s="7">
        <f ca="1">Sheet2!R$21+('RNG HERE'!P132-'RNG HERE'!AN$122)*Sheet2!R$22/'RNG HERE'!AN$123</f>
        <v>4.6241928100038896</v>
      </c>
      <c r="BN132" s="7">
        <f ca="1">Sheet2!S$21+('RNG HERE'!Q132-'RNG HERE'!AO$122)*Sheet2!S$22/'RNG HERE'!AO$123</f>
        <v>4.977218015877316</v>
      </c>
      <c r="BO132" s="7">
        <f ca="1">Sheet2!T$21+('RNG HERE'!R132-'RNG HERE'!AP$122)*Sheet2!T$22/'RNG HERE'!AP$123</f>
        <v>7.9264244852609735</v>
      </c>
      <c r="BP132" s="7">
        <f ca="1">Sheet2!U$21+('RNG HERE'!S132-'RNG HERE'!AQ$122)*Sheet2!U$22/'RNG HERE'!AQ$123</f>
        <v>21.128111105120489</v>
      </c>
      <c r="BQ132" s="7">
        <f ca="1">Sheet2!V$21+('RNG HERE'!T132-'RNG HERE'!AR$122)*Sheet2!V$22/'RNG HERE'!AR$123</f>
        <v>23.63247125143409</v>
      </c>
      <c r="BR132" s="7">
        <f ca="1">Sheet2!W$21+('RNG HERE'!U132-'RNG HERE'!AS$122)*Sheet2!W$22/'RNG HERE'!AS$123</f>
        <v>31.121860619570242</v>
      </c>
      <c r="BS132" s="7">
        <f ca="1">Sheet2!X$21+('RNG HERE'!V132-'RNG HERE'!AT$122)*Sheet2!X$22/'RNG HERE'!AT$123</f>
        <v>19.459075601177023</v>
      </c>
      <c r="BT132" s="7">
        <f ca="1">Sheet2!Y$21+('RNG HERE'!W132-'RNG HERE'!AU$122)*Sheet2!Y$22/'RNG HERE'!AU$123</f>
        <v>13.960110781135782</v>
      </c>
      <c r="BU132" s="7">
        <f ca="1">Sheet2!Z$21+('RNG HERE'!X132-'RNG HERE'!AV$122)*Sheet2!Z$22/'RNG HERE'!AV$123</f>
        <v>10.557234715846633</v>
      </c>
    </row>
    <row r="133" spans="1:73" x14ac:dyDescent="0.3">
      <c r="A133" s="8" cm="1">
        <f t="array" aca="1" ref="A133" ca="1">[1]!UNIFORM_INV(RAND(),Sheet2!C$21-SQRT(3)*Sheet2!C$22,Sheet2!C$21+SQRT(3)*Sheet2!C$22)</f>
        <v>3.6407765101518073</v>
      </c>
      <c r="B133" s="8" cm="1">
        <f t="array" aca="1" ref="B133" ca="1">[1]!UNIFORM_INV(RAND(),Sheet2!D$21-SQRT(3)*Sheet2!D$22,Sheet2!D$21+SQRT(3)*Sheet2!D$22)</f>
        <v>7.4490642808266294</v>
      </c>
      <c r="C133" s="8" cm="1">
        <f t="array" aca="1" ref="C133" ca="1">[1]!UNIFORM_INV(RAND(),Sheet2!E$21-SQRT(3)*Sheet2!E$22,Sheet2!E$21+SQRT(3)*Sheet2!E$22)</f>
        <v>18.319052212089041</v>
      </c>
      <c r="D133" s="8" cm="1">
        <f t="array" aca="1" ref="D133" ca="1">[1]!UNIFORM_INV(RAND(),Sheet2!F$21-SQRT(3)*Sheet2!F$22,Sheet2!F$21+SQRT(3)*Sheet2!F$22)</f>
        <v>-0.22579750469643234</v>
      </c>
      <c r="E133" s="8" cm="1">
        <f t="array" aca="1" ref="E133" ca="1">[1]!UNIFORM_INV(RAND(),Sheet2!G$21-SQRT(3)*Sheet2!G$22,Sheet2!G$21+SQRT(3)*Sheet2!G$22)</f>
        <v>48.996195460874652</v>
      </c>
      <c r="F133" s="8" cm="1">
        <f t="array" aca="1" ref="F133" ca="1">[1]!UNIFORM_INV(RAND(),Sheet2!H$21-SQRT(3)*Sheet2!H$22,Sheet2!H$21+SQRT(3)*Sheet2!H$22)</f>
        <v>20.629121325456374</v>
      </c>
      <c r="G133" s="8" cm="1">
        <f t="array" aca="1" ref="G133" ca="1">[1]!UNIFORM_INV(RAND(),Sheet2!I$21-SQRT(3)*Sheet2!I$22,Sheet2!I$21+SQRT(3)*Sheet2!I$22)</f>
        <v>10.357214708846531</v>
      </c>
      <c r="H133" s="8" cm="1">
        <f t="array" aca="1" ref="H133" ca="1">[1]!UNIFORM_INV(RAND(),Sheet2!J$21-SQRT(3)*Sheet2!J$22,Sheet2!J$21+SQRT(3)*Sheet2!J$22)</f>
        <v>28.256813661720741</v>
      </c>
      <c r="I133" s="8" cm="1">
        <f t="array" aca="1" ref="I133" ca="1">[1]!UNIFORM_INV(RAND(),Sheet2!K$21-SQRT(3)*Sheet2!K$22,Sheet2!K$21+SQRT(3)*Sheet2!K$22)</f>
        <v>19.720207042075767</v>
      </c>
      <c r="J133" s="8" cm="1">
        <f t="array" aca="1" ref="J133" ca="1">[1]!UNIFORM_INV(RAND(),Sheet2!L$21-SQRT(3)*Sheet2!L$22,Sheet2!L$21+SQRT(3)*Sheet2!L$22)</f>
        <v>27.751690730068688</v>
      </c>
      <c r="K133" s="8" cm="1">
        <f t="array" aca="1" ref="K133" ca="1">[1]!UNIFORM_INV(RAND(),Sheet2!M$21-SQRT(3)*Sheet2!M$22,Sheet2!M$21+SQRT(3)*Sheet2!M$22)</f>
        <v>18.018803901340029</v>
      </c>
      <c r="L133" s="8" cm="1">
        <f t="array" aca="1" ref="L133" ca="1">[1]!UNIFORM_INV(RAND(),Sheet2!N$21-SQRT(3)*Sheet2!N$22,Sheet2!N$21+SQRT(3)*Sheet2!N$22)</f>
        <v>7.3987433287991706</v>
      </c>
      <c r="M133" s="8" cm="1">
        <f t="array" aca="1" ref="M133" ca="1">[1]!UNIFORM_INV(RAND(),Sheet2!O$21-SQRT(3)*Sheet2!O$22,Sheet2!O$21+SQRT(3)*Sheet2!O$22)</f>
        <v>9.6914700084042362</v>
      </c>
      <c r="N133" s="8" cm="1">
        <f t="array" aca="1" ref="N133" ca="1">[1]!UNIFORM_INV(RAND(),Sheet2!P$21-SQRT(3)*Sheet2!P$22,Sheet2!P$21+SQRT(3)*Sheet2!P$22)</f>
        <v>16.883906827440487</v>
      </c>
      <c r="O133" s="8" cm="1">
        <f t="array" aca="1" ref="O133" ca="1">[1]!UNIFORM_INV(RAND(),Sheet2!Q$21-SQRT(3)*Sheet2!Q$22,Sheet2!Q$21+SQRT(3)*Sheet2!Q$22)</f>
        <v>23.144748115289758</v>
      </c>
      <c r="P133" s="8" cm="1">
        <f t="array" aca="1" ref="P133" ca="1">[1]!UNIFORM_INV(RAND(),Sheet2!R$21-SQRT(3)*Sheet2!R$22,Sheet2!R$21+SQRT(3)*Sheet2!R$22)</f>
        <v>2.5491662574647407</v>
      </c>
      <c r="Q133" s="8" cm="1">
        <f t="array" aca="1" ref="Q133" ca="1">[1]!UNIFORM_INV(RAND(),Sheet2!S$21-SQRT(3)*Sheet2!S$22,Sheet2!S$21+SQRT(3)*Sheet2!S$22)</f>
        <v>6.5303041121756644</v>
      </c>
      <c r="R133" s="8" cm="1">
        <f t="array" aca="1" ref="R133" ca="1">[1]!UNIFORM_INV(RAND(),Sheet2!T$21-SQRT(3)*Sheet2!T$22,Sheet2!T$21+SQRT(3)*Sheet2!T$22)</f>
        <v>9.8423472182731935</v>
      </c>
      <c r="S133" s="8" cm="1">
        <f t="array" aca="1" ref="S133" ca="1">[1]!UNIFORM_INV(RAND(),Sheet2!U$21-SQRT(3)*Sheet2!U$22,Sheet2!U$21+SQRT(3)*Sheet2!U$22)</f>
        <v>25.278077577426956</v>
      </c>
      <c r="T133" s="8" cm="1">
        <f t="array" aca="1" ref="T133" ca="1">[1]!UNIFORM_INV(RAND(),Sheet2!V$21-SQRT(3)*Sheet2!V$22,Sheet2!V$21+SQRT(3)*Sheet2!V$22)</f>
        <v>24.20117797832987</v>
      </c>
      <c r="U133" s="8" cm="1">
        <f t="array" aca="1" ref="U133" ca="1">[1]!UNIFORM_INV(RAND(),Sheet2!W$21-SQRT(3)*Sheet2!W$22,Sheet2!W$21+SQRT(3)*Sheet2!W$22)</f>
        <v>30.76786998489586</v>
      </c>
      <c r="V133" s="8" cm="1">
        <f t="array" aca="1" ref="V133" ca="1">[1]!UNIFORM_INV(RAND(),Sheet2!X$21-SQRT(3)*Sheet2!X$22,Sheet2!X$21+SQRT(3)*Sheet2!X$22)</f>
        <v>20.951942520293183</v>
      </c>
      <c r="W133" s="8" cm="1">
        <f t="array" aca="1" ref="W133" ca="1">[1]!UNIFORM_INV(RAND(),Sheet2!Y$21-SQRT(3)*Sheet2!Y$22,Sheet2!Y$21+SQRT(3)*Sheet2!Y$22)</f>
        <v>13.499757473416059</v>
      </c>
      <c r="X133" s="8" cm="1">
        <f t="array" aca="1" ref="X133" ca="1">[1]!UNIFORM_INV(RAND(),Sheet2!Z$21-SQRT(3)*Sheet2!Z$22,Sheet2!Z$21+SQRT(3)*Sheet2!Z$22)</f>
        <v>10.926620024608434</v>
      </c>
      <c r="AX133" s="7">
        <f ca="1">Sheet2!C$21+('RNG HERE'!A133-'RNG HERE'!Y$122)*Sheet2!C$22/'RNG HERE'!Y$123</f>
        <v>3.9578970437808159</v>
      </c>
      <c r="AY133" s="7">
        <f ca="1">Sheet2!D$21+('RNG HERE'!B133-'RNG HERE'!Z$122)*Sheet2!D$22/'RNG HERE'!Z$123</f>
        <v>7.6831006524707028</v>
      </c>
      <c r="AZ133" s="7">
        <f ca="1">Sheet2!E$21+('RNG HERE'!C133-'RNG HERE'!AA$122)*Sheet2!E$22/'RNG HERE'!AA$123</f>
        <v>19.269597518886844</v>
      </c>
      <c r="BA133" s="7">
        <f ca="1">Sheet2!F$21+('RNG HERE'!D133-'RNG HERE'!AB$122)*Sheet2!F$22/'RNG HERE'!AB$123</f>
        <v>-0.20016293047916367</v>
      </c>
      <c r="BB133" s="7">
        <f ca="1">Sheet2!G$21+('RNG HERE'!E133-'RNG HERE'!AC$122)*Sheet2!G$22/'RNG HERE'!AC$123</f>
        <v>48.453281458918426</v>
      </c>
      <c r="BC133" s="7">
        <f ca="1">Sheet2!H$21+('RNG HERE'!F133-'RNG HERE'!AD$122)*Sheet2!H$22/'RNG HERE'!AD$123</f>
        <v>20.839714346421452</v>
      </c>
      <c r="BD133" s="7">
        <f ca="1">Sheet2!I$21+('RNG HERE'!G133-'RNG HERE'!AE$122)*Sheet2!I$22/'RNG HERE'!AE$123</f>
        <v>10.374861994027883</v>
      </c>
      <c r="BE133" s="7">
        <f ca="1">Sheet2!J$21+('RNG HERE'!H133-'RNG HERE'!AF$122)*Sheet2!J$22/'RNG HERE'!AF$123</f>
        <v>28.48980320121418</v>
      </c>
      <c r="BF133" s="7">
        <f ca="1">Sheet2!K$21+('RNG HERE'!I133-'RNG HERE'!AG$122)*Sheet2!K$22/'RNG HERE'!AG$123</f>
        <v>19.908655666819172</v>
      </c>
      <c r="BG133" s="7">
        <f ca="1">Sheet2!L$21+('RNG HERE'!J133-'RNG HERE'!AH$122)*Sheet2!L$22/'RNG HERE'!AH$123</f>
        <v>27.523496556868214</v>
      </c>
      <c r="BH133" s="7">
        <f ca="1">Sheet2!M$21+('RNG HERE'!K133-'RNG HERE'!AI$122)*Sheet2!M$22/'RNG HERE'!AI$123</f>
        <v>18.211662700199252</v>
      </c>
      <c r="BI133" s="7">
        <f ca="1">Sheet2!N$21+('RNG HERE'!L133-'RNG HERE'!AJ$122)*Sheet2!N$22/'RNG HERE'!AJ$123</f>
        <v>7.2117303882299746</v>
      </c>
      <c r="BJ133" s="7">
        <f ca="1">Sheet2!O$21+('RNG HERE'!M133-'RNG HERE'!AK$122)*Sheet2!O$22/'RNG HERE'!AK$123</f>
        <v>9.8478020906123565</v>
      </c>
      <c r="BK133" s="7">
        <f ca="1">Sheet2!P$21+('RNG HERE'!N133-'RNG HERE'!AL$122)*Sheet2!P$22/'RNG HERE'!AL$123</f>
        <v>17.366290262377149</v>
      </c>
      <c r="BL133" s="7">
        <f ca="1">Sheet2!Q$21+('RNG HERE'!O133-'RNG HERE'!AM$122)*Sheet2!Q$22/'RNG HERE'!AM$123</f>
        <v>23.001127337211805</v>
      </c>
      <c r="BM133" s="7">
        <f ca="1">Sheet2!R$21+('RNG HERE'!P133-'RNG HERE'!AN$122)*Sheet2!R$22/'RNG HERE'!AN$123</f>
        <v>2.9008017586240746</v>
      </c>
      <c r="BN133" s="7">
        <f ca="1">Sheet2!S$21+('RNG HERE'!Q133-'RNG HERE'!AO$122)*Sheet2!S$22/'RNG HERE'!AO$123</f>
        <v>6.6885145552944856</v>
      </c>
      <c r="BO133" s="7">
        <f ca="1">Sheet2!T$21+('RNG HERE'!R133-'RNG HERE'!AP$122)*Sheet2!T$22/'RNG HERE'!AP$123</f>
        <v>9.8517844276077486</v>
      </c>
      <c r="BP133" s="7">
        <f ca="1">Sheet2!U$21+('RNG HERE'!S133-'RNG HERE'!AQ$122)*Sheet2!U$22/'RNG HERE'!AQ$123</f>
        <v>24.906411812430683</v>
      </c>
      <c r="BQ133" s="7">
        <f ca="1">Sheet2!V$21+('RNG HERE'!T133-'RNG HERE'!AR$122)*Sheet2!V$22/'RNG HERE'!AR$123</f>
        <v>24.152469466419767</v>
      </c>
      <c r="BR133" s="7">
        <f ca="1">Sheet2!W$21+('RNG HERE'!U133-'RNG HERE'!AS$122)*Sheet2!W$22/'RNG HERE'!AS$123</f>
        <v>30.934292230718846</v>
      </c>
      <c r="BS133" s="7">
        <f ca="1">Sheet2!X$21+('RNG HERE'!V133-'RNG HERE'!AT$122)*Sheet2!X$22/'RNG HERE'!AT$123</f>
        <v>21.210917788409507</v>
      </c>
      <c r="BT133" s="7">
        <f ca="1">Sheet2!Y$21+('RNG HERE'!W133-'RNG HERE'!AU$122)*Sheet2!Y$22/'RNG HERE'!AU$123</f>
        <v>13.443965453135572</v>
      </c>
      <c r="BU133" s="7">
        <f ca="1">Sheet2!Z$21+('RNG HERE'!X133-'RNG HERE'!AV$122)*Sheet2!Z$22/'RNG HERE'!AV$123</f>
        <v>10.947898190255758</v>
      </c>
    </row>
    <row r="134" spans="1:73" x14ac:dyDescent="0.3">
      <c r="A134" s="8" cm="1">
        <f t="array" aca="1" ref="A134" ca="1">[1]!UNIFORM_INV(RAND(),Sheet2!C$21-SQRT(3)*Sheet2!C$22,Sheet2!C$21+SQRT(3)*Sheet2!C$22)</f>
        <v>3.6441940397233203</v>
      </c>
      <c r="B134" s="8" cm="1">
        <f t="array" aca="1" ref="B134" ca="1">[1]!UNIFORM_INV(RAND(),Sheet2!D$21-SQRT(3)*Sheet2!D$22,Sheet2!D$21+SQRT(3)*Sheet2!D$22)</f>
        <v>7.1952161210707297</v>
      </c>
      <c r="C134" s="8" cm="1">
        <f t="array" aca="1" ref="C134" ca="1">[1]!UNIFORM_INV(RAND(),Sheet2!E$21-SQRT(3)*Sheet2!E$22,Sheet2!E$21+SQRT(3)*Sheet2!E$22)</f>
        <v>21.142781853974267</v>
      </c>
      <c r="D134" s="8" cm="1">
        <f t="array" aca="1" ref="D134" ca="1">[1]!UNIFORM_INV(RAND(),Sheet2!F$21-SQRT(3)*Sheet2!F$22,Sheet2!F$21+SQRT(3)*Sheet2!F$22)</f>
        <v>2.9597161092459241</v>
      </c>
      <c r="E134" s="8" cm="1">
        <f t="array" aca="1" ref="E134" ca="1">[1]!UNIFORM_INV(RAND(),Sheet2!G$21-SQRT(3)*Sheet2!G$22,Sheet2!G$21+SQRT(3)*Sheet2!G$22)</f>
        <v>39.844768200377011</v>
      </c>
      <c r="F134" s="8" cm="1">
        <f t="array" aca="1" ref="F134" ca="1">[1]!UNIFORM_INV(RAND(),Sheet2!H$21-SQRT(3)*Sheet2!H$22,Sheet2!H$21+SQRT(3)*Sheet2!H$22)</f>
        <v>20.518985251357911</v>
      </c>
      <c r="G134" s="8" cm="1">
        <f t="array" aca="1" ref="G134" ca="1">[1]!UNIFORM_INV(RAND(),Sheet2!I$21-SQRT(3)*Sheet2!I$22,Sheet2!I$21+SQRT(3)*Sheet2!I$22)</f>
        <v>10.838949351141128</v>
      </c>
      <c r="H134" s="8" cm="1">
        <f t="array" aca="1" ref="H134" ca="1">[1]!UNIFORM_INV(RAND(),Sheet2!J$21-SQRT(3)*Sheet2!J$22,Sheet2!J$21+SQRT(3)*Sheet2!J$22)</f>
        <v>28.232101952641546</v>
      </c>
      <c r="I134" s="8" cm="1">
        <f t="array" aca="1" ref="I134" ca="1">[1]!UNIFORM_INV(RAND(),Sheet2!K$21-SQRT(3)*Sheet2!K$22,Sheet2!K$21+SQRT(3)*Sheet2!K$22)</f>
        <v>18.770905770820246</v>
      </c>
      <c r="J134" s="8" cm="1">
        <f t="array" aca="1" ref="J134" ca="1">[1]!UNIFORM_INV(RAND(),Sheet2!L$21-SQRT(3)*Sheet2!L$22,Sheet2!L$21+SQRT(3)*Sheet2!L$22)</f>
        <v>25.218400837961891</v>
      </c>
      <c r="K134" s="8" cm="1">
        <f t="array" aca="1" ref="K134" ca="1">[1]!UNIFORM_INV(RAND(),Sheet2!M$21-SQRT(3)*Sheet2!M$22,Sheet2!M$21+SQRT(3)*Sheet2!M$22)</f>
        <v>13.272997187447656</v>
      </c>
      <c r="L134" s="8" cm="1">
        <f t="array" aca="1" ref="L134" ca="1">[1]!UNIFORM_INV(RAND(),Sheet2!N$21-SQRT(3)*Sheet2!N$22,Sheet2!N$21+SQRT(3)*Sheet2!N$22)</f>
        <v>8.3282076714709152</v>
      </c>
      <c r="M134" s="8" cm="1">
        <f t="array" aca="1" ref="M134" ca="1">[1]!UNIFORM_INV(RAND(),Sheet2!O$21-SQRT(3)*Sheet2!O$22,Sheet2!O$21+SQRT(3)*Sheet2!O$22)</f>
        <v>7.6362929782407694</v>
      </c>
      <c r="N134" s="8" cm="1">
        <f t="array" aca="1" ref="N134" ca="1">[1]!UNIFORM_INV(RAND(),Sheet2!P$21-SQRT(3)*Sheet2!P$22,Sheet2!P$21+SQRT(3)*Sheet2!P$22)</f>
        <v>19.926104080255922</v>
      </c>
      <c r="O134" s="8" cm="1">
        <f t="array" aca="1" ref="O134" ca="1">[1]!UNIFORM_INV(RAND(),Sheet2!Q$21-SQRT(3)*Sheet2!Q$22,Sheet2!Q$21+SQRT(3)*Sheet2!Q$22)</f>
        <v>19.445218327654665</v>
      </c>
      <c r="P134" s="8" cm="1">
        <f t="array" aca="1" ref="P134" ca="1">[1]!UNIFORM_INV(RAND(),Sheet2!R$21-SQRT(3)*Sheet2!R$22,Sheet2!R$21+SQRT(3)*Sheet2!R$22)</f>
        <v>4.4724874662426606</v>
      </c>
      <c r="Q134" s="8" cm="1">
        <f t="array" aca="1" ref="Q134" ca="1">[1]!UNIFORM_INV(RAND(),Sheet2!S$21-SQRT(3)*Sheet2!S$22,Sheet2!S$21+SQRT(3)*Sheet2!S$22)</f>
        <v>5.3826229995684534</v>
      </c>
      <c r="R134" s="8" cm="1">
        <f t="array" aca="1" ref="R134" ca="1">[1]!UNIFORM_INV(RAND(),Sheet2!T$21-SQRT(3)*Sheet2!T$22,Sheet2!T$21+SQRT(3)*Sheet2!T$22)</f>
        <v>9.0136295206850185</v>
      </c>
      <c r="S134" s="8" cm="1">
        <f t="array" aca="1" ref="S134" ca="1">[1]!UNIFORM_INV(RAND(),Sheet2!U$21-SQRT(3)*Sheet2!U$22,Sheet2!U$21+SQRT(3)*Sheet2!U$22)</f>
        <v>23.630076795877709</v>
      </c>
      <c r="T134" s="8" cm="1">
        <f t="array" aca="1" ref="T134" ca="1">[1]!UNIFORM_INV(RAND(),Sheet2!V$21-SQRT(3)*Sheet2!V$22,Sheet2!V$21+SQRT(3)*Sheet2!V$22)</f>
        <v>24.362548055494898</v>
      </c>
      <c r="U134" s="8" cm="1">
        <f t="array" aca="1" ref="U134" ca="1">[1]!UNIFORM_INV(RAND(),Sheet2!W$21-SQRT(3)*Sheet2!W$22,Sheet2!W$21+SQRT(3)*Sheet2!W$22)</f>
        <v>34.114147721265184</v>
      </c>
      <c r="V134" s="8" cm="1">
        <f t="array" aca="1" ref="V134" ca="1">[1]!UNIFORM_INV(RAND(),Sheet2!X$21-SQRT(3)*Sheet2!X$22,Sheet2!X$21+SQRT(3)*Sheet2!X$22)</f>
        <v>17.827407073709548</v>
      </c>
      <c r="W134" s="8" cm="1">
        <f t="array" aca="1" ref="W134" ca="1">[1]!UNIFORM_INV(RAND(),Sheet2!Y$21-SQRT(3)*Sheet2!Y$22,Sheet2!Y$21+SQRT(3)*Sheet2!Y$22)</f>
        <v>13.91829308404763</v>
      </c>
      <c r="X134" s="8" cm="1">
        <f t="array" aca="1" ref="X134" ca="1">[1]!UNIFORM_INV(RAND(),Sheet2!Z$21-SQRT(3)*Sheet2!Z$22,Sheet2!Z$21+SQRT(3)*Sheet2!Z$22)</f>
        <v>10.346052168570061</v>
      </c>
      <c r="AX134" s="7">
        <f ca="1">Sheet2!C$21+('RNG HERE'!A134-'RNG HERE'!Y$122)*Sheet2!C$22/'RNG HERE'!Y$123</f>
        <v>3.961172975544077</v>
      </c>
      <c r="AY134" s="7">
        <f ca="1">Sheet2!D$21+('RNG HERE'!B134-'RNG HERE'!Z$122)*Sheet2!D$22/'RNG HERE'!Z$123</f>
        <v>7.4342179452162958</v>
      </c>
      <c r="AZ134" s="7">
        <f ca="1">Sheet2!E$21+('RNG HERE'!C134-'RNG HERE'!AA$122)*Sheet2!E$22/'RNG HERE'!AA$123</f>
        <v>22.073485289552998</v>
      </c>
      <c r="BA134" s="7">
        <f ca="1">Sheet2!F$21+('RNG HERE'!D134-'RNG HERE'!AB$122)*Sheet2!F$22/'RNG HERE'!AB$123</f>
        <v>3.2594449138798414</v>
      </c>
      <c r="BB134" s="7">
        <f ca="1">Sheet2!G$21+('RNG HERE'!E134-'RNG HERE'!AC$122)*Sheet2!G$22/'RNG HERE'!AC$123</f>
        <v>38.676379405543088</v>
      </c>
      <c r="BC134" s="7">
        <f ca="1">Sheet2!H$21+('RNG HERE'!F134-'RNG HERE'!AD$122)*Sheet2!H$22/'RNG HERE'!AD$123</f>
        <v>20.726852466887049</v>
      </c>
      <c r="BD134" s="7">
        <f ca="1">Sheet2!I$21+('RNG HERE'!G134-'RNG HERE'!AE$122)*Sheet2!I$22/'RNG HERE'!AE$123</f>
        <v>10.851703752173803</v>
      </c>
      <c r="BE134" s="7">
        <f ca="1">Sheet2!J$21+('RNG HERE'!H134-'RNG HERE'!AF$122)*Sheet2!J$22/'RNG HERE'!AF$123</f>
        <v>28.462816031145696</v>
      </c>
      <c r="BF134" s="7">
        <f ca="1">Sheet2!K$21+('RNG HERE'!I134-'RNG HERE'!AG$122)*Sheet2!K$22/'RNG HERE'!AG$123</f>
        <v>18.985340271726599</v>
      </c>
      <c r="BG134" s="7">
        <f ca="1">Sheet2!L$21+('RNG HERE'!J134-'RNG HERE'!AH$122)*Sheet2!L$22/'RNG HERE'!AH$123</f>
        <v>24.829252115922035</v>
      </c>
      <c r="BH134" s="7">
        <f ca="1">Sheet2!M$21+('RNG HERE'!K134-'RNG HERE'!AI$122)*Sheet2!M$22/'RNG HERE'!AI$123</f>
        <v>13.110514996731034</v>
      </c>
      <c r="BI134" s="7">
        <f ca="1">Sheet2!N$21+('RNG HERE'!L134-'RNG HERE'!AJ$122)*Sheet2!N$22/'RNG HERE'!AJ$123</f>
        <v>8.0849504412857573</v>
      </c>
      <c r="BJ134" s="7">
        <f ca="1">Sheet2!O$21+('RNG HERE'!M134-'RNG HERE'!AK$122)*Sheet2!O$22/'RNG HERE'!AK$123</f>
        <v>7.7267609322695616</v>
      </c>
      <c r="BK134" s="7">
        <f ca="1">Sheet2!P$21+('RNG HERE'!N134-'RNG HERE'!AL$122)*Sheet2!P$22/'RNG HERE'!AL$123</f>
        <v>20.649002806260984</v>
      </c>
      <c r="BL134" s="7">
        <f ca="1">Sheet2!Q$21+('RNG HERE'!O134-'RNG HERE'!AM$122)*Sheet2!Q$22/'RNG HERE'!AM$123</f>
        <v>19.024828105529462</v>
      </c>
      <c r="BM134" s="7">
        <f ca="1">Sheet2!R$21+('RNG HERE'!P134-'RNG HERE'!AN$122)*Sheet2!R$22/'RNG HERE'!AN$123</f>
        <v>4.656271792700883</v>
      </c>
      <c r="BN134" s="7">
        <f ca="1">Sheet2!S$21+('RNG HERE'!Q134-'RNG HERE'!AO$122)*Sheet2!S$22/'RNG HERE'!AO$123</f>
        <v>5.3724011573711774</v>
      </c>
      <c r="BO134" s="7">
        <f ca="1">Sheet2!T$21+('RNG HERE'!R134-'RNG HERE'!AP$122)*Sheet2!T$22/'RNG HERE'!AP$123</f>
        <v>8.905299332729065</v>
      </c>
      <c r="BP134" s="7">
        <f ca="1">Sheet2!U$21+('RNG HERE'!S134-'RNG HERE'!AQ$122)*Sheet2!U$22/'RNG HERE'!AQ$123</f>
        <v>23.388282311952281</v>
      </c>
      <c r="BQ134" s="7">
        <f ca="1">Sheet2!V$21+('RNG HERE'!T134-'RNG HERE'!AR$122)*Sheet2!V$22/'RNG HERE'!AR$123</f>
        <v>24.316293290431787</v>
      </c>
      <c r="BR134" s="7">
        <f ca="1">Sheet2!W$21+('RNG HERE'!U134-'RNG HERE'!AS$122)*Sheet2!W$22/'RNG HERE'!AS$123</f>
        <v>34.078180745228849</v>
      </c>
      <c r="BS134" s="7">
        <f ca="1">Sheet2!X$21+('RNG HERE'!V134-'RNG HERE'!AT$122)*Sheet2!X$22/'RNG HERE'!AT$123</f>
        <v>18.223497096919782</v>
      </c>
      <c r="BT134" s="7">
        <f ca="1">Sheet2!Y$21+('RNG HERE'!W134-'RNG HERE'!AU$122)*Sheet2!Y$22/'RNG HERE'!AU$123</f>
        <v>13.893146559629256</v>
      </c>
      <c r="BU134" s="7">
        <f ca="1">Sheet2!Z$21+('RNG HERE'!X134-'RNG HERE'!AV$122)*Sheet2!Z$22/'RNG HERE'!AV$123</f>
        <v>10.331561589497408</v>
      </c>
    </row>
    <row r="135" spans="1:73" x14ac:dyDescent="0.3">
      <c r="A135" s="8" cm="1">
        <f t="array" aca="1" ref="A135" ca="1">[1]!UNIFORM_INV(RAND(),Sheet2!C$21-SQRT(3)*Sheet2!C$22,Sheet2!C$21+SQRT(3)*Sheet2!C$22)</f>
        <v>6.6982311307784457</v>
      </c>
      <c r="B135" s="8" cm="1">
        <f t="array" aca="1" ref="B135" ca="1">[1]!UNIFORM_INV(RAND(),Sheet2!D$21-SQRT(3)*Sheet2!D$22,Sheet2!D$21+SQRT(3)*Sheet2!D$22)</f>
        <v>5.9316735751683272</v>
      </c>
      <c r="C135" s="8" cm="1">
        <f t="array" aca="1" ref="C135" ca="1">[1]!UNIFORM_INV(RAND(),Sheet2!E$21-SQRT(3)*Sheet2!E$22,Sheet2!E$21+SQRT(3)*Sheet2!E$22)</f>
        <v>19.101819228608107</v>
      </c>
      <c r="D135" s="8" cm="1">
        <f t="array" aca="1" ref="D135" ca="1">[1]!UNIFORM_INV(RAND(),Sheet2!F$21-SQRT(3)*Sheet2!F$22,Sheet2!F$21+SQRT(3)*Sheet2!F$22)</f>
        <v>2.3626239514128096</v>
      </c>
      <c r="E135" s="8" cm="1">
        <f t="array" aca="1" ref="E135" ca="1">[1]!UNIFORM_INV(RAND(),Sheet2!G$21-SQRT(3)*Sheet2!G$22,Sheet2!G$21+SQRT(3)*Sheet2!G$22)</f>
        <v>47.597845723301837</v>
      </c>
      <c r="F135" s="8" cm="1">
        <f t="array" aca="1" ref="F135" ca="1">[1]!UNIFORM_INV(RAND(),Sheet2!H$21-SQRT(3)*Sheet2!H$22,Sheet2!H$21+SQRT(3)*Sheet2!H$22)</f>
        <v>29.242079315168969</v>
      </c>
      <c r="G135" s="8" cm="1">
        <f t="array" aca="1" ref="G135" ca="1">[1]!UNIFORM_INV(RAND(),Sheet2!I$21-SQRT(3)*Sheet2!I$22,Sheet2!I$21+SQRT(3)*Sheet2!I$22)</f>
        <v>10.417077443475977</v>
      </c>
      <c r="H135" s="8" cm="1">
        <f t="array" aca="1" ref="H135" ca="1">[1]!UNIFORM_INV(RAND(),Sheet2!J$21-SQRT(3)*Sheet2!J$22,Sheet2!J$21+SQRT(3)*Sheet2!J$22)</f>
        <v>27.702346279747037</v>
      </c>
      <c r="I135" s="8" cm="1">
        <f t="array" aca="1" ref="I135" ca="1">[1]!UNIFORM_INV(RAND(),Sheet2!K$21-SQRT(3)*Sheet2!K$22,Sheet2!K$21+SQRT(3)*Sheet2!K$22)</f>
        <v>17.51256898260576</v>
      </c>
      <c r="J135" s="8" cm="1">
        <f t="array" aca="1" ref="J135" ca="1">[1]!UNIFORM_INV(RAND(),Sheet2!L$21-SQRT(3)*Sheet2!L$22,Sheet2!L$21+SQRT(3)*Sheet2!L$22)</f>
        <v>26.462045071199199</v>
      </c>
      <c r="K135" s="8" cm="1">
        <f t="array" aca="1" ref="K135" ca="1">[1]!UNIFORM_INV(RAND(),Sheet2!M$21-SQRT(3)*Sheet2!M$22,Sheet2!M$21+SQRT(3)*Sheet2!M$22)</f>
        <v>17.469970873257569</v>
      </c>
      <c r="L135" s="8" cm="1">
        <f t="array" aca="1" ref="L135" ca="1">[1]!UNIFORM_INV(RAND(),Sheet2!N$21-SQRT(3)*Sheet2!N$22,Sheet2!N$21+SQRT(3)*Sheet2!N$22)</f>
        <v>8.6779196675196228</v>
      </c>
      <c r="M135" s="8" cm="1">
        <f t="array" aca="1" ref="M135" ca="1">[1]!UNIFORM_INV(RAND(),Sheet2!O$21-SQRT(3)*Sheet2!O$22,Sheet2!O$21+SQRT(3)*Sheet2!O$22)</f>
        <v>9.6169270579775823</v>
      </c>
      <c r="N135" s="8" cm="1">
        <f t="array" aca="1" ref="N135" ca="1">[1]!UNIFORM_INV(RAND(),Sheet2!P$21-SQRT(3)*Sheet2!P$22,Sheet2!P$21+SQRT(3)*Sheet2!P$22)</f>
        <v>16.442590728499098</v>
      </c>
      <c r="O135" s="8" cm="1">
        <f t="array" aca="1" ref="O135" ca="1">[1]!UNIFORM_INV(RAND(),Sheet2!Q$21-SQRT(3)*Sheet2!Q$22,Sheet2!Q$21+SQRT(3)*Sheet2!Q$22)</f>
        <v>23.102635802695495</v>
      </c>
      <c r="P135" s="8" cm="1">
        <f t="array" aca="1" ref="P135" ca="1">[1]!UNIFORM_INV(RAND(),Sheet2!R$21-SQRT(3)*Sheet2!R$22,Sheet2!R$21+SQRT(3)*Sheet2!R$22)</f>
        <v>8.844362803871503</v>
      </c>
      <c r="Q135" s="8" cm="1">
        <f t="array" aca="1" ref="Q135" ca="1">[1]!UNIFORM_INV(RAND(),Sheet2!S$21-SQRT(3)*Sheet2!S$22,Sheet2!S$21+SQRT(3)*Sheet2!S$22)</f>
        <v>4.7375005837538691</v>
      </c>
      <c r="R135" s="8" cm="1">
        <f t="array" aca="1" ref="R135" ca="1">[1]!UNIFORM_INV(RAND(),Sheet2!T$21-SQRT(3)*Sheet2!T$22,Sheet2!T$21+SQRT(3)*Sheet2!T$22)</f>
        <v>9.2463061052808975</v>
      </c>
      <c r="S135" s="8" cm="1">
        <f t="array" aca="1" ref="S135" ca="1">[1]!UNIFORM_INV(RAND(),Sheet2!U$21-SQRT(3)*Sheet2!U$22,Sheet2!U$21+SQRT(3)*Sheet2!U$22)</f>
        <v>25.797992515287852</v>
      </c>
      <c r="T135" s="8" cm="1">
        <f t="array" aca="1" ref="T135" ca="1">[1]!UNIFORM_INV(RAND(),Sheet2!V$21-SQRT(3)*Sheet2!V$22,Sheet2!V$21+SQRT(3)*Sheet2!V$22)</f>
        <v>22.610712610537334</v>
      </c>
      <c r="U135" s="8" cm="1">
        <f t="array" aca="1" ref="U135" ca="1">[1]!UNIFORM_INV(RAND(),Sheet2!W$21-SQRT(3)*Sheet2!W$22,Sheet2!W$21+SQRT(3)*Sheet2!W$22)</f>
        <v>34.453831258866295</v>
      </c>
      <c r="V135" s="8" cm="1">
        <f t="array" aca="1" ref="V135" ca="1">[1]!UNIFORM_INV(RAND(),Sheet2!X$21-SQRT(3)*Sheet2!X$22,Sheet2!X$21+SQRT(3)*Sheet2!X$22)</f>
        <v>21.597410362514051</v>
      </c>
      <c r="W135" s="8" cm="1">
        <f t="array" aca="1" ref="W135" ca="1">[1]!UNIFORM_INV(RAND(),Sheet2!Y$21-SQRT(3)*Sheet2!Y$22,Sheet2!Y$21+SQRT(3)*Sheet2!Y$22)</f>
        <v>14.365275558211192</v>
      </c>
      <c r="X135" s="8" cm="1">
        <f t="array" aca="1" ref="X135" ca="1">[1]!UNIFORM_INV(RAND(),Sheet2!Z$21-SQRT(3)*Sheet2!Z$22,Sheet2!Z$21+SQRT(3)*Sheet2!Z$22)</f>
        <v>11.425979837998801</v>
      </c>
      <c r="AX135" s="7">
        <f ca="1">Sheet2!C$21+('RNG HERE'!A135-'RNG HERE'!Y$122)*Sheet2!C$22/'RNG HERE'!Y$123</f>
        <v>6.8886727684237909</v>
      </c>
      <c r="AY135" s="7">
        <f ca="1">Sheet2!D$21+('RNG HERE'!B135-'RNG HERE'!Z$122)*Sheet2!D$22/'RNG HERE'!Z$123</f>
        <v>6.1953911998984887</v>
      </c>
      <c r="AZ135" s="7">
        <f ca="1">Sheet2!E$21+('RNG HERE'!C135-'RNG HERE'!AA$122)*Sheet2!E$22/'RNG HERE'!AA$123</f>
        <v>20.046864163803075</v>
      </c>
      <c r="BA135" s="7">
        <f ca="1">Sheet2!F$21+('RNG HERE'!D135-'RNG HERE'!AB$122)*Sheet2!F$22/'RNG HERE'!AB$123</f>
        <v>2.6109765777209528</v>
      </c>
      <c r="BB135" s="7">
        <f ca="1">Sheet2!G$21+('RNG HERE'!E135-'RNG HERE'!AC$122)*Sheet2!G$22/'RNG HERE'!AC$123</f>
        <v>46.959358376600321</v>
      </c>
      <c r="BC135" s="7">
        <f ca="1">Sheet2!H$21+('RNG HERE'!F135-'RNG HERE'!AD$122)*Sheet2!H$22/'RNG HERE'!AD$123</f>
        <v>29.665838166676558</v>
      </c>
      <c r="BD135" s="7">
        <f ca="1">Sheet2!I$21+('RNG HERE'!G135-'RNG HERE'!AE$122)*Sheet2!I$22/'RNG HERE'!AE$123</f>
        <v>10.434116714618792</v>
      </c>
      <c r="BE135" s="7">
        <f ca="1">Sheet2!J$21+('RNG HERE'!H135-'RNG HERE'!AF$122)*Sheet2!J$22/'RNG HERE'!AF$123</f>
        <v>27.884280309746103</v>
      </c>
      <c r="BF135" s="7">
        <f ca="1">Sheet2!K$21+('RNG HERE'!I135-'RNG HERE'!AG$122)*Sheet2!K$22/'RNG HERE'!AG$123</f>
        <v>17.761448801284178</v>
      </c>
      <c r="BG135" s="7">
        <f ca="1">Sheet2!L$21+('RNG HERE'!J135-'RNG HERE'!AH$122)*Sheet2!L$22/'RNG HERE'!AH$123</f>
        <v>26.151912255353537</v>
      </c>
      <c r="BH135" s="7">
        <f ca="1">Sheet2!M$21+('RNG HERE'!K135-'RNG HERE'!AI$122)*Sheet2!M$22/'RNG HERE'!AI$123</f>
        <v>17.621735948105691</v>
      </c>
      <c r="BI135" s="7">
        <f ca="1">Sheet2!N$21+('RNG HERE'!L135-'RNG HERE'!AJ$122)*Sheet2!N$22/'RNG HERE'!AJ$123</f>
        <v>8.4135004606077395</v>
      </c>
      <c r="BJ135" s="7">
        <f ca="1">Sheet2!O$21+('RNG HERE'!M135-'RNG HERE'!AK$122)*Sheet2!O$22/'RNG HERE'!AK$123</f>
        <v>9.7708701944308078</v>
      </c>
      <c r="BK135" s="7">
        <f ca="1">Sheet2!P$21+('RNG HERE'!N135-'RNG HERE'!AL$122)*Sheet2!P$22/'RNG HERE'!AL$123</f>
        <v>16.890083832149109</v>
      </c>
      <c r="BL135" s="7">
        <f ca="1">Sheet2!Q$21+('RNG HERE'!O135-'RNG HERE'!AM$122)*Sheet2!Q$22/'RNG HERE'!AM$123</f>
        <v>22.955864515765519</v>
      </c>
      <c r="BM135" s="7">
        <f ca="1">Sheet2!R$21+('RNG HERE'!P135-'RNG HERE'!AN$122)*Sheet2!R$22/'RNG HERE'!AN$123</f>
        <v>8.6466069030818336</v>
      </c>
      <c r="BN135" s="7">
        <f ca="1">Sheet2!S$21+('RNG HERE'!Q135-'RNG HERE'!AO$122)*Sheet2!S$22/'RNG HERE'!AO$123</f>
        <v>4.6326013598251397</v>
      </c>
      <c r="BO135" s="7">
        <f ca="1">Sheet2!T$21+('RNG HERE'!R135-'RNG HERE'!AP$122)*Sheet2!T$22/'RNG HERE'!AP$123</f>
        <v>9.1710411165575039</v>
      </c>
      <c r="BP135" s="7">
        <f ca="1">Sheet2!U$21+('RNG HERE'!S135-'RNG HERE'!AQ$122)*Sheet2!U$22/'RNG HERE'!AQ$123</f>
        <v>25.385354670797547</v>
      </c>
      <c r="BQ135" s="7">
        <f ca="1">Sheet2!V$21+('RNG HERE'!T135-'RNG HERE'!AR$122)*Sheet2!V$22/'RNG HERE'!AR$123</f>
        <v>22.537819941006227</v>
      </c>
      <c r="BR135" s="7">
        <f ca="1">Sheet2!W$21+('RNG HERE'!U135-'RNG HERE'!AS$122)*Sheet2!W$22/'RNG HERE'!AS$123</f>
        <v>34.397319578454017</v>
      </c>
      <c r="BS135" s="7">
        <f ca="1">Sheet2!X$21+('RNG HERE'!V135-'RNG HERE'!AT$122)*Sheet2!X$22/'RNG HERE'!AT$123</f>
        <v>21.828060407050696</v>
      </c>
      <c r="BT135" s="7">
        <f ca="1">Sheet2!Y$21+('RNG HERE'!W135-'RNG HERE'!AU$122)*Sheet2!Y$22/'RNG HERE'!AU$123</f>
        <v>14.372857430647143</v>
      </c>
      <c r="BU135" s="7">
        <f ca="1">Sheet2!Z$21+('RNG HERE'!X135-'RNG HERE'!AV$122)*Sheet2!Z$22/'RNG HERE'!AV$123</f>
        <v>11.478023526578204</v>
      </c>
    </row>
    <row r="136" spans="1:73" x14ac:dyDescent="0.3">
      <c r="A136" s="8" cm="1">
        <f t="array" aca="1" ref="A136" ca="1">[1]!UNIFORM_INV(RAND(),Sheet2!C$21-SQRT(3)*Sheet2!C$22,Sheet2!C$21+SQRT(3)*Sheet2!C$22)</f>
        <v>4.8618909247119735</v>
      </c>
      <c r="B136" s="8" cm="1">
        <f t="array" aca="1" ref="B136" ca="1">[1]!UNIFORM_INV(RAND(),Sheet2!D$21-SQRT(3)*Sheet2!D$22,Sheet2!D$21+SQRT(3)*Sheet2!D$22)</f>
        <v>5.9538315718538408</v>
      </c>
      <c r="C136" s="8" cm="1">
        <f t="array" aca="1" ref="C136" ca="1">[1]!UNIFORM_INV(RAND(),Sheet2!E$21-SQRT(3)*Sheet2!E$22,Sheet2!E$21+SQRT(3)*Sheet2!E$22)</f>
        <v>20.490305413947915</v>
      </c>
      <c r="D136" s="8" cm="1">
        <f t="array" aca="1" ref="D136" ca="1">[1]!UNIFORM_INV(RAND(),Sheet2!F$21-SQRT(3)*Sheet2!F$22,Sheet2!F$21+SQRT(3)*Sheet2!F$22)</f>
        <v>0.68318954227177242</v>
      </c>
      <c r="E136" s="8" cm="1">
        <f t="array" aca="1" ref="E136" ca="1">[1]!UNIFORM_INV(RAND(),Sheet2!G$21-SQRT(3)*Sheet2!G$22,Sheet2!G$21+SQRT(3)*Sheet2!G$22)</f>
        <v>28.69860861415404</v>
      </c>
      <c r="F136" s="8" cm="1">
        <f t="array" aca="1" ref="F136" ca="1">[1]!UNIFORM_INV(RAND(),Sheet2!H$21-SQRT(3)*Sheet2!H$22,Sheet2!H$21+SQRT(3)*Sheet2!H$22)</f>
        <v>22.039956510239694</v>
      </c>
      <c r="G136" s="8" cm="1">
        <f t="array" aca="1" ref="G136" ca="1">[1]!UNIFORM_INV(RAND(),Sheet2!I$21-SQRT(3)*Sheet2!I$22,Sheet2!I$21+SQRT(3)*Sheet2!I$22)</f>
        <v>9.3340896793643893</v>
      </c>
      <c r="H136" s="8" cm="1">
        <f t="array" aca="1" ref="H136" ca="1">[1]!UNIFORM_INV(RAND(),Sheet2!J$21-SQRT(3)*Sheet2!J$22,Sheet2!J$21+SQRT(3)*Sheet2!J$22)</f>
        <v>30.298119025714872</v>
      </c>
      <c r="I136" s="8" cm="1">
        <f t="array" aca="1" ref="I136" ca="1">[1]!UNIFORM_INV(RAND(),Sheet2!K$21-SQRT(3)*Sheet2!K$22,Sheet2!K$21+SQRT(3)*Sheet2!K$22)</f>
        <v>20.194976830064071</v>
      </c>
      <c r="J136" s="8" cm="1">
        <f t="array" aca="1" ref="J136" ca="1">[1]!UNIFORM_INV(RAND(),Sheet2!L$21-SQRT(3)*Sheet2!L$22,Sheet2!L$21+SQRT(3)*Sheet2!L$22)</f>
        <v>26.722766707016234</v>
      </c>
      <c r="K136" s="8" cm="1">
        <f t="array" aca="1" ref="K136" ca="1">[1]!UNIFORM_INV(RAND(),Sheet2!M$21-SQRT(3)*Sheet2!M$22,Sheet2!M$21+SQRT(3)*Sheet2!M$22)</f>
        <v>18.289958682828772</v>
      </c>
      <c r="L136" s="8" cm="1">
        <f t="array" aca="1" ref="L136" ca="1">[1]!UNIFORM_INV(RAND(),Sheet2!N$21-SQRT(3)*Sheet2!N$22,Sheet2!N$21+SQRT(3)*Sheet2!N$22)</f>
        <v>6.9625195072850152</v>
      </c>
      <c r="M136" s="8" cm="1">
        <f t="array" aca="1" ref="M136" ca="1">[1]!UNIFORM_INV(RAND(),Sheet2!O$21-SQRT(3)*Sheet2!O$22,Sheet2!O$21+SQRT(3)*Sheet2!O$22)</f>
        <v>7.6649825967761664</v>
      </c>
      <c r="N136" s="8" cm="1">
        <f t="array" aca="1" ref="N136" ca="1">[1]!UNIFORM_INV(RAND(),Sheet2!P$21-SQRT(3)*Sheet2!P$22,Sheet2!P$21+SQRT(3)*Sheet2!P$22)</f>
        <v>15.875479991962198</v>
      </c>
      <c r="O136" s="8" cm="1">
        <f t="array" aca="1" ref="O136" ca="1">[1]!UNIFORM_INV(RAND(),Sheet2!Q$21-SQRT(3)*Sheet2!Q$22,Sheet2!Q$21+SQRT(3)*Sheet2!Q$22)</f>
        <v>24.935998095536132</v>
      </c>
      <c r="P136" s="8" cm="1">
        <f t="array" aca="1" ref="P136" ca="1">[1]!UNIFORM_INV(RAND(),Sheet2!R$21-SQRT(3)*Sheet2!R$22,Sheet2!R$21+SQRT(3)*Sheet2!R$22)</f>
        <v>6.0504145638893965</v>
      </c>
      <c r="Q136" s="8" cm="1">
        <f t="array" aca="1" ref="Q136" ca="1">[1]!UNIFORM_INV(RAND(),Sheet2!S$21-SQRT(3)*Sheet2!S$22,Sheet2!S$21+SQRT(3)*Sheet2!S$22)</f>
        <v>4.9180047663132367</v>
      </c>
      <c r="R136" s="8" cm="1">
        <f t="array" aca="1" ref="R136" ca="1">[1]!UNIFORM_INV(RAND(),Sheet2!T$21-SQRT(3)*Sheet2!T$22,Sheet2!T$21+SQRT(3)*Sheet2!T$22)</f>
        <v>7.9491816569470064</v>
      </c>
      <c r="S136" s="8" cm="1">
        <f t="array" aca="1" ref="S136" ca="1">[1]!UNIFORM_INV(RAND(),Sheet2!U$21-SQRT(3)*Sheet2!U$22,Sheet2!U$21+SQRT(3)*Sheet2!U$22)</f>
        <v>24.965845285758693</v>
      </c>
      <c r="T136" s="8" cm="1">
        <f t="array" aca="1" ref="T136" ca="1">[1]!UNIFORM_INV(RAND(),Sheet2!V$21-SQRT(3)*Sheet2!V$22,Sheet2!V$21+SQRT(3)*Sheet2!V$22)</f>
        <v>22.08959517257604</v>
      </c>
      <c r="U136" s="8" cm="1">
        <f t="array" aca="1" ref="U136" ca="1">[1]!UNIFORM_INV(RAND(),Sheet2!W$21-SQRT(3)*Sheet2!W$22,Sheet2!W$21+SQRT(3)*Sheet2!W$22)</f>
        <v>32.086926160227932</v>
      </c>
      <c r="V136" s="8" cm="1">
        <f t="array" aca="1" ref="V136" ca="1">[1]!UNIFORM_INV(RAND(),Sheet2!X$21-SQRT(3)*Sheet2!X$22,Sheet2!X$21+SQRT(3)*Sheet2!X$22)</f>
        <v>20.18757613531028</v>
      </c>
      <c r="W136" s="8" cm="1">
        <f t="array" aca="1" ref="W136" ca="1">[1]!UNIFORM_INV(RAND(),Sheet2!Y$21-SQRT(3)*Sheet2!Y$22,Sheet2!Y$21+SQRT(3)*Sheet2!Y$22)</f>
        <v>14.711495409026508</v>
      </c>
      <c r="X136" s="8" cm="1">
        <f t="array" aca="1" ref="X136" ca="1">[1]!UNIFORM_INV(RAND(),Sheet2!Z$21-SQRT(3)*Sheet2!Z$22,Sheet2!Z$21+SQRT(3)*Sheet2!Z$22)</f>
        <v>9.8274400925116687</v>
      </c>
      <c r="AX136" s="7">
        <f ca="1">Sheet2!C$21+('RNG HERE'!A136-'RNG HERE'!Y$122)*Sheet2!C$22/'RNG HERE'!Y$123</f>
        <v>5.1284172729481288</v>
      </c>
      <c r="AY136" s="7">
        <f ca="1">Sheet2!D$21+('RNG HERE'!B136-'RNG HERE'!Z$122)*Sheet2!D$22/'RNG HERE'!Z$123</f>
        <v>6.2171157702389941</v>
      </c>
      <c r="AZ136" s="7">
        <f ca="1">Sheet2!E$21+('RNG HERE'!C136-'RNG HERE'!AA$122)*Sheet2!E$22/'RNG HERE'!AA$123</f>
        <v>21.42559369125669</v>
      </c>
      <c r="BA136" s="7">
        <f ca="1">Sheet2!F$21+('RNG HERE'!D136-'RNG HERE'!AB$122)*Sheet2!F$22/'RNG HERE'!AB$123</f>
        <v>0.78703696857260397</v>
      </c>
      <c r="BB136" s="7">
        <f ca="1">Sheet2!G$21+('RNG HERE'!E136-'RNG HERE'!AC$122)*Sheet2!G$22/'RNG HERE'!AC$123</f>
        <v>26.76841057797175</v>
      </c>
      <c r="BC136" s="7">
        <f ca="1">Sheet2!H$21+('RNG HERE'!F136-'RNG HERE'!AD$122)*Sheet2!H$22/'RNG HERE'!AD$123</f>
        <v>22.285466902714322</v>
      </c>
      <c r="BD136" s="7">
        <f ca="1">Sheet2!I$21+('RNG HERE'!G136-'RNG HERE'!AE$122)*Sheet2!I$22/'RNG HERE'!AE$123</f>
        <v>9.3621286445275302</v>
      </c>
      <c r="BE136" s="7">
        <f ca="1">Sheet2!J$21+('RNG HERE'!H136-'RNG HERE'!AF$122)*Sheet2!J$22/'RNG HERE'!AF$123</f>
        <v>30.719072526264654</v>
      </c>
      <c r="BF136" s="7">
        <f ca="1">Sheet2!K$21+('RNG HERE'!I136-'RNG HERE'!AG$122)*Sheet2!K$22/'RNG HERE'!AG$123</f>
        <v>20.370429255086542</v>
      </c>
      <c r="BG136" s="7">
        <f ca="1">Sheet2!L$21+('RNG HERE'!J136-'RNG HERE'!AH$122)*Sheet2!L$22/'RNG HERE'!AH$123</f>
        <v>26.429199043621679</v>
      </c>
      <c r="BH136" s="7">
        <f ca="1">Sheet2!M$21+('RNG HERE'!K136-'RNG HERE'!AI$122)*Sheet2!M$22/'RNG HERE'!AI$123</f>
        <v>18.503120122353991</v>
      </c>
      <c r="BI136" s="7">
        <f ca="1">Sheet2!N$21+('RNG HERE'!L136-'RNG HERE'!AJ$122)*Sheet2!N$22/'RNG HERE'!AJ$123</f>
        <v>6.8019035975950217</v>
      </c>
      <c r="BJ136" s="7">
        <f ca="1">Sheet2!O$21+('RNG HERE'!M136-'RNG HERE'!AK$122)*Sheet2!O$22/'RNG HERE'!AK$123</f>
        <v>7.7563699931132843</v>
      </c>
      <c r="BK136" s="7">
        <f ca="1">Sheet2!P$21+('RNG HERE'!N136-'RNG HERE'!AL$122)*Sheet2!P$22/'RNG HERE'!AL$123</f>
        <v>16.278137474338816</v>
      </c>
      <c r="BL136" s="7">
        <f ca="1">Sheet2!Q$21+('RNG HERE'!O136-'RNG HERE'!AM$122)*Sheet2!Q$22/'RNG HERE'!AM$123</f>
        <v>24.926384418263101</v>
      </c>
      <c r="BM136" s="7">
        <f ca="1">Sheet2!R$21+('RNG HERE'!P136-'RNG HERE'!AN$122)*Sheet2!R$22/'RNG HERE'!AN$123</f>
        <v>6.0964907864053712</v>
      </c>
      <c r="BN136" s="7">
        <f ca="1">Sheet2!S$21+('RNG HERE'!Q136-'RNG HERE'!AO$122)*Sheet2!S$22/'RNG HERE'!AO$123</f>
        <v>4.8395961168512436</v>
      </c>
      <c r="BO136" s="7">
        <f ca="1">Sheet2!T$21+('RNG HERE'!R136-'RNG HERE'!AP$122)*Sheet2!T$22/'RNG HERE'!AP$123</f>
        <v>7.6895849341641771</v>
      </c>
      <c r="BP136" s="7">
        <f ca="1">Sheet2!U$21+('RNG HERE'!S136-'RNG HERE'!AQ$122)*Sheet2!U$22/'RNG HERE'!AQ$123</f>
        <v>24.618785096296506</v>
      </c>
      <c r="BQ136" s="7">
        <f ca="1">Sheet2!V$21+('RNG HERE'!T136-'RNG HERE'!AR$122)*Sheet2!V$22/'RNG HERE'!AR$123</f>
        <v>22.008778541596971</v>
      </c>
      <c r="BR136" s="7">
        <f ca="1">Sheet2!W$21+('RNG HERE'!U136-'RNG HERE'!AS$122)*Sheet2!W$22/'RNG HERE'!AS$123</f>
        <v>32.173569387706841</v>
      </c>
      <c r="BS136" s="7">
        <f ca="1">Sheet2!X$21+('RNG HERE'!V136-'RNG HERE'!AT$122)*Sheet2!X$22/'RNG HERE'!AT$123</f>
        <v>20.480094280910532</v>
      </c>
      <c r="BT136" s="7">
        <f ca="1">Sheet2!Y$21+('RNG HERE'!W136-'RNG HERE'!AU$122)*Sheet2!Y$22/'RNG HERE'!AU$123</f>
        <v>14.744427762367851</v>
      </c>
      <c r="BU136" s="7">
        <f ca="1">Sheet2!Z$21+('RNG HERE'!X136-'RNG HERE'!AV$122)*Sheet2!Z$22/'RNG HERE'!AV$123</f>
        <v>9.7809978599599354</v>
      </c>
    </row>
    <row r="137" spans="1:73" x14ac:dyDescent="0.3">
      <c r="A137" s="8" cm="1">
        <f t="array" aca="1" ref="A137" ca="1">[1]!UNIFORM_INV(RAND(),Sheet2!C$21-SQRT(3)*Sheet2!C$22,Sheet2!C$21+SQRT(3)*Sheet2!C$22)</f>
        <v>3.8981440856559368</v>
      </c>
      <c r="B137" s="8" cm="1">
        <f t="array" aca="1" ref="B137" ca="1">[1]!UNIFORM_INV(RAND(),Sheet2!D$21-SQRT(3)*Sheet2!D$22,Sheet2!D$21+SQRT(3)*Sheet2!D$22)</f>
        <v>6.760615480551925</v>
      </c>
      <c r="C137" s="8" cm="1">
        <f t="array" aca="1" ref="C137" ca="1">[1]!UNIFORM_INV(RAND(),Sheet2!E$21-SQRT(3)*Sheet2!E$22,Sheet2!E$21+SQRT(3)*Sheet2!E$22)</f>
        <v>18.645054497567365</v>
      </c>
      <c r="D137" s="8" cm="1">
        <f t="array" aca="1" ref="D137" ca="1">[1]!UNIFORM_INV(RAND(),Sheet2!F$21-SQRT(3)*Sheet2!F$22,Sheet2!F$21+SQRT(3)*Sheet2!F$22)</f>
        <v>4.8158528898086432</v>
      </c>
      <c r="E137" s="8" cm="1">
        <f t="array" aca="1" ref="E137" ca="1">[1]!UNIFORM_INV(RAND(),Sheet2!G$21-SQRT(3)*Sheet2!G$22,Sheet2!G$21+SQRT(3)*Sheet2!G$22)</f>
        <v>29.946775143407006</v>
      </c>
      <c r="F137" s="8" cm="1">
        <f t="array" aca="1" ref="F137" ca="1">[1]!UNIFORM_INV(RAND(),Sheet2!H$21-SQRT(3)*Sheet2!H$22,Sheet2!H$21+SQRT(3)*Sheet2!H$22)</f>
        <v>14.215157317543857</v>
      </c>
      <c r="G137" s="8" cm="1">
        <f t="array" aca="1" ref="G137" ca="1">[1]!UNIFORM_INV(RAND(),Sheet2!I$21-SQRT(3)*Sheet2!I$22,Sheet2!I$21+SQRT(3)*Sheet2!I$22)</f>
        <v>10.110556249920972</v>
      </c>
      <c r="H137" s="8" cm="1">
        <f t="array" aca="1" ref="H137" ca="1">[1]!UNIFORM_INV(RAND(),Sheet2!J$21-SQRT(3)*Sheet2!J$22,Sheet2!J$21+SQRT(3)*Sheet2!J$22)</f>
        <v>28.358846729760891</v>
      </c>
      <c r="I137" s="8" cm="1">
        <f t="array" aca="1" ref="I137" ca="1">[1]!UNIFORM_INV(RAND(),Sheet2!K$21-SQRT(3)*Sheet2!K$22,Sheet2!K$21+SQRT(3)*Sheet2!K$22)</f>
        <v>17.183974752189474</v>
      </c>
      <c r="J137" s="8" cm="1">
        <f t="array" aca="1" ref="J137" ca="1">[1]!UNIFORM_INV(RAND(),Sheet2!L$21-SQRT(3)*Sheet2!L$22,Sheet2!L$21+SQRT(3)*Sheet2!L$22)</f>
        <v>28.599072171289098</v>
      </c>
      <c r="K137" s="8" cm="1">
        <f t="array" aca="1" ref="K137" ca="1">[1]!UNIFORM_INV(RAND(),Sheet2!M$21-SQRT(3)*Sheet2!M$22,Sheet2!M$21+SQRT(3)*Sheet2!M$22)</f>
        <v>13.54103325377149</v>
      </c>
      <c r="L137" s="8" cm="1">
        <f t="array" aca="1" ref="L137" ca="1">[1]!UNIFORM_INV(RAND(),Sheet2!N$21-SQRT(3)*Sheet2!N$22,Sheet2!N$21+SQRT(3)*Sheet2!N$22)</f>
        <v>8.6901651041832295</v>
      </c>
      <c r="M137" s="8" cm="1">
        <f t="array" aca="1" ref="M137" ca="1">[1]!UNIFORM_INV(RAND(),Sheet2!O$21-SQRT(3)*Sheet2!O$22,Sheet2!O$21+SQRT(3)*Sheet2!O$22)</f>
        <v>8.9939636132477556</v>
      </c>
      <c r="N137" s="8" cm="1">
        <f t="array" aca="1" ref="N137" ca="1">[1]!UNIFORM_INV(RAND(),Sheet2!P$21-SQRT(3)*Sheet2!P$22,Sheet2!P$21+SQRT(3)*Sheet2!P$22)</f>
        <v>21.188874383110011</v>
      </c>
      <c r="O137" s="8" cm="1">
        <f t="array" aca="1" ref="O137" ca="1">[1]!UNIFORM_INV(RAND(),Sheet2!Q$21-SQRT(3)*Sheet2!Q$22,Sheet2!Q$21+SQRT(3)*Sheet2!Q$22)</f>
        <v>22.900497585073829</v>
      </c>
      <c r="P137" s="8" cm="1">
        <f t="array" aca="1" ref="P137" ca="1">[1]!UNIFORM_INV(RAND(),Sheet2!R$21-SQRT(3)*Sheet2!R$22,Sheet2!R$21+SQRT(3)*Sheet2!R$22)</f>
        <v>3.1405666560723353</v>
      </c>
      <c r="Q137" s="8" cm="1">
        <f t="array" aca="1" ref="Q137" ca="1">[1]!UNIFORM_INV(RAND(),Sheet2!S$21-SQRT(3)*Sheet2!S$22,Sheet2!S$21+SQRT(3)*Sheet2!S$22)</f>
        <v>4.4484108975076291</v>
      </c>
      <c r="R137" s="8" cm="1">
        <f t="array" aca="1" ref="R137" ca="1">[1]!UNIFORM_INV(RAND(),Sheet2!T$21-SQRT(3)*Sheet2!T$22,Sheet2!T$21+SQRT(3)*Sheet2!T$22)</f>
        <v>8.6058624171092326</v>
      </c>
      <c r="S137" s="8" cm="1">
        <f t="array" aca="1" ref="S137" ca="1">[1]!UNIFORM_INV(RAND(),Sheet2!U$21-SQRT(3)*Sheet2!U$22,Sheet2!U$21+SQRT(3)*Sheet2!U$22)</f>
        <v>23.259657614091267</v>
      </c>
      <c r="T137" s="8" cm="1">
        <f t="array" aca="1" ref="T137" ca="1">[1]!UNIFORM_INV(RAND(),Sheet2!V$21-SQRT(3)*Sheet2!V$22,Sheet2!V$21+SQRT(3)*Sheet2!V$22)</f>
        <v>23.393678730355479</v>
      </c>
      <c r="U137" s="8" cm="1">
        <f t="array" aca="1" ref="U137" ca="1">[1]!UNIFORM_INV(RAND(),Sheet2!W$21-SQRT(3)*Sheet2!W$22,Sheet2!W$21+SQRT(3)*Sheet2!W$22)</f>
        <v>32.688946984416972</v>
      </c>
      <c r="V137" s="8" cm="1">
        <f t="array" aca="1" ref="V137" ca="1">[1]!UNIFORM_INV(RAND(),Sheet2!X$21-SQRT(3)*Sheet2!X$22,Sheet2!X$21+SQRT(3)*Sheet2!X$22)</f>
        <v>19.323710000661514</v>
      </c>
      <c r="W137" s="8" cm="1">
        <f t="array" aca="1" ref="W137" ca="1">[1]!UNIFORM_INV(RAND(),Sheet2!Y$21-SQRT(3)*Sheet2!Y$22,Sheet2!Y$21+SQRT(3)*Sheet2!Y$22)</f>
        <v>14.285136598574333</v>
      </c>
      <c r="X137" s="8" cm="1">
        <f t="array" aca="1" ref="X137" ca="1">[1]!UNIFORM_INV(RAND(),Sheet2!Z$21-SQRT(3)*Sheet2!Z$22,Sheet2!Z$21+SQRT(3)*Sheet2!Z$22)</f>
        <v>11.292954210197733</v>
      </c>
      <c r="AX137" s="7">
        <f ca="1">Sheet2!C$21+('RNG HERE'!A137-'RNG HERE'!Y$122)*Sheet2!C$22/'RNG HERE'!Y$123</f>
        <v>4.2046011608293714</v>
      </c>
      <c r="AY137" s="7">
        <f ca="1">Sheet2!D$21+('RNG HERE'!B137-'RNG HERE'!Z$122)*Sheet2!D$22/'RNG HERE'!Z$123</f>
        <v>7.0081184056693848</v>
      </c>
      <c r="AZ137" s="7">
        <f ca="1">Sheet2!E$21+('RNG HERE'!C137-'RNG HERE'!AA$122)*Sheet2!E$22/'RNG HERE'!AA$123</f>
        <v>19.593309041372265</v>
      </c>
      <c r="BA137" s="7">
        <f ca="1">Sheet2!F$21+('RNG HERE'!D137-'RNG HERE'!AB$122)*Sheet2!F$22/'RNG HERE'!AB$123</f>
        <v>5.2752910675840381</v>
      </c>
      <c r="BB137" s="7">
        <f ca="1">Sheet2!G$21+('RNG HERE'!E137-'RNG HERE'!AC$122)*Sheet2!G$22/'RNG HERE'!AC$123</f>
        <v>28.101885844227006</v>
      </c>
      <c r="BC137" s="7">
        <f ca="1">Sheet2!H$21+('RNG HERE'!F137-'RNG HERE'!AD$122)*Sheet2!H$22/'RNG HERE'!AD$123</f>
        <v>14.267008363167886</v>
      </c>
      <c r="BD137" s="7">
        <f ca="1">Sheet2!I$21+('RNG HERE'!G137-'RNG HERE'!AE$122)*Sheet2!I$22/'RNG HERE'!AE$123</f>
        <v>10.13070879662569</v>
      </c>
      <c r="BE137" s="7">
        <f ca="1">Sheet2!J$21+('RNG HERE'!H137-'RNG HERE'!AF$122)*Sheet2!J$22/'RNG HERE'!AF$123</f>
        <v>28.601231502307574</v>
      </c>
      <c r="BF137" s="7">
        <f ca="1">Sheet2!K$21+('RNG HERE'!I137-'RNG HERE'!AG$122)*Sheet2!K$22/'RNG HERE'!AG$123</f>
        <v>17.44184940658339</v>
      </c>
      <c r="BG137" s="7">
        <f ca="1">Sheet2!L$21+('RNG HERE'!J137-'RNG HERE'!AH$122)*Sheet2!L$22/'RNG HERE'!AH$123</f>
        <v>28.424717038773018</v>
      </c>
      <c r="BH137" s="7">
        <f ca="1">Sheet2!M$21+('RNG HERE'!K137-'RNG HERE'!AI$122)*Sheet2!M$22/'RNG HERE'!AI$123</f>
        <v>13.398620190769385</v>
      </c>
      <c r="BI137" s="7">
        <f ca="1">Sheet2!N$21+('RNG HERE'!L137-'RNG HERE'!AJ$122)*Sheet2!N$22/'RNG HERE'!AJ$123</f>
        <v>8.4250048942499696</v>
      </c>
      <c r="BJ137" s="7">
        <f ca="1">Sheet2!O$21+('RNG HERE'!M137-'RNG HERE'!AK$122)*Sheet2!O$22/'RNG HERE'!AK$123</f>
        <v>9.1279420733872048</v>
      </c>
      <c r="BK137" s="7">
        <f ca="1">Sheet2!P$21+('RNG HERE'!N137-'RNG HERE'!AL$122)*Sheet2!P$22/'RNG HERE'!AL$123</f>
        <v>22.01160738733698</v>
      </c>
      <c r="BL137" s="7">
        <f ca="1">Sheet2!Q$21+('RNG HERE'!O137-'RNG HERE'!AM$122)*Sheet2!Q$22/'RNG HERE'!AM$123</f>
        <v>22.738603921700545</v>
      </c>
      <c r="BM137" s="7">
        <f ca="1">Sheet2!R$21+('RNG HERE'!P137-'RNG HERE'!AN$122)*Sheet2!R$22/'RNG HERE'!AN$123</f>
        <v>3.4405897426376115</v>
      </c>
      <c r="BN137" s="7">
        <f ca="1">Sheet2!S$21+('RNG HERE'!Q137-'RNG HERE'!AO$122)*Sheet2!S$22/'RNG HERE'!AO$123</f>
        <v>4.3010852225544038</v>
      </c>
      <c r="BO137" s="7">
        <f ca="1">Sheet2!T$21+('RNG HERE'!R137-'RNG HERE'!AP$122)*Sheet2!T$22/'RNG HERE'!AP$123</f>
        <v>8.4395852701000713</v>
      </c>
      <c r="BP137" s="7">
        <f ca="1">Sheet2!U$21+('RNG HERE'!S137-'RNG HERE'!AQ$122)*Sheet2!U$22/'RNG HERE'!AQ$123</f>
        <v>23.047054144035744</v>
      </c>
      <c r="BQ137" s="7">
        <f ca="1">Sheet2!V$21+('RNG HERE'!T137-'RNG HERE'!AR$122)*Sheet2!V$22/'RNG HERE'!AR$123</f>
        <v>23.332691617799728</v>
      </c>
      <c r="BR137" s="7">
        <f ca="1">Sheet2!W$21+('RNG HERE'!U137-'RNG HERE'!AS$122)*Sheet2!W$22/'RNG HERE'!AS$123</f>
        <v>32.73917885104963</v>
      </c>
      <c r="BS137" s="7">
        <f ca="1">Sheet2!X$21+('RNG HERE'!V137-'RNG HERE'!AT$122)*Sheet2!X$22/'RNG HERE'!AT$123</f>
        <v>19.6541373956562</v>
      </c>
      <c r="BT137" s="7">
        <f ca="1">Sheet2!Y$21+('RNG HERE'!W137-'RNG HERE'!AU$122)*Sheet2!Y$22/'RNG HERE'!AU$123</f>
        <v>14.28685063541025</v>
      </c>
      <c r="BU137" s="7">
        <f ca="1">Sheet2!Z$21+('RNG HERE'!X137-'RNG HERE'!AV$122)*Sheet2!Z$22/'RNG HERE'!AV$123</f>
        <v>11.336802199217571</v>
      </c>
    </row>
    <row r="138" spans="1:73" x14ac:dyDescent="0.3">
      <c r="A138" s="8" cm="1">
        <f t="array" aca="1" ref="A138" ca="1">[1]!UNIFORM_INV(RAND(),Sheet2!C$21-SQRT(3)*Sheet2!C$22,Sheet2!C$21+SQRT(3)*Sheet2!C$22)</f>
        <v>6.5362468539162109</v>
      </c>
      <c r="B138" s="8" cm="1">
        <f t="array" aca="1" ref="B138" ca="1">[1]!UNIFORM_INV(RAND(),Sheet2!D$21-SQRT(3)*Sheet2!D$22,Sheet2!D$21+SQRT(3)*Sheet2!D$22)</f>
        <v>6.7210114045609641</v>
      </c>
      <c r="C138" s="8" cm="1">
        <f t="array" aca="1" ref="C138" ca="1">[1]!UNIFORM_INV(RAND(),Sheet2!E$21-SQRT(3)*Sheet2!E$22,Sheet2!E$21+SQRT(3)*Sheet2!E$22)</f>
        <v>24.419942578847888</v>
      </c>
      <c r="D138" s="8" cm="1">
        <f t="array" aca="1" ref="D138" ca="1">[1]!UNIFORM_INV(RAND(),Sheet2!F$21-SQRT(3)*Sheet2!F$22,Sheet2!F$21+SQRT(3)*Sheet2!F$22)</f>
        <v>9.6976429332959597</v>
      </c>
      <c r="E138" s="8" cm="1">
        <f t="array" aca="1" ref="E138" ca="1">[1]!UNIFORM_INV(RAND(),Sheet2!G$21-SQRT(3)*Sheet2!G$22,Sheet2!G$21+SQRT(3)*Sheet2!G$22)</f>
        <v>51.112923952212419</v>
      </c>
      <c r="F138" s="8" cm="1">
        <f t="array" aca="1" ref="F138" ca="1">[1]!UNIFORM_INV(RAND(),Sheet2!H$21-SQRT(3)*Sheet2!H$22,Sheet2!H$21+SQRT(3)*Sheet2!H$22)</f>
        <v>24.136372680369746</v>
      </c>
      <c r="G138" s="8" cm="1">
        <f t="array" aca="1" ref="G138" ca="1">[1]!UNIFORM_INV(RAND(),Sheet2!I$21-SQRT(3)*Sheet2!I$22,Sheet2!I$21+SQRT(3)*Sheet2!I$22)</f>
        <v>9.6905954039797955</v>
      </c>
      <c r="H138" s="8" cm="1">
        <f t="array" aca="1" ref="H138" ca="1">[1]!UNIFORM_INV(RAND(),Sheet2!J$21-SQRT(3)*Sheet2!J$22,Sheet2!J$21+SQRT(3)*Sheet2!J$22)</f>
        <v>28.399588873989245</v>
      </c>
      <c r="I138" s="8" cm="1">
        <f t="array" aca="1" ref="I138" ca="1">[1]!UNIFORM_INV(RAND(),Sheet2!K$21-SQRT(3)*Sheet2!K$22,Sheet2!K$21+SQRT(3)*Sheet2!K$22)</f>
        <v>18.075524957697336</v>
      </c>
      <c r="J138" s="8" cm="1">
        <f t="array" aca="1" ref="J138" ca="1">[1]!UNIFORM_INV(RAND(),Sheet2!L$21-SQRT(3)*Sheet2!L$22,Sheet2!L$21+SQRT(3)*Sheet2!L$22)</f>
        <v>26.419101264171154</v>
      </c>
      <c r="K138" s="8" cm="1">
        <f t="array" aca="1" ref="K138" ca="1">[1]!UNIFORM_INV(RAND(),Sheet2!M$21-SQRT(3)*Sheet2!M$22,Sheet2!M$21+SQRT(3)*Sheet2!M$22)</f>
        <v>14.021466311102925</v>
      </c>
      <c r="L138" s="8" cm="1">
        <f t="array" aca="1" ref="L138" ca="1">[1]!UNIFORM_INV(RAND(),Sheet2!N$21-SQRT(3)*Sheet2!N$22,Sheet2!N$21+SQRT(3)*Sheet2!N$22)</f>
        <v>8.7702018386336089</v>
      </c>
      <c r="M138" s="8" cm="1">
        <f t="array" aca="1" ref="M138" ca="1">[1]!UNIFORM_INV(RAND(),Sheet2!O$21-SQRT(3)*Sheet2!O$22,Sheet2!O$21+SQRT(3)*Sheet2!O$22)</f>
        <v>8.5317641160559461</v>
      </c>
      <c r="N138" s="8" cm="1">
        <f t="array" aca="1" ref="N138" ca="1">[1]!UNIFORM_INV(RAND(),Sheet2!P$21-SQRT(3)*Sheet2!P$22,Sheet2!P$21+SQRT(3)*Sheet2!P$22)</f>
        <v>16.568394238776722</v>
      </c>
      <c r="O138" s="8" cm="1">
        <f t="array" aca="1" ref="O138" ca="1">[1]!UNIFORM_INV(RAND(),Sheet2!Q$21-SQRT(3)*Sheet2!Q$22,Sheet2!Q$21+SQRT(3)*Sheet2!Q$22)</f>
        <v>22.8721092075521</v>
      </c>
      <c r="P138" s="8" cm="1">
        <f t="array" aca="1" ref="P138" ca="1">[1]!UNIFORM_INV(RAND(),Sheet2!R$21-SQRT(3)*Sheet2!R$22,Sheet2!R$21+SQRT(3)*Sheet2!R$22)</f>
        <v>6.6897643755551544</v>
      </c>
      <c r="Q138" s="8" cm="1">
        <f t="array" aca="1" ref="Q138" ca="1">[1]!UNIFORM_INV(RAND(),Sheet2!S$21-SQRT(3)*Sheet2!S$22,Sheet2!S$21+SQRT(3)*Sheet2!S$22)</f>
        <v>6.8278494681572228</v>
      </c>
      <c r="R138" s="8" cm="1">
        <f t="array" aca="1" ref="R138" ca="1">[1]!UNIFORM_INV(RAND(),Sheet2!T$21-SQRT(3)*Sheet2!T$22,Sheet2!T$21+SQRT(3)*Sheet2!T$22)</f>
        <v>9.2573855660245812</v>
      </c>
      <c r="S138" s="8" cm="1">
        <f t="array" aca="1" ref="S138" ca="1">[1]!UNIFORM_INV(RAND(),Sheet2!U$21-SQRT(3)*Sheet2!U$22,Sheet2!U$21+SQRT(3)*Sheet2!U$22)</f>
        <v>24.544041980115022</v>
      </c>
      <c r="T138" s="8" cm="1">
        <f t="array" aca="1" ref="T138" ca="1">[1]!UNIFORM_INV(RAND(),Sheet2!V$21-SQRT(3)*Sheet2!V$22,Sheet2!V$21+SQRT(3)*Sheet2!V$22)</f>
        <v>23.699142779846909</v>
      </c>
      <c r="U138" s="8" cm="1">
        <f t="array" aca="1" ref="U138" ca="1">[1]!UNIFORM_INV(RAND(),Sheet2!W$21-SQRT(3)*Sheet2!W$22,Sheet2!W$21+SQRT(3)*Sheet2!W$22)</f>
        <v>34.132146411880335</v>
      </c>
      <c r="V138" s="8" cm="1">
        <f t="array" aca="1" ref="V138" ca="1">[1]!UNIFORM_INV(RAND(),Sheet2!X$21-SQRT(3)*Sheet2!X$22,Sheet2!X$21+SQRT(3)*Sheet2!X$22)</f>
        <v>22.494726041425306</v>
      </c>
      <c r="W138" s="8" cm="1">
        <f t="array" aca="1" ref="W138" ca="1">[1]!UNIFORM_INV(RAND(),Sheet2!Y$21-SQRT(3)*Sheet2!Y$22,Sheet2!Y$21+SQRT(3)*Sheet2!Y$22)</f>
        <v>14.055970466080186</v>
      </c>
      <c r="X138" s="8" cm="1">
        <f t="array" aca="1" ref="X138" ca="1">[1]!UNIFORM_INV(RAND(),Sheet2!Z$21-SQRT(3)*Sheet2!Z$22,Sheet2!Z$21+SQRT(3)*Sheet2!Z$22)</f>
        <v>11.338631877736892</v>
      </c>
      <c r="AX138" s="7">
        <f ca="1">Sheet2!C$21+('RNG HERE'!A138-'RNG HERE'!Y$122)*Sheet2!C$22/'RNG HERE'!Y$123</f>
        <v>6.7333999531875719</v>
      </c>
      <c r="AY138" s="7">
        <f ca="1">Sheet2!D$21+('RNG HERE'!B138-'RNG HERE'!Z$122)*Sheet2!D$22/'RNG HERE'!Z$123</f>
        <v>6.9692890138769927</v>
      </c>
      <c r="AZ138" s="7">
        <f ca="1">Sheet2!E$21+('RNG HERE'!C138-'RNG HERE'!AA$122)*Sheet2!E$22/'RNG HERE'!AA$123</f>
        <v>25.327617959579367</v>
      </c>
      <c r="BA138" s="7">
        <f ca="1">Sheet2!F$21+('RNG HERE'!D138-'RNG HERE'!AB$122)*Sheet2!F$22/'RNG HERE'!AB$123</f>
        <v>10.577129695754479</v>
      </c>
      <c r="BB138" s="7">
        <f ca="1">Sheet2!G$21+('RNG HERE'!E138-'RNG HERE'!AC$122)*Sheet2!G$22/'RNG HERE'!AC$123</f>
        <v>50.714682499904555</v>
      </c>
      <c r="BC138" s="7">
        <f ca="1">Sheet2!H$21+('RNG HERE'!F138-'RNG HERE'!AD$122)*Sheet2!H$22/'RNG HERE'!AD$123</f>
        <v>24.433768185322837</v>
      </c>
      <c r="BD138" s="7">
        <f ca="1">Sheet2!I$21+('RNG HERE'!G138-'RNG HERE'!AE$122)*Sheet2!I$22/'RNG HERE'!AE$123</f>
        <v>9.7150134105160575</v>
      </c>
      <c r="BE138" s="7">
        <f ca="1">Sheet2!J$21+('RNG HERE'!H138-'RNG HERE'!AF$122)*Sheet2!J$22/'RNG HERE'!AF$123</f>
        <v>28.645725194416105</v>
      </c>
      <c r="BF138" s="7">
        <f ca="1">Sheet2!K$21+('RNG HERE'!I138-'RNG HERE'!AG$122)*Sheet2!K$22/'RNG HERE'!AG$123</f>
        <v>18.30899459554394</v>
      </c>
      <c r="BG138" s="7">
        <f ca="1">Sheet2!L$21+('RNG HERE'!J138-'RNG HERE'!AH$122)*Sheet2!L$22/'RNG HERE'!AH$123</f>
        <v>26.106239980056944</v>
      </c>
      <c r="BH138" s="7">
        <f ca="1">Sheet2!M$21+('RNG HERE'!K138-'RNG HERE'!AI$122)*Sheet2!M$22/'RNG HERE'!AI$123</f>
        <v>13.915025542867349</v>
      </c>
      <c r="BI138" s="7">
        <f ca="1">Sheet2!N$21+('RNG HERE'!L138-'RNG HERE'!AJ$122)*Sheet2!N$22/'RNG HERE'!AJ$123</f>
        <v>8.5001983990403467</v>
      </c>
      <c r="BJ138" s="7">
        <f ca="1">Sheet2!O$21+('RNG HERE'!M138-'RNG HERE'!AK$122)*Sheet2!O$22/'RNG HERE'!AK$123</f>
        <v>8.6509300483787328</v>
      </c>
      <c r="BK138" s="7">
        <f ca="1">Sheet2!P$21+('RNG HERE'!N138-'RNG HERE'!AL$122)*Sheet2!P$22/'RNG HERE'!AL$123</f>
        <v>17.025833333885327</v>
      </c>
      <c r="BL138" s="7">
        <f ca="1">Sheet2!Q$21+('RNG HERE'!O138-'RNG HERE'!AM$122)*Sheet2!Q$22/'RNG HERE'!AM$123</f>
        <v>22.708091751179406</v>
      </c>
      <c r="BM138" s="7">
        <f ca="1">Sheet2!R$21+('RNG HERE'!P138-'RNG HERE'!AN$122)*Sheet2!R$22/'RNG HERE'!AN$123</f>
        <v>6.6800435650829577</v>
      </c>
      <c r="BN138" s="7">
        <f ca="1">Sheet2!S$21+('RNG HERE'!Q138-'RNG HERE'!AO$122)*Sheet2!S$22/'RNG HERE'!AO$123</f>
        <v>7.0297273061147685</v>
      </c>
      <c r="BO138" s="7">
        <f ca="1">Sheet2!T$21+('RNG HERE'!R138-'RNG HERE'!AP$122)*Sheet2!T$22/'RNG HERE'!AP$123</f>
        <v>9.18369505707755</v>
      </c>
      <c r="BP138" s="7">
        <f ca="1">Sheet2!U$21+('RNG HERE'!S138-'RNG HERE'!AQ$122)*Sheet2!U$22/'RNG HERE'!AQ$123</f>
        <v>24.230222148471334</v>
      </c>
      <c r="BQ138" s="7">
        <f ca="1">Sheet2!V$21+('RNG HERE'!T138-'RNG HERE'!AR$122)*Sheet2!V$22/'RNG HERE'!AR$123</f>
        <v>23.642800465518174</v>
      </c>
      <c r="BR138" s="7">
        <f ca="1">Sheet2!W$21+('RNG HERE'!U138-'RNG HERE'!AS$122)*Sheet2!W$22/'RNG HERE'!AS$123</f>
        <v>34.095090840911041</v>
      </c>
      <c r="BS138" s="7">
        <f ca="1">Sheet2!X$21+('RNG HERE'!V138-'RNG HERE'!AT$122)*Sheet2!X$22/'RNG HERE'!AT$123</f>
        <v>22.685998962015297</v>
      </c>
      <c r="BT138" s="7">
        <f ca="1">Sheet2!Y$21+('RNG HERE'!W138-'RNG HERE'!AU$122)*Sheet2!Y$22/'RNG HERE'!AU$123</f>
        <v>14.040904784328985</v>
      </c>
      <c r="BU138" s="7">
        <f ca="1">Sheet2!Z$21+('RNG HERE'!X138-'RNG HERE'!AV$122)*Sheet2!Z$22/'RNG HERE'!AV$123</f>
        <v>11.385294064636648</v>
      </c>
    </row>
    <row r="139" spans="1:73" x14ac:dyDescent="0.3">
      <c r="A139" s="8" cm="1">
        <f t="array" aca="1" ref="A139" ca="1">[1]!UNIFORM_INV(RAND(),Sheet2!C$21-SQRT(3)*Sheet2!C$22,Sheet2!C$21+SQRT(3)*Sheet2!C$22)</f>
        <v>3.9256302481264727</v>
      </c>
      <c r="B139" s="8" cm="1">
        <f t="array" aca="1" ref="B139" ca="1">[1]!UNIFORM_INV(RAND(),Sheet2!D$21-SQRT(3)*Sheet2!D$22,Sheet2!D$21+SQRT(3)*Sheet2!D$22)</f>
        <v>5.7519485926427043</v>
      </c>
      <c r="C139" s="8" cm="1">
        <f t="array" aca="1" ref="C139" ca="1">[1]!UNIFORM_INV(RAND(),Sheet2!E$21-SQRT(3)*Sheet2!E$22,Sheet2!E$21+SQRT(3)*Sheet2!E$22)</f>
        <v>25.327093940520349</v>
      </c>
      <c r="D139" s="8" cm="1">
        <f t="array" aca="1" ref="D139" ca="1">[1]!UNIFORM_INV(RAND(),Sheet2!F$21-SQRT(3)*Sheet2!F$22,Sheet2!F$21+SQRT(3)*Sheet2!F$22)</f>
        <v>11.281402159792901</v>
      </c>
      <c r="E139" s="8" cm="1">
        <f t="array" aca="1" ref="E139" ca="1">[1]!UNIFORM_INV(RAND(),Sheet2!G$21-SQRT(3)*Sheet2!G$22,Sheet2!G$21+SQRT(3)*Sheet2!G$22)</f>
        <v>34.98453061875643</v>
      </c>
      <c r="F139" s="8" cm="1">
        <f t="array" aca="1" ref="F139" ca="1">[1]!UNIFORM_INV(RAND(),Sheet2!H$21-SQRT(3)*Sheet2!H$22,Sheet2!H$21+SQRT(3)*Sheet2!H$22)</f>
        <v>17.811918538797631</v>
      </c>
      <c r="G139" s="8" cm="1">
        <f t="array" aca="1" ref="G139" ca="1">[1]!UNIFORM_INV(RAND(),Sheet2!I$21-SQRT(3)*Sheet2!I$22,Sheet2!I$21+SQRT(3)*Sheet2!I$22)</f>
        <v>9.1847853993311421</v>
      </c>
      <c r="H139" s="8" cm="1">
        <f t="array" aca="1" ref="H139" ca="1">[1]!UNIFORM_INV(RAND(),Sheet2!J$21-SQRT(3)*Sheet2!J$22,Sheet2!J$21+SQRT(3)*Sheet2!J$22)</f>
        <v>27.52420128058565</v>
      </c>
      <c r="I139" s="8" cm="1">
        <f t="array" aca="1" ref="I139" ca="1">[1]!UNIFORM_INV(RAND(),Sheet2!K$21-SQRT(3)*Sheet2!K$22,Sheet2!K$21+SQRT(3)*Sheet2!K$22)</f>
        <v>17.955797337105356</v>
      </c>
      <c r="J139" s="8" cm="1">
        <f t="array" aca="1" ref="J139" ca="1">[1]!UNIFORM_INV(RAND(),Sheet2!L$21-SQRT(3)*Sheet2!L$22,Sheet2!L$21+SQRT(3)*Sheet2!L$22)</f>
        <v>26.889025660534209</v>
      </c>
      <c r="K139" s="8" cm="1">
        <f t="array" aca="1" ref="K139" ca="1">[1]!UNIFORM_INV(RAND(),Sheet2!M$21-SQRT(3)*Sheet2!M$22,Sheet2!M$21+SQRT(3)*Sheet2!M$22)</f>
        <v>17.760730593027837</v>
      </c>
      <c r="L139" s="8" cm="1">
        <f t="array" aca="1" ref="L139" ca="1">[1]!UNIFORM_INV(RAND(),Sheet2!N$21-SQRT(3)*Sheet2!N$22,Sheet2!N$21+SQRT(3)*Sheet2!N$22)</f>
        <v>8.2438834654535516</v>
      </c>
      <c r="M139" s="8" cm="1">
        <f t="array" aca="1" ref="M139" ca="1">[1]!UNIFORM_INV(RAND(),Sheet2!O$21-SQRT(3)*Sheet2!O$22,Sheet2!O$21+SQRT(3)*Sheet2!O$22)</f>
        <v>8.930883722086703</v>
      </c>
      <c r="N139" s="8" cm="1">
        <f t="array" aca="1" ref="N139" ca="1">[1]!UNIFORM_INV(RAND(),Sheet2!P$21-SQRT(3)*Sheet2!P$22,Sheet2!P$21+SQRT(3)*Sheet2!P$22)</f>
        <v>18.296243453741965</v>
      </c>
      <c r="O139" s="8" cm="1">
        <f t="array" aca="1" ref="O139" ca="1">[1]!UNIFORM_INV(RAND(),Sheet2!Q$21-SQRT(3)*Sheet2!Q$22,Sheet2!Q$21+SQRT(3)*Sheet2!Q$22)</f>
        <v>19.287792783289106</v>
      </c>
      <c r="P139" s="8" cm="1">
        <f t="array" aca="1" ref="P139" ca="1">[1]!UNIFORM_INV(RAND(),Sheet2!R$21-SQRT(3)*Sheet2!R$22,Sheet2!R$21+SQRT(3)*Sheet2!R$22)</f>
        <v>7.8263348976909857</v>
      </c>
      <c r="Q139" s="8" cm="1">
        <f t="array" aca="1" ref="Q139" ca="1">[1]!UNIFORM_INV(RAND(),Sheet2!S$21-SQRT(3)*Sheet2!S$22,Sheet2!S$21+SQRT(3)*Sheet2!S$22)</f>
        <v>5.8926296395443378</v>
      </c>
      <c r="R139" s="8" cm="1">
        <f t="array" aca="1" ref="R139" ca="1">[1]!UNIFORM_INV(RAND(),Sheet2!T$21-SQRT(3)*Sheet2!T$22,Sheet2!T$21+SQRT(3)*Sheet2!T$22)</f>
        <v>9.7447705992268041</v>
      </c>
      <c r="S139" s="8" cm="1">
        <f t="array" aca="1" ref="S139" ca="1">[1]!UNIFORM_INV(RAND(),Sheet2!U$21-SQRT(3)*Sheet2!U$22,Sheet2!U$21+SQRT(3)*Sheet2!U$22)</f>
        <v>22.929446654591445</v>
      </c>
      <c r="T139" s="8" cm="1">
        <f t="array" aca="1" ref="T139" ca="1">[1]!UNIFORM_INV(RAND(),Sheet2!V$21-SQRT(3)*Sheet2!V$22,Sheet2!V$21+SQRT(3)*Sheet2!V$22)</f>
        <v>20.147212763907145</v>
      </c>
      <c r="U139" s="8" cm="1">
        <f t="array" aca="1" ref="U139" ca="1">[1]!UNIFORM_INV(RAND(),Sheet2!W$21-SQRT(3)*Sheet2!W$22,Sheet2!W$21+SQRT(3)*Sheet2!W$22)</f>
        <v>31.146879928970616</v>
      </c>
      <c r="V139" s="8" cm="1">
        <f t="array" aca="1" ref="V139" ca="1">[1]!UNIFORM_INV(RAND(),Sheet2!X$21-SQRT(3)*Sheet2!X$22,Sheet2!X$21+SQRT(3)*Sheet2!X$22)</f>
        <v>18.071109968982949</v>
      </c>
      <c r="W139" s="8" cm="1">
        <f t="array" aca="1" ref="W139" ca="1">[1]!UNIFORM_INV(RAND(),Sheet2!Y$21-SQRT(3)*Sheet2!Y$22,Sheet2!Y$21+SQRT(3)*Sheet2!Y$22)</f>
        <v>15.435527981771532</v>
      </c>
      <c r="X139" s="8" cm="1">
        <f t="array" aca="1" ref="X139" ca="1">[1]!UNIFORM_INV(RAND(),Sheet2!Z$21-SQRT(3)*Sheet2!Z$22,Sheet2!Z$21+SQRT(3)*Sheet2!Z$22)</f>
        <v>11.40790930417637</v>
      </c>
      <c r="AX139" s="7">
        <f ca="1">Sheet2!C$21+('RNG HERE'!A139-'RNG HERE'!Y$122)*Sheet2!C$22/'RNG HERE'!Y$123</f>
        <v>4.2309484947157951</v>
      </c>
      <c r="AY139" s="7">
        <f ca="1">Sheet2!D$21+('RNG HERE'!B139-'RNG HERE'!Z$122)*Sheet2!D$22/'RNG HERE'!Z$123</f>
        <v>6.0191817672390568</v>
      </c>
      <c r="AZ139" s="7">
        <f ca="1">Sheet2!E$21+('RNG HERE'!C139-'RNG HERE'!AA$122)*Sheet2!E$22/'RNG HERE'!AA$123</f>
        <v>26.228394921866165</v>
      </c>
      <c r="BA139" s="7">
        <f ca="1">Sheet2!F$21+('RNG HERE'!D139-'RNG HERE'!AB$122)*Sheet2!F$22/'RNG HERE'!AB$123</f>
        <v>12.297161849936295</v>
      </c>
      <c r="BB139" s="7">
        <f ca="1">Sheet2!G$21+('RNG HERE'!E139-'RNG HERE'!AC$122)*Sheet2!G$22/'RNG HERE'!AC$123</f>
        <v>33.483958000769313</v>
      </c>
      <c r="BC139" s="7">
        <f ca="1">Sheet2!H$21+('RNG HERE'!F139-'RNG HERE'!AD$122)*Sheet2!H$22/'RNG HERE'!AD$123</f>
        <v>17.952787386889455</v>
      </c>
      <c r="BD139" s="7">
        <f ca="1">Sheet2!I$21+('RNG HERE'!G139-'RNG HERE'!AE$122)*Sheet2!I$22/'RNG HERE'!AE$123</f>
        <v>9.2143408187430893</v>
      </c>
      <c r="BE139" s="7">
        <f ca="1">Sheet2!J$21+('RNG HERE'!H139-'RNG HERE'!AF$122)*Sheet2!J$22/'RNG HERE'!AF$123</f>
        <v>27.689731669916654</v>
      </c>
      <c r="BF139" s="7">
        <f ca="1">Sheet2!K$21+('RNG HERE'!I139-'RNG HERE'!AG$122)*Sheet2!K$22/'RNG HERE'!AG$123</f>
        <v>18.19254436140049</v>
      </c>
      <c r="BG139" s="7">
        <f ca="1">Sheet2!L$21+('RNG HERE'!J139-'RNG HERE'!AH$122)*Sheet2!L$22/'RNG HERE'!AH$123</f>
        <v>26.606021389405722</v>
      </c>
      <c r="BH139" s="7">
        <f ca="1">Sheet2!M$21+('RNG HERE'!K139-'RNG HERE'!AI$122)*Sheet2!M$22/'RNG HERE'!AI$123</f>
        <v>17.934266222974529</v>
      </c>
      <c r="BI139" s="7">
        <f ca="1">Sheet2!N$21+('RNG HERE'!L139-'RNG HERE'!AJ$122)*Sheet2!N$22/'RNG HERE'!AJ$123</f>
        <v>8.0057289109140708</v>
      </c>
      <c r="BJ139" s="7">
        <f ca="1">Sheet2!O$21+('RNG HERE'!M139-'RNG HERE'!AK$122)*Sheet2!O$22/'RNG HERE'!AK$123</f>
        <v>9.0628406035611562</v>
      </c>
      <c r="BK139" s="7">
        <f ca="1">Sheet2!P$21+('RNG HERE'!N139-'RNG HERE'!AL$122)*Sheet2!P$22/'RNG HERE'!AL$123</f>
        <v>18.890285839934037</v>
      </c>
      <c r="BL139" s="7">
        <f ca="1">Sheet2!Q$21+('RNG HERE'!O139-'RNG HERE'!AM$122)*Sheet2!Q$22/'RNG HERE'!AM$123</f>
        <v>18.855625231910192</v>
      </c>
      <c r="BM139" s="7">
        <f ca="1">Sheet2!R$21+('RNG HERE'!P139-'RNG HERE'!AN$122)*Sheet2!R$22/'RNG HERE'!AN$123</f>
        <v>7.7174238446319183</v>
      </c>
      <c r="BN139" s="7">
        <f ca="1">Sheet2!S$21+('RNG HERE'!Q139-'RNG HERE'!AO$122)*Sheet2!S$22/'RNG HERE'!AO$123</f>
        <v>5.9572557520218385</v>
      </c>
      <c r="BO139" s="7">
        <f ca="1">Sheet2!T$21+('RNG HERE'!R139-'RNG HERE'!AP$122)*Sheet2!T$22/'RNG HERE'!AP$123</f>
        <v>9.7403413924163402</v>
      </c>
      <c r="BP139" s="7">
        <f ca="1">Sheet2!U$21+('RNG HERE'!S139-'RNG HERE'!AQ$122)*Sheet2!U$22/'RNG HERE'!AQ$123</f>
        <v>22.742865575310251</v>
      </c>
      <c r="BQ139" s="7">
        <f ca="1">Sheet2!V$21+('RNG HERE'!T139-'RNG HERE'!AR$122)*Sheet2!V$22/'RNG HERE'!AR$123</f>
        <v>20.036860826292191</v>
      </c>
      <c r="BR139" s="7">
        <f ca="1">Sheet2!W$21+('RNG HERE'!U139-'RNG HERE'!AS$122)*Sheet2!W$22/'RNG HERE'!AS$123</f>
        <v>31.290378934793367</v>
      </c>
      <c r="BS139" s="7">
        <f ca="1">Sheet2!X$21+('RNG HERE'!V139-'RNG HERE'!AT$122)*Sheet2!X$22/'RNG HERE'!AT$123</f>
        <v>18.456505518287429</v>
      </c>
      <c r="BT139" s="7">
        <f ca="1">Sheet2!Y$21+('RNG HERE'!W139-'RNG HERE'!AU$122)*Sheet2!Y$22/'RNG HERE'!AU$123</f>
        <v>15.52147455098476</v>
      </c>
      <c r="BU139" s="7">
        <f ca="1">Sheet2!Z$21+('RNG HERE'!X139-'RNG HERE'!AV$122)*Sheet2!Z$22/'RNG HERE'!AV$123</f>
        <v>11.458839668439715</v>
      </c>
    </row>
    <row r="140" spans="1:73" x14ac:dyDescent="0.3">
      <c r="A140" s="8" cm="1">
        <f t="array" aca="1" ref="A140" ca="1">[1]!UNIFORM_INV(RAND(),Sheet2!C$21-SQRT(3)*Sheet2!C$22,Sheet2!C$21+SQRT(3)*Sheet2!C$22)</f>
        <v>5.3776353109337451</v>
      </c>
      <c r="B140" s="8" cm="1">
        <f t="array" aca="1" ref="B140" ca="1">[1]!UNIFORM_INV(RAND(),Sheet2!D$21-SQRT(3)*Sheet2!D$22,Sheet2!D$21+SQRT(3)*Sheet2!D$22)</f>
        <v>7.6189787496060974</v>
      </c>
      <c r="C140" s="8" cm="1">
        <f t="array" aca="1" ref="C140" ca="1">[1]!UNIFORM_INV(RAND(),Sheet2!E$21-SQRT(3)*Sheet2!E$22,Sheet2!E$21+SQRT(3)*Sheet2!E$22)</f>
        <v>19.338853240477054</v>
      </c>
      <c r="D140" s="8" cm="1">
        <f t="array" aca="1" ref="D140" ca="1">[1]!UNIFORM_INV(RAND(),Sheet2!F$21-SQRT(3)*Sheet2!F$22,Sheet2!F$21+SQRT(3)*Sheet2!F$22)</f>
        <v>1.512344238442783</v>
      </c>
      <c r="E140" s="8" cm="1">
        <f t="array" aca="1" ref="E140" ca="1">[1]!UNIFORM_INV(RAND(),Sheet2!G$21-SQRT(3)*Sheet2!G$22,Sheet2!G$21+SQRT(3)*Sheet2!G$22)</f>
        <v>47.54121891363873</v>
      </c>
      <c r="F140" s="8" cm="1">
        <f t="array" aca="1" ref="F140" ca="1">[1]!UNIFORM_INV(RAND(),Sheet2!H$21-SQRT(3)*Sheet2!H$22,Sheet2!H$21+SQRT(3)*Sheet2!H$22)</f>
        <v>14.019095289435151</v>
      </c>
      <c r="G140" s="8" cm="1">
        <f t="array" aca="1" ref="G140" ca="1">[1]!UNIFORM_INV(RAND(),Sheet2!I$21-SQRT(3)*Sheet2!I$22,Sheet2!I$21+SQRT(3)*Sheet2!I$22)</f>
        <v>9.7320348318442491</v>
      </c>
      <c r="H140" s="8" cm="1">
        <f t="array" aca="1" ref="H140" ca="1">[1]!UNIFORM_INV(RAND(),Sheet2!J$21-SQRT(3)*Sheet2!J$22,Sheet2!J$21+SQRT(3)*Sheet2!J$22)</f>
        <v>27.639167352804435</v>
      </c>
      <c r="I140" s="8" cm="1">
        <f t="array" aca="1" ref="I140" ca="1">[1]!UNIFORM_INV(RAND(),Sheet2!K$21-SQRT(3)*Sheet2!K$22,Sheet2!K$21+SQRT(3)*Sheet2!K$22)</f>
        <v>20.170278233611047</v>
      </c>
      <c r="J140" s="8" cm="1">
        <f t="array" aca="1" ref="J140" ca="1">[1]!UNIFORM_INV(RAND(),Sheet2!L$21-SQRT(3)*Sheet2!L$22,Sheet2!L$21+SQRT(3)*Sheet2!L$22)</f>
        <v>25.31199022069822</v>
      </c>
      <c r="K140" s="8" cm="1">
        <f t="array" aca="1" ref="K140" ca="1">[1]!UNIFORM_INV(RAND(),Sheet2!M$21-SQRT(3)*Sheet2!M$22,Sheet2!M$21+SQRT(3)*Sheet2!M$22)</f>
        <v>18.103706593428559</v>
      </c>
      <c r="L140" s="8" cm="1">
        <f t="array" aca="1" ref="L140" ca="1">[1]!UNIFORM_INV(RAND(),Sheet2!N$21-SQRT(3)*Sheet2!N$22,Sheet2!N$21+SQRT(3)*Sheet2!N$22)</f>
        <v>7.4170577614297706</v>
      </c>
      <c r="M140" s="8" cm="1">
        <f t="array" aca="1" ref="M140" ca="1">[1]!UNIFORM_INV(RAND(),Sheet2!O$21-SQRT(3)*Sheet2!O$22,Sheet2!O$21+SQRT(3)*Sheet2!O$22)</f>
        <v>6.9772260229999548</v>
      </c>
      <c r="N140" s="8" cm="1">
        <f t="array" aca="1" ref="N140" ca="1">[1]!UNIFORM_INV(RAND(),Sheet2!P$21-SQRT(3)*Sheet2!P$22,Sheet2!P$21+SQRT(3)*Sheet2!P$22)</f>
        <v>21.508024155814248</v>
      </c>
      <c r="O140" s="8" cm="1">
        <f t="array" aca="1" ref="O140" ca="1">[1]!UNIFORM_INV(RAND(),Sheet2!Q$21-SQRT(3)*Sheet2!Q$22,Sheet2!Q$21+SQRT(3)*Sheet2!Q$22)</f>
        <v>21.401105599263939</v>
      </c>
      <c r="P140" s="8" cm="1">
        <f t="array" aca="1" ref="P140" ca="1">[1]!UNIFORM_INV(RAND(),Sheet2!R$21-SQRT(3)*Sheet2!R$22,Sheet2!R$21+SQRT(3)*Sheet2!R$22)</f>
        <v>2.5334610185999242</v>
      </c>
      <c r="Q140" s="8" cm="1">
        <f t="array" aca="1" ref="Q140" ca="1">[1]!UNIFORM_INV(RAND(),Sheet2!S$21-SQRT(3)*Sheet2!S$22,Sheet2!S$21+SQRT(3)*Sheet2!S$22)</f>
        <v>5.2237341184613681</v>
      </c>
      <c r="R140" s="8" cm="1">
        <f t="array" aca="1" ref="R140" ca="1">[1]!UNIFORM_INV(RAND(),Sheet2!T$21-SQRT(3)*Sheet2!T$22,Sheet2!T$21+SQRT(3)*Sheet2!T$22)</f>
        <v>7.9719048137406547</v>
      </c>
      <c r="S140" s="8" cm="1">
        <f t="array" aca="1" ref="S140" ca="1">[1]!UNIFORM_INV(RAND(),Sheet2!U$21-SQRT(3)*Sheet2!U$22,Sheet2!U$21+SQRT(3)*Sheet2!U$22)</f>
        <v>25.395330126796392</v>
      </c>
      <c r="T140" s="8" cm="1">
        <f t="array" aca="1" ref="T140" ca="1">[1]!UNIFORM_INV(RAND(),Sheet2!V$21-SQRT(3)*Sheet2!V$22,Sheet2!V$21+SQRT(3)*Sheet2!V$22)</f>
        <v>22.625502186331396</v>
      </c>
      <c r="U140" s="8" cm="1">
        <f t="array" aca="1" ref="U140" ca="1">[1]!UNIFORM_INV(RAND(),Sheet2!W$21-SQRT(3)*Sheet2!W$22,Sheet2!W$21+SQRT(3)*Sheet2!W$22)</f>
        <v>33.269589064360133</v>
      </c>
      <c r="V140" s="8" cm="1">
        <f t="array" aca="1" ref="V140" ca="1">[1]!UNIFORM_INV(RAND(),Sheet2!X$21-SQRT(3)*Sheet2!X$22,Sheet2!X$21+SQRT(3)*Sheet2!X$22)</f>
        <v>18.903555309722378</v>
      </c>
      <c r="W140" s="8" cm="1">
        <f t="array" aca="1" ref="W140" ca="1">[1]!UNIFORM_INV(RAND(),Sheet2!Y$21-SQRT(3)*Sheet2!Y$22,Sheet2!Y$21+SQRT(3)*Sheet2!Y$22)</f>
        <v>14.280971159027381</v>
      </c>
      <c r="X140" s="8" cm="1">
        <f t="array" aca="1" ref="X140" ca="1">[1]!UNIFORM_INV(RAND(),Sheet2!Z$21-SQRT(3)*Sheet2!Z$22,Sheet2!Z$21+SQRT(3)*Sheet2!Z$22)</f>
        <v>10.439053954090198</v>
      </c>
      <c r="AX140" s="7">
        <f ca="1">Sheet2!C$21+('RNG HERE'!A140-'RNG HERE'!Y$122)*Sheet2!C$22/'RNG HERE'!Y$123</f>
        <v>5.6227929268212407</v>
      </c>
      <c r="AY140" s="7">
        <f ca="1">Sheet2!D$21+('RNG HERE'!B140-'RNG HERE'!Z$122)*Sheet2!D$22/'RNG HERE'!Z$123</f>
        <v>7.8496914720858353</v>
      </c>
      <c r="AZ140" s="7">
        <f ca="1">Sheet2!E$21+('RNG HERE'!C140-'RNG HERE'!AA$122)*Sheet2!E$22/'RNG HERE'!AA$123</f>
        <v>20.282232577709568</v>
      </c>
      <c r="BA140" s="7">
        <f ca="1">Sheet2!F$21+('RNG HERE'!D140-'RNG HERE'!AB$122)*Sheet2!F$22/'RNG HERE'!AB$123</f>
        <v>1.6875354246160086</v>
      </c>
      <c r="BB140" s="7">
        <f ca="1">Sheet2!G$21+('RNG HERE'!E140-'RNG HERE'!AC$122)*Sheet2!G$22/'RNG HERE'!AC$123</f>
        <v>46.898861280801825</v>
      </c>
      <c r="BC140" s="7">
        <f ca="1">Sheet2!H$21+('RNG HERE'!F140-'RNG HERE'!AD$122)*Sheet2!H$22/'RNG HERE'!AD$123</f>
        <v>14.066093910943149</v>
      </c>
      <c r="BD140" s="7">
        <f ca="1">Sheet2!I$21+('RNG HERE'!G140-'RNG HERE'!AE$122)*Sheet2!I$22/'RNG HERE'!AE$123</f>
        <v>9.7560319462504328</v>
      </c>
      <c r="BE140" s="7">
        <f ca="1">Sheet2!J$21+('RNG HERE'!H140-'RNG HERE'!AF$122)*Sheet2!J$22/'RNG HERE'!AF$123</f>
        <v>27.815283849781306</v>
      </c>
      <c r="BF140" s="7">
        <f ca="1">Sheet2!K$21+('RNG HERE'!I140-'RNG HERE'!AG$122)*Sheet2!K$22/'RNG HERE'!AG$123</f>
        <v>20.346406750289837</v>
      </c>
      <c r="BG140" s="7">
        <f ca="1">Sheet2!L$21+('RNG HERE'!J140-'RNG HERE'!AH$122)*Sheet2!L$22/'RNG HERE'!AH$123</f>
        <v>24.928787773074653</v>
      </c>
      <c r="BH140" s="7">
        <f ca="1">Sheet2!M$21+('RNG HERE'!K140-'RNG HERE'!AI$122)*Sheet2!M$22/'RNG HERE'!AI$123</f>
        <v>18.302922458313265</v>
      </c>
      <c r="BI140" s="7">
        <f ca="1">Sheet2!N$21+('RNG HERE'!L140-'RNG HERE'!AJ$122)*Sheet2!N$22/'RNG HERE'!AJ$123</f>
        <v>7.2289365672076515</v>
      </c>
      <c r="BJ140" s="7">
        <f ca="1">Sheet2!O$21+('RNG HERE'!M140-'RNG HERE'!AK$122)*Sheet2!O$22/'RNG HERE'!AK$123</f>
        <v>7.046572258665007</v>
      </c>
      <c r="BK140" s="7">
        <f ca="1">Sheet2!P$21+('RNG HERE'!N140-'RNG HERE'!AL$122)*Sheet2!P$22/'RNG HERE'!AL$123</f>
        <v>22.355989054654668</v>
      </c>
      <c r="BL140" s="7">
        <f ca="1">Sheet2!Q$21+('RNG HERE'!O140-'RNG HERE'!AM$122)*Sheet2!Q$22/'RNG HERE'!AM$123</f>
        <v>21.127039332845669</v>
      </c>
      <c r="BM140" s="7">
        <f ca="1">Sheet2!R$21+('RNG HERE'!P140-'RNG HERE'!AN$122)*Sheet2!R$22/'RNG HERE'!AN$123</f>
        <v>2.8864671399034076</v>
      </c>
      <c r="BN140" s="7">
        <f ca="1">Sheet2!S$21+('RNG HERE'!Q140-'RNG HERE'!AO$122)*Sheet2!S$22/'RNG HERE'!AO$123</f>
        <v>5.1901939371695427</v>
      </c>
      <c r="BO140" s="7">
        <f ca="1">Sheet2!T$21+('RNG HERE'!R140-'RNG HERE'!AP$122)*Sheet2!T$22/'RNG HERE'!AP$123</f>
        <v>7.715537232849691</v>
      </c>
      <c r="BP140" s="7">
        <f ca="1">Sheet2!U$21+('RNG HERE'!S140-'RNG HERE'!AQ$122)*Sheet2!U$22/'RNG HERE'!AQ$123</f>
        <v>25.014424233417948</v>
      </c>
      <c r="BQ140" s="7">
        <f ca="1">Sheet2!V$21+('RNG HERE'!T140-'RNG HERE'!AR$122)*Sheet2!V$22/'RNG HERE'!AR$123</f>
        <v>22.552834402823837</v>
      </c>
      <c r="BR140" s="7">
        <f ca="1">Sheet2!W$21+('RNG HERE'!U140-'RNG HERE'!AS$122)*Sheet2!W$22/'RNG HERE'!AS$123</f>
        <v>33.284702597131485</v>
      </c>
      <c r="BS140" s="7">
        <f ca="1">Sheet2!X$21+('RNG HERE'!V140-'RNG HERE'!AT$122)*Sheet2!X$22/'RNG HERE'!AT$123</f>
        <v>19.25242045603548</v>
      </c>
      <c r="BT140" s="7">
        <f ca="1">Sheet2!Y$21+('RNG HERE'!W140-'RNG HERE'!AU$122)*Sheet2!Y$22/'RNG HERE'!AU$123</f>
        <v>14.282380199210309</v>
      </c>
      <c r="BU140" s="7">
        <f ca="1">Sheet2!Z$21+('RNG HERE'!X140-'RNG HERE'!AV$122)*Sheet2!Z$22/'RNG HERE'!AV$123</f>
        <v>10.43029320847314</v>
      </c>
    </row>
    <row r="141" spans="1:73" x14ac:dyDescent="0.3">
      <c r="A141" s="8" cm="1">
        <f t="array" aca="1" ref="A141" ca="1">[1]!UNIFORM_INV(RAND(),Sheet2!C$21-SQRT(3)*Sheet2!C$22,Sheet2!C$21+SQRT(3)*Sheet2!C$22)</f>
        <v>3.9601038594971865</v>
      </c>
      <c r="B141" s="8" cm="1">
        <f t="array" aca="1" ref="B141" ca="1">[1]!UNIFORM_INV(RAND(),Sheet2!D$21-SQRT(3)*Sheet2!D$22,Sheet2!D$21+SQRT(3)*Sheet2!D$22)</f>
        <v>8.6410062558915826</v>
      </c>
      <c r="C141" s="8" cm="1">
        <f t="array" aca="1" ref="C141" ca="1">[1]!UNIFORM_INV(RAND(),Sheet2!E$21-SQRT(3)*Sheet2!E$22,Sheet2!E$21+SQRT(3)*Sheet2!E$22)</f>
        <v>20.902659647788347</v>
      </c>
      <c r="D141" s="8" cm="1">
        <f t="array" aca="1" ref="D141" ca="1">[1]!UNIFORM_INV(RAND(),Sheet2!F$21-SQRT(3)*Sheet2!F$22,Sheet2!F$21+SQRT(3)*Sheet2!F$22)</f>
        <v>9.7197177765215734</v>
      </c>
      <c r="E141" s="8" cm="1">
        <f t="array" aca="1" ref="E141" ca="1">[1]!UNIFORM_INV(RAND(),Sheet2!G$21-SQRT(3)*Sheet2!G$22,Sheet2!G$21+SQRT(3)*Sheet2!G$22)</f>
        <v>36.988397438796738</v>
      </c>
      <c r="F141" s="8" cm="1">
        <f t="array" aca="1" ref="F141" ca="1">[1]!UNIFORM_INV(RAND(),Sheet2!H$21-SQRT(3)*Sheet2!H$22,Sheet2!H$21+SQRT(3)*Sheet2!H$22)</f>
        <v>14.401179330991729</v>
      </c>
      <c r="G141" s="8" cm="1">
        <f t="array" aca="1" ref="G141" ca="1">[1]!UNIFORM_INV(RAND(),Sheet2!I$21-SQRT(3)*Sheet2!I$22,Sheet2!I$21+SQRT(3)*Sheet2!I$22)</f>
        <v>10.608480432792353</v>
      </c>
      <c r="H141" s="8" cm="1">
        <f t="array" aca="1" ref="H141" ca="1">[1]!UNIFORM_INV(RAND(),Sheet2!J$21-SQRT(3)*Sheet2!J$22,Sheet2!J$21+SQRT(3)*Sheet2!J$22)</f>
        <v>27.324443811074829</v>
      </c>
      <c r="I141" s="8" cm="1">
        <f t="array" aca="1" ref="I141" ca="1">[1]!UNIFORM_INV(RAND(),Sheet2!K$21-SQRT(3)*Sheet2!K$22,Sheet2!K$21+SQRT(3)*Sheet2!K$22)</f>
        <v>20.531257112375691</v>
      </c>
      <c r="J141" s="8" cm="1">
        <f t="array" aca="1" ref="J141" ca="1">[1]!UNIFORM_INV(RAND(),Sheet2!L$21-SQRT(3)*Sheet2!L$22,Sheet2!L$21+SQRT(3)*Sheet2!L$22)</f>
        <v>27.831958490117831</v>
      </c>
      <c r="K141" s="8" cm="1">
        <f t="array" aca="1" ref="K141" ca="1">[1]!UNIFORM_INV(RAND(),Sheet2!M$21-SQRT(3)*Sheet2!M$22,Sheet2!M$21+SQRT(3)*Sheet2!M$22)</f>
        <v>17.96577515238512</v>
      </c>
      <c r="L141" s="8" cm="1">
        <f t="array" aca="1" ref="L141" ca="1">[1]!UNIFORM_INV(RAND(),Sheet2!N$21-SQRT(3)*Sheet2!N$22,Sheet2!N$21+SQRT(3)*Sheet2!N$22)</f>
        <v>7.9152329173809388</v>
      </c>
      <c r="M141" s="8" cm="1">
        <f t="array" aca="1" ref="M141" ca="1">[1]!UNIFORM_INV(RAND(),Sheet2!O$21-SQRT(3)*Sheet2!O$22,Sheet2!O$21+SQRT(3)*Sheet2!O$22)</f>
        <v>6.7387012493063638</v>
      </c>
      <c r="N141" s="8" cm="1">
        <f t="array" aca="1" ref="N141" ca="1">[1]!UNIFORM_INV(RAND(),Sheet2!P$21-SQRT(3)*Sheet2!P$22,Sheet2!P$21+SQRT(3)*Sheet2!P$22)</f>
        <v>16.365968072744906</v>
      </c>
      <c r="O141" s="8" cm="1">
        <f t="array" aca="1" ref="O141" ca="1">[1]!UNIFORM_INV(RAND(),Sheet2!Q$21-SQRT(3)*Sheet2!Q$22,Sheet2!Q$21+SQRT(3)*Sheet2!Q$22)</f>
        <v>22.449895689657378</v>
      </c>
      <c r="P141" s="8" cm="1">
        <f t="array" aca="1" ref="P141" ca="1">[1]!UNIFORM_INV(RAND(),Sheet2!R$21-SQRT(3)*Sheet2!R$22,Sheet2!R$21+SQRT(3)*Sheet2!R$22)</f>
        <v>5.2271071935214186</v>
      </c>
      <c r="Q141" s="8" cm="1">
        <f t="array" aca="1" ref="Q141" ca="1">[1]!UNIFORM_INV(RAND(),Sheet2!S$21-SQRT(3)*Sheet2!S$22,Sheet2!S$21+SQRT(3)*Sheet2!S$22)</f>
        <v>5.7223165295850587</v>
      </c>
      <c r="R141" s="8" cm="1">
        <f t="array" aca="1" ref="R141" ca="1">[1]!UNIFORM_INV(RAND(),Sheet2!T$21-SQRT(3)*Sheet2!T$22,Sheet2!T$21+SQRT(3)*Sheet2!T$22)</f>
        <v>7.9624448751039889</v>
      </c>
      <c r="S141" s="8" cm="1">
        <f t="array" aca="1" ref="S141" ca="1">[1]!UNIFORM_INV(RAND(),Sheet2!U$21-SQRT(3)*Sheet2!U$22,Sheet2!U$21+SQRT(3)*Sheet2!U$22)</f>
        <v>24.495442642962701</v>
      </c>
      <c r="T141" s="8" cm="1">
        <f t="array" aca="1" ref="T141" ca="1">[1]!UNIFORM_INV(RAND(),Sheet2!V$21-SQRT(3)*Sheet2!V$22,Sheet2!V$21+SQRT(3)*Sheet2!V$22)</f>
        <v>23.404035210964668</v>
      </c>
      <c r="U141" s="8" cm="1">
        <f t="array" aca="1" ref="U141" ca="1">[1]!UNIFORM_INV(RAND(),Sheet2!W$21-SQRT(3)*Sheet2!W$22,Sheet2!W$21+SQRT(3)*Sheet2!W$22)</f>
        <v>31.162882167540438</v>
      </c>
      <c r="V141" s="8" cm="1">
        <f t="array" aca="1" ref="V141" ca="1">[1]!UNIFORM_INV(RAND(),Sheet2!X$21-SQRT(3)*Sheet2!X$22,Sheet2!X$21+SQRT(3)*Sheet2!X$22)</f>
        <v>20.73379412298064</v>
      </c>
      <c r="W141" s="8" cm="1">
        <f t="array" aca="1" ref="W141" ca="1">[1]!UNIFORM_INV(RAND(),Sheet2!Y$21-SQRT(3)*Sheet2!Y$22,Sheet2!Y$21+SQRT(3)*Sheet2!Y$22)</f>
        <v>14.818951643056877</v>
      </c>
      <c r="X141" s="8" cm="1">
        <f t="array" aca="1" ref="X141" ca="1">[1]!UNIFORM_INV(RAND(),Sheet2!Z$21-SQRT(3)*Sheet2!Z$22,Sheet2!Z$21+SQRT(3)*Sheet2!Z$22)</f>
        <v>11.330659506687892</v>
      </c>
      <c r="AX141" s="7">
        <f ca="1">Sheet2!C$21+('RNG HERE'!A141-'RNG HERE'!Y$122)*Sheet2!C$22/'RNG HERE'!Y$123</f>
        <v>4.2639937679520523</v>
      </c>
      <c r="AY141" s="7">
        <f ca="1">Sheet2!D$21+('RNG HERE'!B141-'RNG HERE'!Z$122)*Sheet2!D$22/'RNG HERE'!Z$123</f>
        <v>8.8517273855917651</v>
      </c>
      <c r="AZ141" s="7">
        <f ca="1">Sheet2!E$21+('RNG HERE'!C141-'RNG HERE'!AA$122)*Sheet2!E$22/'RNG HERE'!AA$123</f>
        <v>21.835050381549351</v>
      </c>
      <c r="BA141" s="7">
        <f ca="1">Sheet2!F$21+('RNG HERE'!D141-'RNG HERE'!AB$122)*Sheet2!F$22/'RNG HERE'!AB$123</f>
        <v>10.601103946076963</v>
      </c>
      <c r="BB141" s="7">
        <f ca="1">Sheet2!G$21+('RNG HERE'!E141-'RNG HERE'!AC$122)*Sheet2!G$22/'RNG HERE'!AC$123</f>
        <v>35.62478358675309</v>
      </c>
      <c r="BC141" s="7">
        <f ca="1">Sheet2!H$21+('RNG HERE'!F141-'RNG HERE'!AD$122)*Sheet2!H$22/'RNG HERE'!AD$123</f>
        <v>14.457634316057138</v>
      </c>
      <c r="BD141" s="7">
        <f ca="1">Sheet2!I$21+('RNG HERE'!G141-'RNG HERE'!AE$122)*Sheet2!I$22/'RNG HERE'!AE$123</f>
        <v>10.623575661364397</v>
      </c>
      <c r="BE141" s="7">
        <f ca="1">Sheet2!J$21+('RNG HERE'!H141-'RNG HERE'!AF$122)*Sheet2!J$22/'RNG HERE'!AF$123</f>
        <v>27.471580477505707</v>
      </c>
      <c r="BF141" s="7">
        <f ca="1">Sheet2!K$21+('RNG HERE'!I141-'RNG HERE'!AG$122)*Sheet2!K$22/'RNG HERE'!AG$123</f>
        <v>20.697504306101429</v>
      </c>
      <c r="BG141" s="7">
        <f ca="1">Sheet2!L$21+('RNG HERE'!J141-'RNG HERE'!AH$122)*Sheet2!L$22/'RNG HERE'!AH$123</f>
        <v>27.608864191647569</v>
      </c>
      <c r="BH141" s="7">
        <f ca="1">Sheet2!M$21+('RNG HERE'!K141-'RNG HERE'!AI$122)*Sheet2!M$22/'RNG HERE'!AI$123</f>
        <v>18.154663438059632</v>
      </c>
      <c r="BI141" s="7">
        <f ca="1">Sheet2!N$21+('RNG HERE'!L141-'RNG HERE'!AJ$122)*Sheet2!N$22/'RNG HERE'!AJ$123</f>
        <v>7.6969658569169237</v>
      </c>
      <c r="BJ141" s="7">
        <f ca="1">Sheet2!O$21+('RNG HERE'!M141-'RNG HERE'!AK$122)*Sheet2!O$22/'RNG HERE'!AK$123</f>
        <v>6.8004032645281534</v>
      </c>
      <c r="BK141" s="7">
        <f ca="1">Sheet2!P$21+('RNG HERE'!N141-'RNG HERE'!AL$122)*Sheet2!P$22/'RNG HERE'!AL$123</f>
        <v>16.807403409978196</v>
      </c>
      <c r="BL141" s="7">
        <f ca="1">Sheet2!Q$21+('RNG HERE'!O141-'RNG HERE'!AM$122)*Sheet2!Q$22/'RNG HERE'!AM$123</f>
        <v>22.254291570296452</v>
      </c>
      <c r="BM141" s="7">
        <f ca="1">Sheet2!R$21+('RNG HERE'!P141-'RNG HERE'!AN$122)*Sheet2!R$22/'RNG HERE'!AN$123</f>
        <v>5.3450347056845118</v>
      </c>
      <c r="BN141" s="7">
        <f ca="1">Sheet2!S$21+('RNG HERE'!Q141-'RNG HERE'!AO$122)*Sheet2!S$22/'RNG HERE'!AO$123</f>
        <v>5.7619476970254615</v>
      </c>
      <c r="BO141" s="7">
        <f ca="1">Sheet2!T$21+('RNG HERE'!R141-'RNG HERE'!AP$122)*Sheet2!T$22/'RNG HERE'!AP$123</f>
        <v>7.70473296145048</v>
      </c>
      <c r="BP141" s="7">
        <f ca="1">Sheet2!U$21+('RNG HERE'!S141-'RNG HERE'!AQ$122)*Sheet2!U$22/'RNG HERE'!AQ$123</f>
        <v>24.185452699172117</v>
      </c>
      <c r="BQ141" s="7">
        <f ca="1">Sheet2!V$21+('RNG HERE'!T141-'RNG HERE'!AR$122)*Sheet2!V$22/'RNG HERE'!AR$123</f>
        <v>23.343205576065788</v>
      </c>
      <c r="BR141" s="7">
        <f ca="1">Sheet2!W$21+('RNG HERE'!U141-'RNG HERE'!AS$122)*Sheet2!W$22/'RNG HERE'!AS$123</f>
        <v>31.305413327635097</v>
      </c>
      <c r="BS141" s="7">
        <f ca="1">Sheet2!X$21+('RNG HERE'!V141-'RNG HERE'!AT$122)*Sheet2!X$22/'RNG HERE'!AT$123</f>
        <v>21.002342450703104</v>
      </c>
      <c r="BT141" s="7">
        <f ca="1">Sheet2!Y$21+('RNG HERE'!W141-'RNG HERE'!AU$122)*Sheet2!Y$22/'RNG HERE'!AU$123</f>
        <v>14.859752023614272</v>
      </c>
      <c r="BU141" s="7">
        <f ca="1">Sheet2!Z$21+('RNG HERE'!X141-'RNG HERE'!AV$122)*Sheet2!Z$22/'RNG HERE'!AV$123</f>
        <v>11.37683051636883</v>
      </c>
    </row>
    <row r="142" spans="1:73" x14ac:dyDescent="0.3">
      <c r="A142" s="8" cm="1">
        <f t="array" aca="1" ref="A142" ca="1">[1]!UNIFORM_INV(RAND(),Sheet2!C$21-SQRT(3)*Sheet2!C$22,Sheet2!C$21+SQRT(3)*Sheet2!C$22)</f>
        <v>3.6423671222754366</v>
      </c>
      <c r="B142" s="8" cm="1">
        <f t="array" aca="1" ref="B142" ca="1">[1]!UNIFORM_INV(RAND(),Sheet2!D$21-SQRT(3)*Sheet2!D$22,Sheet2!D$21+SQRT(3)*Sheet2!D$22)</f>
        <v>7.2460656323191186</v>
      </c>
      <c r="C142" s="8" cm="1">
        <f t="array" aca="1" ref="C142" ca="1">[1]!UNIFORM_INV(RAND(),Sheet2!E$21-SQRT(3)*Sheet2!E$22,Sheet2!E$21+SQRT(3)*Sheet2!E$22)</f>
        <v>20.85037099506398</v>
      </c>
      <c r="D142" s="8" cm="1">
        <f t="array" aca="1" ref="D142" ca="1">[1]!UNIFORM_INV(RAND(),Sheet2!F$21-SQRT(3)*Sheet2!F$22,Sheet2!F$21+SQRT(3)*Sheet2!F$22)</f>
        <v>4.8864390472779213</v>
      </c>
      <c r="E142" s="8" cm="1">
        <f t="array" aca="1" ref="E142" ca="1">[1]!UNIFORM_INV(RAND(),Sheet2!G$21-SQRT(3)*Sheet2!G$22,Sheet2!G$21+SQRT(3)*Sheet2!G$22)</f>
        <v>44.864807822553459</v>
      </c>
      <c r="F142" s="8" cm="1">
        <f t="array" aca="1" ref="F142" ca="1">[1]!UNIFORM_INV(RAND(),Sheet2!H$21-SQRT(3)*Sheet2!H$22,Sheet2!H$21+SQRT(3)*Sheet2!H$22)</f>
        <v>23.052702132705857</v>
      </c>
      <c r="G142" s="8" cm="1">
        <f t="array" aca="1" ref="G142" ca="1">[1]!UNIFORM_INV(RAND(),Sheet2!I$21-SQRT(3)*Sheet2!I$22,Sheet2!I$21+SQRT(3)*Sheet2!I$22)</f>
        <v>9.2497545398456413</v>
      </c>
      <c r="H142" s="8" cm="1">
        <f t="array" aca="1" ref="H142" ca="1">[1]!UNIFORM_INV(RAND(),Sheet2!J$21-SQRT(3)*Sheet2!J$22,Sheet2!J$21+SQRT(3)*Sheet2!J$22)</f>
        <v>29.972195605999179</v>
      </c>
      <c r="I142" s="8" cm="1">
        <f t="array" aca="1" ref="I142" ca="1">[1]!UNIFORM_INV(RAND(),Sheet2!K$21-SQRT(3)*Sheet2!K$22,Sheet2!K$21+SQRT(3)*Sheet2!K$22)</f>
        <v>17.377953740474297</v>
      </c>
      <c r="J142" s="8" cm="1">
        <f t="array" aca="1" ref="J142" ca="1">[1]!UNIFORM_INV(RAND(),Sheet2!L$21-SQRT(3)*Sheet2!L$22,Sheet2!L$21+SQRT(3)*Sheet2!L$22)</f>
        <v>24.933451609528628</v>
      </c>
      <c r="K142" s="8" cm="1">
        <f t="array" aca="1" ref="K142" ca="1">[1]!UNIFORM_INV(RAND(),Sheet2!M$21-SQRT(3)*Sheet2!M$22,Sheet2!M$21+SQRT(3)*Sheet2!M$22)</f>
        <v>19.206354204369052</v>
      </c>
      <c r="L142" s="8" cm="1">
        <f t="array" aca="1" ref="L142" ca="1">[1]!UNIFORM_INV(RAND(),Sheet2!N$21-SQRT(3)*Sheet2!N$22,Sheet2!N$21+SQRT(3)*Sheet2!N$22)</f>
        <v>7.6437262102049974</v>
      </c>
      <c r="M142" s="8" cm="1">
        <f t="array" aca="1" ref="M142" ca="1">[1]!UNIFORM_INV(RAND(),Sheet2!O$21-SQRT(3)*Sheet2!O$22,Sheet2!O$21+SQRT(3)*Sheet2!O$22)</f>
        <v>7.5237144923452899</v>
      </c>
      <c r="N142" s="8" cm="1">
        <f t="array" aca="1" ref="N142" ca="1">[1]!UNIFORM_INV(RAND(),Sheet2!P$21-SQRT(3)*Sheet2!P$22,Sheet2!P$21+SQRT(3)*Sheet2!P$22)</f>
        <v>17.382007788356184</v>
      </c>
      <c r="O142" s="8" cm="1">
        <f t="array" aca="1" ref="O142" ca="1">[1]!UNIFORM_INV(RAND(),Sheet2!Q$21-SQRT(3)*Sheet2!Q$22,Sheet2!Q$21+SQRT(3)*Sheet2!Q$22)</f>
        <v>24.944524842659476</v>
      </c>
      <c r="P142" s="8" cm="1">
        <f t="array" aca="1" ref="P142" ca="1">[1]!UNIFORM_INV(RAND(),Sheet2!R$21-SQRT(3)*Sheet2!R$22,Sheet2!R$21+SQRT(3)*Sheet2!R$22)</f>
        <v>7.4880052017176446</v>
      </c>
      <c r="Q142" s="8" cm="1">
        <f t="array" aca="1" ref="Q142" ca="1">[1]!UNIFORM_INV(RAND(),Sheet2!S$21-SQRT(3)*Sheet2!S$22,Sheet2!S$21+SQRT(3)*Sheet2!S$22)</f>
        <v>5.7584526897217314</v>
      </c>
      <c r="R142" s="8" cm="1">
        <f t="array" aca="1" ref="R142" ca="1">[1]!UNIFORM_INV(RAND(),Sheet2!T$21-SQRT(3)*Sheet2!T$22,Sheet2!T$21+SQRT(3)*Sheet2!T$22)</f>
        <v>8.4219808742512843</v>
      </c>
      <c r="S142" s="8" cm="1">
        <f t="array" aca="1" ref="S142" ca="1">[1]!UNIFORM_INV(RAND(),Sheet2!U$21-SQRT(3)*Sheet2!U$22,Sheet2!U$21+SQRT(3)*Sheet2!U$22)</f>
        <v>25.631438306071576</v>
      </c>
      <c r="T142" s="8" cm="1">
        <f t="array" aca="1" ref="T142" ca="1">[1]!UNIFORM_INV(RAND(),Sheet2!V$21-SQRT(3)*Sheet2!V$22,Sheet2!V$21+SQRT(3)*Sheet2!V$22)</f>
        <v>20.931548344040642</v>
      </c>
      <c r="U142" s="8" cm="1">
        <f t="array" aca="1" ref="U142" ca="1">[1]!UNIFORM_INV(RAND(),Sheet2!W$21-SQRT(3)*Sheet2!W$22,Sheet2!W$21+SQRT(3)*Sheet2!W$22)</f>
        <v>33.054020842494175</v>
      </c>
      <c r="V142" s="8" cm="1">
        <f t="array" aca="1" ref="V142" ca="1">[1]!UNIFORM_INV(RAND(),Sheet2!X$21-SQRT(3)*Sheet2!X$22,Sheet2!X$21+SQRT(3)*Sheet2!X$22)</f>
        <v>22.174828468433894</v>
      </c>
      <c r="W142" s="8" cm="1">
        <f t="array" aca="1" ref="W142" ca="1">[1]!UNIFORM_INV(RAND(),Sheet2!Y$21-SQRT(3)*Sheet2!Y$22,Sheet2!Y$21+SQRT(3)*Sheet2!Y$22)</f>
        <v>15.214075546737055</v>
      </c>
      <c r="X142" s="8" cm="1">
        <f t="array" aca="1" ref="X142" ca="1">[1]!UNIFORM_INV(RAND(),Sheet2!Z$21-SQRT(3)*Sheet2!Z$22,Sheet2!Z$21+SQRT(3)*Sheet2!Z$22)</f>
        <v>10.825631763504431</v>
      </c>
      <c r="AX142" s="7">
        <f ca="1">Sheet2!C$21+('RNG HERE'!A142-'RNG HERE'!Y$122)*Sheet2!C$22/'RNG HERE'!Y$123</f>
        <v>3.959421752395559</v>
      </c>
      <c r="AY142" s="7">
        <f ca="1">Sheet2!D$21+('RNG HERE'!B142-'RNG HERE'!Z$122)*Sheet2!D$22/'RNG HERE'!Z$123</f>
        <v>7.4840728034679058</v>
      </c>
      <c r="AZ142" s="7">
        <f ca="1">Sheet2!E$21+('RNG HERE'!C142-'RNG HERE'!AA$122)*Sheet2!E$22/'RNG HERE'!AA$123</f>
        <v>21.783129152355261</v>
      </c>
      <c r="BA142" s="7">
        <f ca="1">Sheet2!F$21+('RNG HERE'!D142-'RNG HERE'!AB$122)*Sheet2!F$22/'RNG HERE'!AB$123</f>
        <v>5.3519507381046907</v>
      </c>
      <c r="BB142" s="7">
        <f ca="1">Sheet2!G$21+('RNG HERE'!E142-'RNG HERE'!AC$122)*Sheet2!G$22/'RNG HERE'!AC$123</f>
        <v>44.039524879248525</v>
      </c>
      <c r="BC142" s="7">
        <f ca="1">Sheet2!H$21+('RNG HERE'!F142-'RNG HERE'!AD$122)*Sheet2!H$22/'RNG HERE'!AD$123</f>
        <v>23.323277405561782</v>
      </c>
      <c r="BD142" s="7">
        <f ca="1">Sheet2!I$21+('RNG HERE'!G142-'RNG HERE'!AE$122)*Sheet2!I$22/'RNG HERE'!AE$123</f>
        <v>9.2786500804573784</v>
      </c>
      <c r="BE142" s="7">
        <f ca="1">Sheet2!J$21+('RNG HERE'!H142-'RNG HERE'!AF$122)*Sheet2!J$22/'RNG HERE'!AF$123</f>
        <v>30.363137988148271</v>
      </c>
      <c r="BF142" s="7">
        <f ca="1">Sheet2!K$21+('RNG HERE'!I142-'RNG HERE'!AG$122)*Sheet2!K$22/'RNG HERE'!AG$123</f>
        <v>17.630518474698068</v>
      </c>
      <c r="BG142" s="7">
        <f ca="1">Sheet2!L$21+('RNG HERE'!J142-'RNG HERE'!AH$122)*Sheet2!L$22/'RNG HERE'!AH$123</f>
        <v>24.526198416047304</v>
      </c>
      <c r="BH142" s="7">
        <f ca="1">Sheet2!M$21+('RNG HERE'!K142-'RNG HERE'!AI$122)*Sheet2!M$22/'RNG HERE'!AI$123</f>
        <v>19.488130509837667</v>
      </c>
      <c r="BI142" s="7">
        <f ca="1">Sheet2!N$21+('RNG HERE'!L142-'RNG HERE'!AJ$122)*Sheet2!N$22/'RNG HERE'!AJ$123</f>
        <v>7.4418887223130552</v>
      </c>
      <c r="BJ142" s="7">
        <f ca="1">Sheet2!O$21+('RNG HERE'!M142-'RNG HERE'!AK$122)*Sheet2!O$22/'RNG HERE'!AK$123</f>
        <v>7.6105745412075549</v>
      </c>
      <c r="BK142" s="7">
        <f ca="1">Sheet2!P$21+('RNG HERE'!N142-'RNG HERE'!AL$122)*Sheet2!P$22/'RNG HERE'!AL$123</f>
        <v>17.903770950391479</v>
      </c>
      <c r="BL142" s="7">
        <f ca="1">Sheet2!Q$21+('RNG HERE'!O142-'RNG HERE'!AM$122)*Sheet2!Q$22/'RNG HERE'!AM$123</f>
        <v>24.935549068902926</v>
      </c>
      <c r="BM142" s="7">
        <f ca="1">Sheet2!R$21+('RNG HERE'!P142-'RNG HERE'!AN$122)*Sheet2!R$22/'RNG HERE'!AN$123</f>
        <v>7.4086206971343147</v>
      </c>
      <c r="BN142" s="7">
        <f ca="1">Sheet2!S$21+('RNG HERE'!Q142-'RNG HERE'!AO$122)*Sheet2!S$22/'RNG HERE'!AO$123</f>
        <v>5.8033871561077284</v>
      </c>
      <c r="BO142" s="7">
        <f ca="1">Sheet2!T$21+('RNG HERE'!R142-'RNG HERE'!AP$122)*Sheet2!T$22/'RNG HERE'!AP$123</f>
        <v>8.2295726927835045</v>
      </c>
      <c r="BP142" s="7">
        <f ca="1">Sheet2!U$21+('RNG HERE'!S142-'RNG HERE'!AQ$122)*Sheet2!U$22/'RNG HERE'!AQ$123</f>
        <v>25.231925824603444</v>
      </c>
      <c r="BQ142" s="7">
        <f ca="1">Sheet2!V$21+('RNG HERE'!T142-'RNG HERE'!AR$122)*Sheet2!V$22/'RNG HERE'!AR$123</f>
        <v>20.833122787019587</v>
      </c>
      <c r="BR142" s="7">
        <f ca="1">Sheet2!W$21+('RNG HERE'!U142-'RNG HERE'!AS$122)*Sheet2!W$22/'RNG HERE'!AS$123</f>
        <v>33.082172350029801</v>
      </c>
      <c r="BS142" s="7">
        <f ca="1">Sheet2!X$21+('RNG HERE'!V142-'RNG HERE'!AT$122)*Sheet2!X$22/'RNG HERE'!AT$123</f>
        <v>22.380139532653786</v>
      </c>
      <c r="BT142" s="7">
        <f ca="1">Sheet2!Y$21+('RNG HERE'!W142-'RNG HERE'!AU$122)*Sheet2!Y$22/'RNG HERE'!AU$123</f>
        <v>15.28380720016029</v>
      </c>
      <c r="BU142" s="7">
        <f ca="1">Sheet2!Z$21+('RNG HERE'!X142-'RNG HERE'!AV$122)*Sheet2!Z$22/'RNG HERE'!AV$123</f>
        <v>10.840688049497942</v>
      </c>
    </row>
    <row r="143" spans="1:73" x14ac:dyDescent="0.3">
      <c r="A143" s="8" cm="1">
        <f t="array" aca="1" ref="A143" ca="1">[1]!UNIFORM_INV(RAND(),Sheet2!C$21-SQRT(3)*Sheet2!C$22,Sheet2!C$21+SQRT(3)*Sheet2!C$22)</f>
        <v>5.8916498290644457</v>
      </c>
      <c r="B143" s="8" cm="1">
        <f t="array" aca="1" ref="B143" ca="1">[1]!UNIFORM_INV(RAND(),Sheet2!D$21-SQRT(3)*Sheet2!D$22,Sheet2!D$21+SQRT(3)*Sheet2!D$22)</f>
        <v>8.1220079106574161</v>
      </c>
      <c r="C143" s="8" cm="1">
        <f t="array" aca="1" ref="C143" ca="1">[1]!UNIFORM_INV(RAND(),Sheet2!E$21-SQRT(3)*Sheet2!E$22,Sheet2!E$21+SQRT(3)*Sheet2!E$22)</f>
        <v>24.316099009971488</v>
      </c>
      <c r="D143" s="8" cm="1">
        <f t="array" aca="1" ref="D143" ca="1">[1]!UNIFORM_INV(RAND(),Sheet2!F$21-SQRT(3)*Sheet2!F$22,Sheet2!F$21+SQRT(3)*Sheet2!F$22)</f>
        <v>9.9590001102917594</v>
      </c>
      <c r="E143" s="8" cm="1">
        <f t="array" aca="1" ref="E143" ca="1">[1]!UNIFORM_INV(RAND(),Sheet2!G$21-SQRT(3)*Sheet2!G$22,Sheet2!G$21+SQRT(3)*Sheet2!G$22)</f>
        <v>35.244048775273136</v>
      </c>
      <c r="F143" s="8" cm="1">
        <f t="array" aca="1" ref="F143" ca="1">[1]!UNIFORM_INV(RAND(),Sheet2!H$21-SQRT(3)*Sheet2!H$22,Sheet2!H$21+SQRT(3)*Sheet2!H$22)</f>
        <v>17.323802390001568</v>
      </c>
      <c r="G143" s="8" cm="1">
        <f t="array" aca="1" ref="G143" ca="1">[1]!UNIFORM_INV(RAND(),Sheet2!I$21-SQRT(3)*Sheet2!I$22,Sheet2!I$21+SQRT(3)*Sheet2!I$22)</f>
        <v>9.5540931671898583</v>
      </c>
      <c r="H143" s="8" cm="1">
        <f t="array" aca="1" ref="H143" ca="1">[1]!UNIFORM_INV(RAND(),Sheet2!J$21-SQRT(3)*Sheet2!J$22,Sheet2!J$21+SQRT(3)*Sheet2!J$22)</f>
        <v>30.341838865412452</v>
      </c>
      <c r="I143" s="8" cm="1">
        <f t="array" aca="1" ref="I143" ca="1">[1]!UNIFORM_INV(RAND(),Sheet2!K$21-SQRT(3)*Sheet2!K$22,Sheet2!K$21+SQRT(3)*Sheet2!K$22)</f>
        <v>19.558162155240929</v>
      </c>
      <c r="J143" s="8" cm="1">
        <f t="array" aca="1" ref="J143" ca="1">[1]!UNIFORM_INV(RAND(),Sheet2!L$21-SQRT(3)*Sheet2!L$22,Sheet2!L$21+SQRT(3)*Sheet2!L$22)</f>
        <v>27.999462390802076</v>
      </c>
      <c r="K143" s="8" cm="1">
        <f t="array" aca="1" ref="K143" ca="1">[1]!UNIFORM_INV(RAND(),Sheet2!M$21-SQRT(3)*Sheet2!M$22,Sheet2!M$21+SQRT(3)*Sheet2!M$22)</f>
        <v>13.940364682037554</v>
      </c>
      <c r="L143" s="8" cm="1">
        <f t="array" aca="1" ref="L143" ca="1">[1]!UNIFORM_INV(RAND(),Sheet2!N$21-SQRT(3)*Sheet2!N$22,Sheet2!N$21+SQRT(3)*Sheet2!N$22)</f>
        <v>8.2516810721272744</v>
      </c>
      <c r="M143" s="8" cm="1">
        <f t="array" aca="1" ref="M143" ca="1">[1]!UNIFORM_INV(RAND(),Sheet2!O$21-SQRT(3)*Sheet2!O$22,Sheet2!O$21+SQRT(3)*Sheet2!O$22)</f>
        <v>7.7529319397451317</v>
      </c>
      <c r="N143" s="8" cm="1">
        <f t="array" aca="1" ref="N143" ca="1">[1]!UNIFORM_INV(RAND(),Sheet2!P$21-SQRT(3)*Sheet2!P$22,Sheet2!P$21+SQRT(3)*Sheet2!P$22)</f>
        <v>16.869770319533547</v>
      </c>
      <c r="O143" s="8" cm="1">
        <f t="array" aca="1" ref="O143" ca="1">[1]!UNIFORM_INV(RAND(),Sheet2!Q$21-SQRT(3)*Sheet2!Q$22,Sheet2!Q$21+SQRT(3)*Sheet2!Q$22)</f>
        <v>20.413925576868788</v>
      </c>
      <c r="P143" s="8" cm="1">
        <f t="array" aca="1" ref="P143" ca="1">[1]!UNIFORM_INV(RAND(),Sheet2!R$21-SQRT(3)*Sheet2!R$22,Sheet2!R$21+SQRT(3)*Sheet2!R$22)</f>
        <v>3.1538094029751864</v>
      </c>
      <c r="Q143" s="8" cm="1">
        <f t="array" aca="1" ref="Q143" ca="1">[1]!UNIFORM_INV(RAND(),Sheet2!S$21-SQRT(3)*Sheet2!S$22,Sheet2!S$21+SQRT(3)*Sheet2!S$22)</f>
        <v>5.1595019831952778</v>
      </c>
      <c r="R143" s="8" cm="1">
        <f t="array" aca="1" ref="R143" ca="1">[1]!UNIFORM_INV(RAND(),Sheet2!T$21-SQRT(3)*Sheet2!T$22,Sheet2!T$21+SQRT(3)*Sheet2!T$22)</f>
        <v>8.5758815787272109</v>
      </c>
      <c r="S143" s="8" cm="1">
        <f t="array" aca="1" ref="S143" ca="1">[1]!UNIFORM_INV(RAND(),Sheet2!U$21-SQRT(3)*Sheet2!U$22,Sheet2!U$21+SQRT(3)*Sheet2!U$22)</f>
        <v>21.094350936828583</v>
      </c>
      <c r="T143" s="8" cm="1">
        <f t="array" aca="1" ref="T143" ca="1">[1]!UNIFORM_INV(RAND(),Sheet2!V$21-SQRT(3)*Sheet2!V$22,Sheet2!V$21+SQRT(3)*Sheet2!V$22)</f>
        <v>21.002937707399884</v>
      </c>
      <c r="U143" s="8" cm="1">
        <f t="array" aca="1" ref="U143" ca="1">[1]!UNIFORM_INV(RAND(),Sheet2!W$21-SQRT(3)*Sheet2!W$22,Sheet2!W$21+SQRT(3)*Sheet2!W$22)</f>
        <v>30.980770898629753</v>
      </c>
      <c r="V143" s="8" cm="1">
        <f t="array" aca="1" ref="V143" ca="1">[1]!UNIFORM_INV(RAND(),Sheet2!X$21-SQRT(3)*Sheet2!X$22,Sheet2!X$21+SQRT(3)*Sheet2!X$22)</f>
        <v>21.851522505309436</v>
      </c>
      <c r="W143" s="8" cm="1">
        <f t="array" aca="1" ref="W143" ca="1">[1]!UNIFORM_INV(RAND(),Sheet2!Y$21-SQRT(3)*Sheet2!Y$22,Sheet2!Y$21+SQRT(3)*Sheet2!Y$22)</f>
        <v>15.333645694151498</v>
      </c>
      <c r="X143" s="8" cm="1">
        <f t="array" aca="1" ref="X143" ca="1">[1]!UNIFORM_INV(RAND(),Sheet2!Z$21-SQRT(3)*Sheet2!Z$22,Sheet2!Z$21+SQRT(3)*Sheet2!Z$22)</f>
        <v>9.7638627964303488</v>
      </c>
      <c r="AX143" s="7">
        <f ca="1">Sheet2!C$21+('RNG HERE'!A143-'RNG HERE'!Y$122)*Sheet2!C$22/'RNG HERE'!Y$123</f>
        <v>6.1155103858763669</v>
      </c>
      <c r="AY143" s="7">
        <f ca="1">Sheet2!D$21+('RNG HERE'!B143-'RNG HERE'!Z$122)*Sheet2!D$22/'RNG HERE'!Z$123</f>
        <v>8.3428810211089726</v>
      </c>
      <c r="AZ143" s="7">
        <f ca="1">Sheet2!E$21+('RNG HERE'!C143-'RNG HERE'!AA$122)*Sheet2!E$22/'RNG HERE'!AA$123</f>
        <v>25.224504081920571</v>
      </c>
      <c r="BA143" s="7">
        <f ca="1">Sheet2!F$21+('RNG HERE'!D143-'RNG HERE'!AB$122)*Sheet2!F$22/'RNG HERE'!AB$123</f>
        <v>10.860975081238543</v>
      </c>
      <c r="BB143" s="7">
        <f ca="1">Sheet2!G$21+('RNG HERE'!E143-'RNG HERE'!AC$122)*Sheet2!G$22/'RNG HERE'!AC$123</f>
        <v>33.761213506944685</v>
      </c>
      <c r="BC143" s="7">
        <f ca="1">Sheet2!H$21+('RNG HERE'!F143-'RNG HERE'!AD$122)*Sheet2!H$22/'RNG HERE'!AD$123</f>
        <v>17.452590639954678</v>
      </c>
      <c r="BD143" s="7">
        <f ca="1">Sheet2!I$21+('RNG HERE'!G143-'RNG HERE'!AE$122)*Sheet2!I$22/'RNG HERE'!AE$123</f>
        <v>9.5798976001360359</v>
      </c>
      <c r="BE143" s="7">
        <f ca="1">Sheet2!J$21+('RNG HERE'!H143-'RNG HERE'!AF$122)*Sheet2!J$22/'RNG HERE'!AF$123</f>
        <v>30.766818100862682</v>
      </c>
      <c r="BF143" s="7">
        <f ca="1">Sheet2!K$21+('RNG HERE'!I143-'RNG HERE'!AG$122)*Sheet2!K$22/'RNG HERE'!AG$123</f>
        <v>19.75104654604684</v>
      </c>
      <c r="BG143" s="7">
        <f ca="1">Sheet2!L$21+('RNG HERE'!J143-'RNG HERE'!AH$122)*Sheet2!L$22/'RNG HERE'!AH$123</f>
        <v>27.787010583286946</v>
      </c>
      <c r="BH143" s="7">
        <f ca="1">Sheet2!M$21+('RNG HERE'!K143-'RNG HERE'!AI$122)*Sheet2!M$22/'RNG HERE'!AI$123</f>
        <v>13.827851451338654</v>
      </c>
      <c r="BI143" s="7">
        <f ca="1">Sheet2!N$21+('RNG HERE'!L143-'RNG HERE'!AJ$122)*Sheet2!N$22/'RNG HERE'!AJ$123</f>
        <v>8.0130546642547138</v>
      </c>
      <c r="BJ143" s="7">
        <f ca="1">Sheet2!O$21+('RNG HERE'!M143-'RNG HERE'!AK$122)*Sheet2!O$22/'RNG HERE'!AK$123</f>
        <v>7.8471379286966947</v>
      </c>
      <c r="BK143" s="7">
        <f ca="1">Sheet2!P$21+('RNG HERE'!N143-'RNG HERE'!AL$122)*Sheet2!P$22/'RNG HERE'!AL$123</f>
        <v>17.351036125982844</v>
      </c>
      <c r="BL143" s="7">
        <f ca="1">Sheet2!Q$21+('RNG HERE'!O143-'RNG HERE'!AM$122)*Sheet2!Q$22/'RNG HERE'!AM$123</f>
        <v>20.066006339490251</v>
      </c>
      <c r="BM143" s="7">
        <f ca="1">Sheet2!R$21+('RNG HERE'!P143-'RNG HERE'!AN$122)*Sheet2!R$22/'RNG HERE'!AN$123</f>
        <v>3.4526767748248086</v>
      </c>
      <c r="BN143" s="7">
        <f ca="1">Sheet2!S$21+('RNG HERE'!Q143-'RNG HERE'!AO$122)*Sheet2!S$22/'RNG HERE'!AO$123</f>
        <v>5.116535171792739</v>
      </c>
      <c r="BO143" s="7">
        <f ca="1">Sheet2!T$21+('RNG HERE'!R143-'RNG HERE'!AP$122)*Sheet2!T$22/'RNG HERE'!AP$123</f>
        <v>8.4053439153623426</v>
      </c>
      <c r="BP143" s="7">
        <f ca="1">Sheet2!U$21+('RNG HERE'!S143-'RNG HERE'!AQ$122)*Sheet2!U$22/'RNG HERE'!AQ$123</f>
        <v>21.052385220854102</v>
      </c>
      <c r="BQ143" s="7">
        <f ca="1">Sheet2!V$21+('RNG HERE'!T143-'RNG HERE'!AR$122)*Sheet2!V$22/'RNG HERE'!AR$123</f>
        <v>20.90559767644617</v>
      </c>
      <c r="BR143" s="7">
        <f ca="1">Sheet2!W$21+('RNG HERE'!U143-'RNG HERE'!AS$122)*Sheet2!W$22/'RNG HERE'!AS$123</f>
        <v>31.134316493541363</v>
      </c>
      <c r="BS143" s="7">
        <f ca="1">Sheet2!X$21+('RNG HERE'!V143-'RNG HERE'!AT$122)*Sheet2!X$22/'RNG HERE'!AT$123</f>
        <v>22.071021284379125</v>
      </c>
      <c r="BT143" s="7">
        <f ca="1">Sheet2!Y$21+('RNG HERE'!W143-'RNG HERE'!AU$122)*Sheet2!Y$22/'RNG HERE'!AU$123</f>
        <v>15.412132364745894</v>
      </c>
      <c r="BU143" s="7">
        <f ca="1">Sheet2!Z$21+('RNG HERE'!X143-'RNG HERE'!AV$122)*Sheet2!Z$22/'RNG HERE'!AV$123</f>
        <v>9.7135035711449209</v>
      </c>
    </row>
    <row r="144" spans="1:73" x14ac:dyDescent="0.3">
      <c r="A144" s="8" cm="1">
        <f t="array" aca="1" ref="A144" ca="1">[1]!UNIFORM_INV(RAND(),Sheet2!C$21-SQRT(3)*Sheet2!C$22,Sheet2!C$21+SQRT(3)*Sheet2!C$22)</f>
        <v>5.1876089128278569</v>
      </c>
      <c r="B144" s="8" cm="1">
        <f t="array" aca="1" ref="B144" ca="1">[1]!UNIFORM_INV(RAND(),Sheet2!D$21-SQRT(3)*Sheet2!D$22,Sheet2!D$21+SQRT(3)*Sheet2!D$22)</f>
        <v>6.5848744710859686</v>
      </c>
      <c r="C144" s="8" cm="1">
        <f t="array" aca="1" ref="C144" ca="1">[1]!UNIFORM_INV(RAND(),Sheet2!E$21-SQRT(3)*Sheet2!E$22,Sheet2!E$21+SQRT(3)*Sheet2!E$22)</f>
        <v>21.317947694861243</v>
      </c>
      <c r="D144" s="8" cm="1">
        <f t="array" aca="1" ref="D144" ca="1">[1]!UNIFORM_INV(RAND(),Sheet2!F$21-SQRT(3)*Sheet2!F$22,Sheet2!F$21+SQRT(3)*Sheet2!F$22)</f>
        <v>5.8144044527396259</v>
      </c>
      <c r="E144" s="8" cm="1">
        <f t="array" aca="1" ref="E144" ca="1">[1]!UNIFORM_INV(RAND(),Sheet2!G$21-SQRT(3)*Sheet2!G$22,Sheet2!G$21+SQRT(3)*Sheet2!G$22)</f>
        <v>36.263527014981435</v>
      </c>
      <c r="F144" s="8" cm="1">
        <f t="array" aca="1" ref="F144" ca="1">[1]!UNIFORM_INV(RAND(),Sheet2!H$21-SQRT(3)*Sheet2!H$22,Sheet2!H$21+SQRT(3)*Sheet2!H$22)</f>
        <v>26.47005737041874</v>
      </c>
      <c r="G144" s="8" cm="1">
        <f t="array" aca="1" ref="G144" ca="1">[1]!UNIFORM_INV(RAND(),Sheet2!I$21-SQRT(3)*Sheet2!I$22,Sheet2!I$21+SQRT(3)*Sheet2!I$22)</f>
        <v>10.486497788831072</v>
      </c>
      <c r="H144" s="8" cm="1">
        <f t="array" aca="1" ref="H144" ca="1">[1]!UNIFORM_INV(RAND(),Sheet2!J$21-SQRT(3)*Sheet2!J$22,Sheet2!J$21+SQRT(3)*Sheet2!J$22)</f>
        <v>28.861150504009583</v>
      </c>
      <c r="I144" s="8" cm="1">
        <f t="array" aca="1" ref="I144" ca="1">[1]!UNIFORM_INV(RAND(),Sheet2!K$21-SQRT(3)*Sheet2!K$22,Sheet2!K$21+SQRT(3)*Sheet2!K$22)</f>
        <v>18.99302976892508</v>
      </c>
      <c r="J144" s="8" cm="1">
        <f t="array" aca="1" ref="J144" ca="1">[1]!UNIFORM_INV(RAND(),Sheet2!L$21-SQRT(3)*Sheet2!L$22,Sheet2!L$21+SQRT(3)*Sheet2!L$22)</f>
        <v>25.346863376276598</v>
      </c>
      <c r="K144" s="8" cm="1">
        <f t="array" aca="1" ref="K144" ca="1">[1]!UNIFORM_INV(RAND(),Sheet2!M$21-SQRT(3)*Sheet2!M$22,Sheet2!M$21+SQRT(3)*Sheet2!M$22)</f>
        <v>15.409971130529648</v>
      </c>
      <c r="L144" s="8" cm="1">
        <f t="array" aca="1" ref="L144" ca="1">[1]!UNIFORM_INV(RAND(),Sheet2!N$21-SQRT(3)*Sheet2!N$22,Sheet2!N$21+SQRT(3)*Sheet2!N$22)</f>
        <v>8.6123707812774999</v>
      </c>
      <c r="M144" s="8" cm="1">
        <f t="array" aca="1" ref="M144" ca="1">[1]!UNIFORM_INV(RAND(),Sheet2!O$21-SQRT(3)*Sheet2!O$22,Sheet2!O$21+SQRT(3)*Sheet2!O$22)</f>
        <v>7.8521435246249389</v>
      </c>
      <c r="N144" s="8" cm="1">
        <f t="array" aca="1" ref="N144" ca="1">[1]!UNIFORM_INV(RAND(),Sheet2!P$21-SQRT(3)*Sheet2!P$22,Sheet2!P$21+SQRT(3)*Sheet2!P$22)</f>
        <v>18.085327791783495</v>
      </c>
      <c r="O144" s="8" cm="1">
        <f t="array" aca="1" ref="O144" ca="1">[1]!UNIFORM_INV(RAND(),Sheet2!Q$21-SQRT(3)*Sheet2!Q$22,Sheet2!Q$21+SQRT(3)*Sheet2!Q$22)</f>
        <v>23.430134127595572</v>
      </c>
      <c r="P144" s="8" cm="1">
        <f t="array" aca="1" ref="P144" ca="1">[1]!UNIFORM_INV(RAND(),Sheet2!R$21-SQRT(3)*Sheet2!R$22,Sheet2!R$21+SQRT(3)*Sheet2!R$22)</f>
        <v>8.5798284129521978</v>
      </c>
      <c r="Q144" s="8" cm="1">
        <f t="array" aca="1" ref="Q144" ca="1">[1]!UNIFORM_INV(RAND(),Sheet2!S$21-SQRT(3)*Sheet2!S$22,Sheet2!S$21+SQRT(3)*Sheet2!S$22)</f>
        <v>6.7250281832193997</v>
      </c>
      <c r="R144" s="8" cm="1">
        <f t="array" aca="1" ref="R144" ca="1">[1]!UNIFORM_INV(RAND(),Sheet2!T$21-SQRT(3)*Sheet2!T$22,Sheet2!T$21+SQRT(3)*Sheet2!T$22)</f>
        <v>9.4382666131765411</v>
      </c>
      <c r="S144" s="8" cm="1">
        <f t="array" aca="1" ref="S144" ca="1">[1]!UNIFORM_INV(RAND(),Sheet2!U$21-SQRT(3)*Sheet2!U$22,Sheet2!U$21+SQRT(3)*Sheet2!U$22)</f>
        <v>23.029594826024589</v>
      </c>
      <c r="T144" s="8" cm="1">
        <f t="array" aca="1" ref="T144" ca="1">[1]!UNIFORM_INV(RAND(),Sheet2!V$21-SQRT(3)*Sheet2!V$22,Sheet2!V$21+SQRT(3)*Sheet2!V$22)</f>
        <v>21.2884904674731</v>
      </c>
      <c r="U144" s="8" cm="1">
        <f t="array" aca="1" ref="U144" ca="1">[1]!UNIFORM_INV(RAND(),Sheet2!W$21-SQRT(3)*Sheet2!W$22,Sheet2!W$21+SQRT(3)*Sheet2!W$22)</f>
        <v>32.361239241332264</v>
      </c>
      <c r="V144" s="8" cm="1">
        <f t="array" aca="1" ref="V144" ca="1">[1]!UNIFORM_INV(RAND(),Sheet2!X$21-SQRT(3)*Sheet2!X$22,Sheet2!X$21+SQRT(3)*Sheet2!X$22)</f>
        <v>20.421001179856216</v>
      </c>
      <c r="W144" s="8" cm="1">
        <f t="array" aca="1" ref="W144" ca="1">[1]!UNIFORM_INV(RAND(),Sheet2!Y$21-SQRT(3)*Sheet2!Y$22,Sheet2!Y$21+SQRT(3)*Sheet2!Y$22)</f>
        <v>15.649109904358916</v>
      </c>
      <c r="X144" s="8" cm="1">
        <f t="array" aca="1" ref="X144" ca="1">[1]!UNIFORM_INV(RAND(),Sheet2!Z$21-SQRT(3)*Sheet2!Z$22,Sheet2!Z$21+SQRT(3)*Sheet2!Z$22)</f>
        <v>11.583406122382694</v>
      </c>
      <c r="AX144" s="7">
        <f ca="1">Sheet2!C$21+('RNG HERE'!A144-'RNG HERE'!Y$122)*Sheet2!C$22/'RNG HERE'!Y$123</f>
        <v>5.4406398538523488</v>
      </c>
      <c r="AY144" s="7">
        <f ca="1">Sheet2!D$21+('RNG HERE'!B144-'RNG HERE'!Z$122)*Sheet2!D$22/'RNG HERE'!Z$123</f>
        <v>6.8358150166924121</v>
      </c>
      <c r="AZ144" s="7">
        <f ca="1">Sheet2!E$21+('RNG HERE'!C144-'RNG HERE'!AA$122)*Sheet2!E$22/'RNG HERE'!AA$123</f>
        <v>22.247420269664456</v>
      </c>
      <c r="BA144" s="7">
        <f ca="1">Sheet2!F$21+('RNG HERE'!D144-'RNG HERE'!AB$122)*Sheet2!F$22/'RNG HERE'!AB$123</f>
        <v>6.3597619689146407</v>
      </c>
      <c r="BB144" s="7">
        <f ca="1">Sheet2!G$21+('RNG HERE'!E144-'RNG HERE'!AC$122)*Sheet2!G$22/'RNG HERE'!AC$123</f>
        <v>34.850370270305497</v>
      </c>
      <c r="BC144" s="7">
        <f ca="1">Sheet2!H$21+('RNG HERE'!F144-'RNG HERE'!AD$122)*Sheet2!H$22/'RNG HERE'!AD$123</f>
        <v>26.825210249292944</v>
      </c>
      <c r="BD144" s="7">
        <f ca="1">Sheet2!I$21+('RNG HERE'!G144-'RNG HERE'!AE$122)*Sheet2!I$22/'RNG HERE'!AE$123</f>
        <v>10.502831971160331</v>
      </c>
      <c r="BE144" s="7">
        <f ca="1">Sheet2!J$21+('RNG HERE'!H144-'RNG HERE'!AF$122)*Sheet2!J$22/'RNG HERE'!AF$123</f>
        <v>29.149787546660821</v>
      </c>
      <c r="BF144" s="7">
        <f ca="1">Sheet2!K$21+('RNG HERE'!I144-'RNG HERE'!AG$122)*Sheet2!K$22/'RNG HERE'!AG$123</f>
        <v>19.20138391696312</v>
      </c>
      <c r="BG144" s="7">
        <f ca="1">Sheet2!L$21+('RNG HERE'!J144-'RNG HERE'!AH$122)*Sheet2!L$22/'RNG HERE'!AH$123</f>
        <v>24.96587662178796</v>
      </c>
      <c r="BH144" s="7">
        <f ca="1">Sheet2!M$21+('RNG HERE'!K144-'RNG HERE'!AI$122)*Sheet2!M$22/'RNG HERE'!AI$123</f>
        <v>15.407494283774822</v>
      </c>
      <c r="BI144" s="7">
        <f ca="1">Sheet2!N$21+('RNG HERE'!L144-'RNG HERE'!AJ$122)*Sheet2!N$22/'RNG HERE'!AJ$123</f>
        <v>8.3519181068860657</v>
      </c>
      <c r="BJ144" s="7">
        <f ca="1">Sheet2!O$21+('RNG HERE'!M144-'RNG HERE'!AK$122)*Sheet2!O$22/'RNG HERE'!AK$123</f>
        <v>7.9495290375043641</v>
      </c>
      <c r="BK144" s="7">
        <f ca="1">Sheet2!P$21+('RNG HERE'!N144-'RNG HERE'!AL$122)*Sheet2!P$22/'RNG HERE'!AL$123</f>
        <v>18.662695242851004</v>
      </c>
      <c r="BL144" s="7">
        <f ca="1">Sheet2!Q$21+('RNG HERE'!O144-'RNG HERE'!AM$122)*Sheet2!Q$22/'RNG HERE'!AM$123</f>
        <v>23.30786366496277</v>
      </c>
      <c r="BM144" s="7">
        <f ca="1">Sheet2!R$21+('RNG HERE'!P144-'RNG HERE'!AN$122)*Sheet2!R$22/'RNG HERE'!AN$123</f>
        <v>8.4051588318380972</v>
      </c>
      <c r="BN144" s="7">
        <f ca="1">Sheet2!S$21+('RNG HERE'!Q144-'RNG HERE'!AO$122)*Sheet2!S$22/'RNG HERE'!AO$123</f>
        <v>6.9118160943575759</v>
      </c>
      <c r="BO144" s="7">
        <f ca="1">Sheet2!T$21+('RNG HERE'!R144-'RNG HERE'!AP$122)*Sheet2!T$22/'RNG HERE'!AP$123</f>
        <v>9.3902807443069012</v>
      </c>
      <c r="BP144" s="7">
        <f ca="1">Sheet2!U$21+('RNG HERE'!S144-'RNG HERE'!AQ$122)*Sheet2!U$22/'RNG HERE'!AQ$123</f>
        <v>22.835121534878851</v>
      </c>
      <c r="BQ144" s="7">
        <f ca="1">Sheet2!V$21+('RNG HERE'!T144-'RNG HERE'!AR$122)*Sheet2!V$22/'RNG HERE'!AR$123</f>
        <v>21.195492469422817</v>
      </c>
      <c r="BR144" s="7">
        <f ca="1">Sheet2!W$21+('RNG HERE'!U144-'RNG HERE'!AS$122)*Sheet2!W$22/'RNG HERE'!AS$123</f>
        <v>32.431291493583046</v>
      </c>
      <c r="BS144" s="7">
        <f ca="1">Sheet2!X$21+('RNG HERE'!V144-'RNG HERE'!AT$122)*Sheet2!X$22/'RNG HERE'!AT$123</f>
        <v>20.703275876994169</v>
      </c>
      <c r="BT144" s="7">
        <f ca="1">Sheet2!Y$21+('RNG HERE'!W144-'RNG HERE'!AU$122)*Sheet2!Y$22/'RNG HERE'!AU$123</f>
        <v>15.750695104452314</v>
      </c>
      <c r="BU144" s="7">
        <f ca="1">Sheet2!Z$21+('RNG HERE'!X144-'RNG HERE'!AV$122)*Sheet2!Z$22/'RNG HERE'!AV$123</f>
        <v>11.645148833255142</v>
      </c>
    </row>
    <row r="145" spans="1:73" x14ac:dyDescent="0.3">
      <c r="A145" s="8" cm="1">
        <f t="array" aca="1" ref="A145" ca="1">[1]!UNIFORM_INV(RAND(),Sheet2!C$21-SQRT(3)*Sheet2!C$22,Sheet2!C$21+SQRT(3)*Sheet2!C$22)</f>
        <v>6.0773796940244837</v>
      </c>
      <c r="B145" s="8" cm="1">
        <f t="array" aca="1" ref="B145" ca="1">[1]!UNIFORM_INV(RAND(),Sheet2!D$21-SQRT(3)*Sheet2!D$22,Sheet2!D$21+SQRT(3)*Sheet2!D$22)</f>
        <v>5.6108064000409641</v>
      </c>
      <c r="C145" s="8" cm="1">
        <f t="array" aca="1" ref="C145" ca="1">[1]!UNIFORM_INV(RAND(),Sheet2!E$21-SQRT(3)*Sheet2!E$22,Sheet2!E$21+SQRT(3)*Sheet2!E$22)</f>
        <v>23.652492910908574</v>
      </c>
      <c r="D145" s="8" cm="1">
        <f t="array" aca="1" ref="D145" ca="1">[1]!UNIFORM_INV(RAND(),Sheet2!F$21-SQRT(3)*Sheet2!F$22,Sheet2!F$21+SQRT(3)*Sheet2!F$22)</f>
        <v>8.2210290359818607</v>
      </c>
      <c r="E145" s="8" cm="1">
        <f t="array" aca="1" ref="E145" ca="1">[1]!UNIFORM_INV(RAND(),Sheet2!G$21-SQRT(3)*Sheet2!G$22,Sheet2!G$21+SQRT(3)*Sheet2!G$22)</f>
        <v>42.714911386381829</v>
      </c>
      <c r="F145" s="8" cm="1">
        <f t="array" aca="1" ref="F145" ca="1">[1]!UNIFORM_INV(RAND(),Sheet2!H$21-SQRT(3)*Sheet2!H$22,Sheet2!H$21+SQRT(3)*Sheet2!H$22)</f>
        <v>21.700691250729321</v>
      </c>
      <c r="G145" s="8" cm="1">
        <f t="array" aca="1" ref="G145" ca="1">[1]!UNIFORM_INV(RAND(),Sheet2!I$21-SQRT(3)*Sheet2!I$22,Sheet2!I$21+SQRT(3)*Sheet2!I$22)</f>
        <v>9.4667372635371123</v>
      </c>
      <c r="H145" s="8" cm="1">
        <f t="array" aca="1" ref="H145" ca="1">[1]!UNIFORM_INV(RAND(),Sheet2!J$21-SQRT(3)*Sheet2!J$22,Sheet2!J$21+SQRT(3)*Sheet2!J$22)</f>
        <v>27.679603707995273</v>
      </c>
      <c r="I145" s="8" cm="1">
        <f t="array" aca="1" ref="I145" ca="1">[1]!UNIFORM_INV(RAND(),Sheet2!K$21-SQRT(3)*Sheet2!K$22,Sheet2!K$21+SQRT(3)*Sheet2!K$22)</f>
        <v>20.750266329025006</v>
      </c>
      <c r="J145" s="8" cm="1">
        <f t="array" aca="1" ref="J145" ca="1">[1]!UNIFORM_INV(RAND(),Sheet2!L$21-SQRT(3)*Sheet2!L$22,Sheet2!L$21+SQRT(3)*Sheet2!L$22)</f>
        <v>24.867356036527291</v>
      </c>
      <c r="K145" s="8" cm="1">
        <f t="array" aca="1" ref="K145" ca="1">[1]!UNIFORM_INV(RAND(),Sheet2!M$21-SQRT(3)*Sheet2!M$22,Sheet2!M$21+SQRT(3)*Sheet2!M$22)</f>
        <v>18.124157082145526</v>
      </c>
      <c r="L145" s="8" cm="1">
        <f t="array" aca="1" ref="L145" ca="1">[1]!UNIFORM_INV(RAND(),Sheet2!N$21-SQRT(3)*Sheet2!N$22,Sheet2!N$21+SQRT(3)*Sheet2!N$22)</f>
        <v>6.8698059811128553</v>
      </c>
      <c r="M145" s="8" cm="1">
        <f t="array" aca="1" ref="M145" ca="1">[1]!UNIFORM_INV(RAND(),Sheet2!O$21-SQRT(3)*Sheet2!O$22,Sheet2!O$21+SQRT(3)*Sheet2!O$22)</f>
        <v>7.7312581372789095</v>
      </c>
      <c r="N145" s="8" cm="1">
        <f t="array" aca="1" ref="N145" ca="1">[1]!UNIFORM_INV(RAND(),Sheet2!P$21-SQRT(3)*Sheet2!P$22,Sheet2!P$21+SQRT(3)*Sheet2!P$22)</f>
        <v>20.027118031730108</v>
      </c>
      <c r="O145" s="8" cm="1">
        <f t="array" aca="1" ref="O145" ca="1">[1]!UNIFORM_INV(RAND(),Sheet2!Q$21-SQRT(3)*Sheet2!Q$22,Sheet2!Q$21+SQRT(3)*Sheet2!Q$22)</f>
        <v>24.555652158917898</v>
      </c>
      <c r="P145" s="8" cm="1">
        <f t="array" aca="1" ref="P145" ca="1">[1]!UNIFORM_INV(RAND(),Sheet2!R$21-SQRT(3)*Sheet2!R$22,Sheet2!R$21+SQRT(3)*Sheet2!R$22)</f>
        <v>5.6534181144606404</v>
      </c>
      <c r="Q145" s="8" cm="1">
        <f t="array" aca="1" ref="Q145" ca="1">[1]!UNIFORM_INV(RAND(),Sheet2!S$21-SQRT(3)*Sheet2!S$22,Sheet2!S$21+SQRT(3)*Sheet2!S$22)</f>
        <v>5.3675113958212686</v>
      </c>
      <c r="R145" s="8" cm="1">
        <f t="array" aca="1" ref="R145" ca="1">[1]!UNIFORM_INV(RAND(),Sheet2!T$21-SQRT(3)*Sheet2!T$22,Sheet2!T$21+SQRT(3)*Sheet2!T$22)</f>
        <v>8.7484590899650883</v>
      </c>
      <c r="S145" s="8" cm="1">
        <f t="array" aca="1" ref="S145" ca="1">[1]!UNIFORM_INV(RAND(),Sheet2!U$21-SQRT(3)*Sheet2!U$22,Sheet2!U$21+SQRT(3)*Sheet2!U$22)</f>
        <v>22.131092415533413</v>
      </c>
      <c r="T145" s="8" cm="1">
        <f t="array" aca="1" ref="T145" ca="1">[1]!UNIFORM_INV(RAND(),Sheet2!V$21-SQRT(3)*Sheet2!V$22,Sheet2!V$21+SQRT(3)*Sheet2!V$22)</f>
        <v>21.225248052364783</v>
      </c>
      <c r="U145" s="8" cm="1">
        <f t="array" aca="1" ref="U145" ca="1">[1]!UNIFORM_INV(RAND(),Sheet2!W$21-SQRT(3)*Sheet2!W$22,Sheet2!W$21+SQRT(3)*Sheet2!W$22)</f>
        <v>32.74432507310533</v>
      </c>
      <c r="V145" s="8" cm="1">
        <f t="array" aca="1" ref="V145" ca="1">[1]!UNIFORM_INV(RAND(),Sheet2!X$21-SQRT(3)*Sheet2!X$22,Sheet2!X$21+SQRT(3)*Sheet2!X$22)</f>
        <v>17.819628439274421</v>
      </c>
      <c r="W145" s="8" cm="1">
        <f t="array" aca="1" ref="W145" ca="1">[1]!UNIFORM_INV(RAND(),Sheet2!Y$21-SQRT(3)*Sheet2!Y$22,Sheet2!Y$21+SQRT(3)*Sheet2!Y$22)</f>
        <v>13.830821625203754</v>
      </c>
      <c r="X145" s="8" cm="1">
        <f t="array" aca="1" ref="X145" ca="1">[1]!UNIFORM_INV(RAND(),Sheet2!Z$21-SQRT(3)*Sheet2!Z$22,Sheet2!Z$21+SQRT(3)*Sheet2!Z$22)</f>
        <v>10.436595305348094</v>
      </c>
      <c r="AX145" s="7">
        <f ca="1">Sheet2!C$21+('RNG HERE'!A145-'RNG HERE'!Y$122)*Sheet2!C$22/'RNG HERE'!Y$123</f>
        <v>6.2935449430841315</v>
      </c>
      <c r="AY145" s="7">
        <f ca="1">Sheet2!D$21+('RNG HERE'!B145-'RNG HERE'!Z$122)*Sheet2!D$22/'RNG HERE'!Z$123</f>
        <v>5.8808004173946342</v>
      </c>
      <c r="AZ145" s="7">
        <f ca="1">Sheet2!E$21+('RNG HERE'!C145-'RNG HERE'!AA$122)*Sheet2!E$22/'RNG HERE'!AA$123</f>
        <v>24.565561030821769</v>
      </c>
      <c r="BA145" s="7">
        <f ca="1">Sheet2!F$21+('RNG HERE'!D145-'RNG HERE'!AB$122)*Sheet2!F$22/'RNG HERE'!AB$123</f>
        <v>8.9734620799959188</v>
      </c>
      <c r="BB145" s="7">
        <f ca="1">Sheet2!G$21+('RNG HERE'!E145-'RNG HERE'!AC$122)*Sheet2!G$22/'RNG HERE'!AC$123</f>
        <v>41.742688955951493</v>
      </c>
      <c r="BC145" s="7">
        <f ca="1">Sheet2!H$21+('RNG HERE'!F145-'RNG HERE'!AD$122)*Sheet2!H$22/'RNG HERE'!AD$123</f>
        <v>21.93780502024304</v>
      </c>
      <c r="BD145" s="7">
        <f ca="1">Sheet2!I$21+('RNG HERE'!G145-'RNG HERE'!AE$122)*Sheet2!I$22/'RNG HERE'!AE$123</f>
        <v>9.4934289532399134</v>
      </c>
      <c r="BE145" s="7">
        <f ca="1">Sheet2!J$21+('RNG HERE'!H145-'RNG HERE'!AF$122)*Sheet2!J$22/'RNG HERE'!AF$123</f>
        <v>27.85944359571339</v>
      </c>
      <c r="BF145" s="7">
        <f ca="1">Sheet2!K$21+('RNG HERE'!I145-'RNG HERE'!AG$122)*Sheet2!K$22/'RNG HERE'!AG$123</f>
        <v>20.910518432936037</v>
      </c>
      <c r="BG145" s="7">
        <f ca="1">Sheet2!L$21+('RNG HERE'!J145-'RNG HERE'!AH$122)*Sheet2!L$22/'RNG HERE'!AH$123</f>
        <v>24.455903409271784</v>
      </c>
      <c r="BH145" s="7">
        <f ca="1">Sheet2!M$21+('RNG HERE'!K145-'RNG HERE'!AI$122)*Sheet2!M$22/'RNG HERE'!AI$123</f>
        <v>18.324904171822155</v>
      </c>
      <c r="BI145" s="7">
        <f ca="1">Sheet2!N$21+('RNG HERE'!L145-'RNG HERE'!AJ$122)*Sheet2!N$22/'RNG HERE'!AJ$123</f>
        <v>6.7148004065136675</v>
      </c>
      <c r="BJ145" s="7">
        <f ca="1">Sheet2!O$21+('RNG HERE'!M145-'RNG HERE'!AK$122)*Sheet2!O$22/'RNG HERE'!AK$123</f>
        <v>7.824769526163025</v>
      </c>
      <c r="BK145" s="7">
        <f ca="1">Sheet2!P$21+('RNG HERE'!N145-'RNG HERE'!AL$122)*Sheet2!P$22/'RNG HERE'!AL$123</f>
        <v>20.758002893387062</v>
      </c>
      <c r="BL145" s="7">
        <f ca="1">Sheet2!Q$21+('RNG HERE'!O145-'RNG HERE'!AM$122)*Sheet2!Q$22/'RNG HERE'!AM$123</f>
        <v>24.517584018654652</v>
      </c>
      <c r="BM145" s="7">
        <f ca="1">Sheet2!R$21+('RNG HERE'!P145-'RNG HERE'!AN$122)*Sheet2!R$22/'RNG HERE'!AN$123</f>
        <v>5.7341408224854646</v>
      </c>
      <c r="BN145" s="7">
        <f ca="1">Sheet2!S$21+('RNG HERE'!Q145-'RNG HERE'!AO$122)*Sheet2!S$22/'RNG HERE'!AO$123</f>
        <v>5.3550717930230993</v>
      </c>
      <c r="BO145" s="7">
        <f ca="1">Sheet2!T$21+('RNG HERE'!R145-'RNG HERE'!AP$122)*Sheet2!T$22/'RNG HERE'!AP$123</f>
        <v>8.6024460679690566</v>
      </c>
      <c r="BP145" s="7">
        <f ca="1">Sheet2!U$21+('RNG HERE'!S145-'RNG HERE'!AQ$122)*Sheet2!U$22/'RNG HERE'!AQ$123</f>
        <v>22.007425922783749</v>
      </c>
      <c r="BQ145" s="7">
        <f ca="1">Sheet2!V$21+('RNG HERE'!T145-'RNG HERE'!AR$122)*Sheet2!V$22/'RNG HERE'!AR$123</f>
        <v>21.131288408392315</v>
      </c>
      <c r="BR145" s="7">
        <f ca="1">Sheet2!W$21+('RNG HERE'!U145-'RNG HERE'!AS$122)*Sheet2!W$22/'RNG HERE'!AS$123</f>
        <v>32.791207567940219</v>
      </c>
      <c r="BS145" s="7">
        <f ca="1">Sheet2!X$21+('RNG HERE'!V145-'RNG HERE'!AT$122)*Sheet2!X$22/'RNG HERE'!AT$123</f>
        <v>18.216059814206783</v>
      </c>
      <c r="BT145" s="7">
        <f ca="1">Sheet2!Y$21+('RNG HERE'!W145-'RNG HERE'!AU$122)*Sheet2!Y$22/'RNG HERE'!AU$123</f>
        <v>13.799270374014323</v>
      </c>
      <c r="BU145" s="7">
        <f ca="1">Sheet2!Z$21+('RNG HERE'!X145-'RNG HERE'!AV$122)*Sheet2!Z$22/'RNG HERE'!AV$123</f>
        <v>10.427683082555202</v>
      </c>
    </row>
    <row r="146" spans="1:73" x14ac:dyDescent="0.3">
      <c r="A146" s="8" cm="1">
        <f t="array" aca="1" ref="A146" ca="1">[1]!UNIFORM_INV(RAND(),Sheet2!C$21-SQRT(3)*Sheet2!C$22,Sheet2!C$21+SQRT(3)*Sheet2!C$22)</f>
        <v>6.1863226103569211</v>
      </c>
      <c r="B146" s="8" cm="1">
        <f t="array" aca="1" ref="B146" ca="1">[1]!UNIFORM_INV(RAND(),Sheet2!D$21-SQRT(3)*Sheet2!D$22,Sheet2!D$21+SQRT(3)*Sheet2!D$22)</f>
        <v>8.7325730759454743</v>
      </c>
      <c r="C146" s="8" cm="1">
        <f t="array" aca="1" ref="C146" ca="1">[1]!UNIFORM_INV(RAND(),Sheet2!E$21-SQRT(3)*Sheet2!E$22,Sheet2!E$21+SQRT(3)*Sheet2!E$22)</f>
        <v>24.22627296081804</v>
      </c>
      <c r="D146" s="8" cm="1">
        <f t="array" aca="1" ref="D146" ca="1">[1]!UNIFORM_INV(RAND(),Sheet2!F$21-SQRT(3)*Sheet2!F$22,Sheet2!F$21+SQRT(3)*Sheet2!F$22)</f>
        <v>3.3753263900271264</v>
      </c>
      <c r="E146" s="8" cm="1">
        <f t="array" aca="1" ref="E146" ca="1">[1]!UNIFORM_INV(RAND(),Sheet2!G$21-SQRT(3)*Sheet2!G$22,Sheet2!G$21+SQRT(3)*Sheet2!G$22)</f>
        <v>45.927406560160193</v>
      </c>
      <c r="F146" s="8" cm="1">
        <f t="array" aca="1" ref="F146" ca="1">[1]!UNIFORM_INV(RAND(),Sheet2!H$21-SQRT(3)*Sheet2!H$22,Sheet2!H$21+SQRT(3)*Sheet2!H$22)</f>
        <v>24.006566804744079</v>
      </c>
      <c r="G146" s="8" cm="1">
        <f t="array" aca="1" ref="G146" ca="1">[1]!UNIFORM_INV(RAND(),Sheet2!I$21-SQRT(3)*Sheet2!I$22,Sheet2!I$21+SQRT(3)*Sheet2!I$22)</f>
        <v>9.8957325236353544</v>
      </c>
      <c r="H146" s="8" cm="1">
        <f t="array" aca="1" ref="H146" ca="1">[1]!UNIFORM_INV(RAND(),Sheet2!J$21-SQRT(3)*Sheet2!J$22,Sheet2!J$21+SQRT(3)*Sheet2!J$22)</f>
        <v>26.933419585977237</v>
      </c>
      <c r="I146" s="8" cm="1">
        <f t="array" aca="1" ref="I146" ca="1">[1]!UNIFORM_INV(RAND(),Sheet2!K$21-SQRT(3)*Sheet2!K$22,Sheet2!K$21+SQRT(3)*Sheet2!K$22)</f>
        <v>19.507804191846859</v>
      </c>
      <c r="J146" s="8" cm="1">
        <f t="array" aca="1" ref="J146" ca="1">[1]!UNIFORM_INV(RAND(),Sheet2!L$21-SQRT(3)*Sheet2!L$22,Sheet2!L$21+SQRT(3)*Sheet2!L$22)</f>
        <v>26.482487164590204</v>
      </c>
      <c r="K146" s="8" cm="1">
        <f t="array" aca="1" ref="K146" ca="1">[1]!UNIFORM_INV(RAND(),Sheet2!M$21-SQRT(3)*Sheet2!M$22,Sheet2!M$21+SQRT(3)*Sheet2!M$22)</f>
        <v>14.373689979400949</v>
      </c>
      <c r="L146" s="8" cm="1">
        <f t="array" aca="1" ref="L146" ca="1">[1]!UNIFORM_INV(RAND(),Sheet2!N$21-SQRT(3)*Sheet2!N$22,Sheet2!N$21+SQRT(3)*Sheet2!N$22)</f>
        <v>7.7500274974582526</v>
      </c>
      <c r="M146" s="8" cm="1">
        <f t="array" aca="1" ref="M146" ca="1">[1]!UNIFORM_INV(RAND(),Sheet2!O$21-SQRT(3)*Sheet2!O$22,Sheet2!O$21+SQRT(3)*Sheet2!O$22)</f>
        <v>8.1021027322325061</v>
      </c>
      <c r="N146" s="8" cm="1">
        <f t="array" aca="1" ref="N146" ca="1">[1]!UNIFORM_INV(RAND(),Sheet2!P$21-SQRT(3)*Sheet2!P$22,Sheet2!P$21+SQRT(3)*Sheet2!P$22)</f>
        <v>19.138578782999399</v>
      </c>
      <c r="O146" s="8" cm="1">
        <f t="array" aca="1" ref="O146" ca="1">[1]!UNIFORM_INV(RAND(),Sheet2!Q$21-SQRT(3)*Sheet2!Q$22,Sheet2!Q$21+SQRT(3)*Sheet2!Q$22)</f>
        <v>18.761937123102456</v>
      </c>
      <c r="P146" s="8" cm="1">
        <f t="array" aca="1" ref="P146" ca="1">[1]!UNIFORM_INV(RAND(),Sheet2!R$21-SQRT(3)*Sheet2!R$22,Sheet2!R$21+SQRT(3)*Sheet2!R$22)</f>
        <v>8.2742325464139768</v>
      </c>
      <c r="Q146" s="8" cm="1">
        <f t="array" aca="1" ref="Q146" ca="1">[1]!UNIFORM_INV(RAND(),Sheet2!S$21-SQRT(3)*Sheet2!S$22,Sheet2!S$21+SQRT(3)*Sheet2!S$22)</f>
        <v>6.62125346451678</v>
      </c>
      <c r="R146" s="8" cm="1">
        <f t="array" aca="1" ref="R146" ca="1">[1]!UNIFORM_INV(RAND(),Sheet2!T$21-SQRT(3)*Sheet2!T$22,Sheet2!T$21+SQRT(3)*Sheet2!T$22)</f>
        <v>8.5102649194123288</v>
      </c>
      <c r="S146" s="8" cm="1">
        <f t="array" aca="1" ref="S146" ca="1">[1]!UNIFORM_INV(RAND(),Sheet2!U$21-SQRT(3)*Sheet2!U$22,Sheet2!U$21+SQRT(3)*Sheet2!U$22)</f>
        <v>21.68348964959948</v>
      </c>
      <c r="T146" s="8" cm="1">
        <f t="array" aca="1" ref="T146" ca="1">[1]!UNIFORM_INV(RAND(),Sheet2!V$21-SQRT(3)*Sheet2!V$22,Sheet2!V$21+SQRT(3)*Sheet2!V$22)</f>
        <v>23.601408669209725</v>
      </c>
      <c r="U146" s="8" cm="1">
        <f t="array" aca="1" ref="U146" ca="1">[1]!UNIFORM_INV(RAND(),Sheet2!W$21-SQRT(3)*Sheet2!W$22,Sheet2!W$21+SQRT(3)*Sheet2!W$22)</f>
        <v>34.19457184406054</v>
      </c>
      <c r="V146" s="8" cm="1">
        <f t="array" aca="1" ref="V146" ca="1">[1]!UNIFORM_INV(RAND(),Sheet2!X$21-SQRT(3)*Sheet2!X$22,Sheet2!X$21+SQRT(3)*Sheet2!X$22)</f>
        <v>19.204600875419448</v>
      </c>
      <c r="W146" s="8" cm="1">
        <f t="array" aca="1" ref="W146" ca="1">[1]!UNIFORM_INV(RAND(),Sheet2!Y$21-SQRT(3)*Sheet2!Y$22,Sheet2!Y$21+SQRT(3)*Sheet2!Y$22)</f>
        <v>14.524554103472539</v>
      </c>
      <c r="X146" s="8" cm="1">
        <f t="array" aca="1" ref="X146" ca="1">[1]!UNIFORM_INV(RAND(),Sheet2!Z$21-SQRT(3)*Sheet2!Z$22,Sheet2!Z$21+SQRT(3)*Sheet2!Z$22)</f>
        <v>9.7905289005237321</v>
      </c>
      <c r="AX146" s="7">
        <f ca="1">Sheet2!C$21+('RNG HERE'!A146-'RNG HERE'!Y$122)*Sheet2!C$22/'RNG HERE'!Y$123</f>
        <v>6.3979740497027215</v>
      </c>
      <c r="AY146" s="7">
        <f ca="1">Sheet2!D$21+('RNG HERE'!B146-'RNG HERE'!Z$122)*Sheet2!D$22/'RNG HERE'!Z$123</f>
        <v>8.9415030928161308</v>
      </c>
      <c r="AZ146" s="7">
        <f ca="1">Sheet2!E$21+('RNG HERE'!C146-'RNG HERE'!AA$122)*Sheet2!E$22/'RNG HERE'!AA$123</f>
        <v>25.135309225241425</v>
      </c>
      <c r="BA146" s="7">
        <f ca="1">Sheet2!F$21+('RNG HERE'!D146-'RNG HERE'!AB$122)*Sheet2!F$22/'RNG HERE'!AB$123</f>
        <v>3.7108159522247162</v>
      </c>
      <c r="BB146" s="7">
        <f ca="1">Sheet2!G$21+('RNG HERE'!E146-'RNG HERE'!AC$122)*Sheet2!G$22/'RNG HERE'!AC$123</f>
        <v>45.174749307515071</v>
      </c>
      <c r="BC146" s="7">
        <f ca="1">Sheet2!H$21+('RNG HERE'!F146-'RNG HERE'!AD$122)*Sheet2!H$22/'RNG HERE'!AD$123</f>
        <v>24.300749687817429</v>
      </c>
      <c r="BD146" s="7">
        <f ca="1">Sheet2!I$21+('RNG HERE'!G146-'RNG HERE'!AE$122)*Sheet2!I$22/'RNG HERE'!AE$123</f>
        <v>9.9180669927363869</v>
      </c>
      <c r="BE146" s="7">
        <f ca="1">Sheet2!J$21+('RNG HERE'!H146-'RNG HERE'!AF$122)*Sheet2!J$22/'RNG HERE'!AF$123</f>
        <v>27.044550633888345</v>
      </c>
      <c r="BF146" s="7">
        <f ca="1">Sheet2!K$21+('RNG HERE'!I146-'RNG HERE'!AG$122)*Sheet2!K$22/'RNG HERE'!AG$123</f>
        <v>19.702067065796321</v>
      </c>
      <c r="BG146" s="7">
        <f ca="1">Sheet2!L$21+('RNG HERE'!J146-'RNG HERE'!AH$122)*Sheet2!L$22/'RNG HERE'!AH$123</f>
        <v>26.173653153089568</v>
      </c>
      <c r="BH146" s="7">
        <f ca="1">Sheet2!M$21+('RNG HERE'!K146-'RNG HERE'!AI$122)*Sheet2!M$22/'RNG HERE'!AI$123</f>
        <v>14.293621862727155</v>
      </c>
      <c r="BI146" s="7">
        <f ca="1">Sheet2!N$21+('RNG HERE'!L146-'RNG HERE'!AJ$122)*Sheet2!N$22/'RNG HERE'!AJ$123</f>
        <v>7.5417574439343298</v>
      </c>
      <c r="BJ146" s="7">
        <f ca="1">Sheet2!O$21+('RNG HERE'!M146-'RNG HERE'!AK$122)*Sheet2!O$22/'RNG HERE'!AK$123</f>
        <v>8.2074989152624038</v>
      </c>
      <c r="BK146" s="7">
        <f ca="1">Sheet2!P$21+('RNG HERE'!N146-'RNG HERE'!AL$122)*Sheet2!P$22/'RNG HERE'!AL$123</f>
        <v>19.799215972242475</v>
      </c>
      <c r="BL146" s="7">
        <f ca="1">Sheet2!Q$21+('RNG HERE'!O146-'RNG HERE'!AM$122)*Sheet2!Q$22/'RNG HERE'!AM$123</f>
        <v>18.290429226578762</v>
      </c>
      <c r="BM146" s="7">
        <f ca="1">Sheet2!R$21+('RNG HERE'!P146-'RNG HERE'!AN$122)*Sheet2!R$22/'RNG HERE'!AN$123</f>
        <v>8.1262327825660403</v>
      </c>
      <c r="BN146" s="7">
        <f ca="1">Sheet2!S$21+('RNG HERE'!Q146-'RNG HERE'!AO$122)*Sheet2!S$22/'RNG HERE'!AO$123</f>
        <v>6.7928115240549678</v>
      </c>
      <c r="BO146" s="7">
        <f ca="1">Sheet2!T$21+('RNG HERE'!R146-'RNG HERE'!AP$122)*Sheet2!T$22/'RNG HERE'!AP$123</f>
        <v>8.3304026051936155</v>
      </c>
      <c r="BP146" s="7">
        <f ca="1">Sheet2!U$21+('RNG HERE'!S146-'RNG HERE'!AQ$122)*Sheet2!U$22/'RNG HERE'!AQ$123</f>
        <v>21.595096650208266</v>
      </c>
      <c r="BQ146" s="7">
        <f ca="1">Sheet2!V$21+('RNG HERE'!T146-'RNG HERE'!AR$122)*Sheet2!V$22/'RNG HERE'!AR$123</f>
        <v>23.543580238185548</v>
      </c>
      <c r="BR146" s="7">
        <f ca="1">Sheet2!W$21+('RNG HERE'!U146-'RNG HERE'!AS$122)*Sheet2!W$22/'RNG HERE'!AS$123</f>
        <v>34.153740664597706</v>
      </c>
      <c r="BS146" s="7">
        <f ca="1">Sheet2!X$21+('RNG HERE'!V146-'RNG HERE'!AT$122)*Sheet2!X$22/'RNG HERE'!AT$123</f>
        <v>19.540255165360989</v>
      </c>
      <c r="BT146" s="7">
        <f ca="1">Sheet2!Y$21+('RNG HERE'!W146-'RNG HERE'!AU$122)*Sheet2!Y$22/'RNG HERE'!AU$123</f>
        <v>14.543798472182976</v>
      </c>
      <c r="BU146" s="7">
        <f ca="1">Sheet2!Z$21+('RNG HERE'!X146-'RNG HERE'!AV$122)*Sheet2!Z$22/'RNG HERE'!AV$123</f>
        <v>9.7418125720333517</v>
      </c>
    </row>
    <row r="147" spans="1:73" x14ac:dyDescent="0.3">
      <c r="A147" s="8" cm="1">
        <f t="array" aca="1" ref="A147" ca="1">[1]!UNIFORM_INV(RAND(),Sheet2!C$21-SQRT(3)*Sheet2!C$22,Sheet2!C$21+SQRT(3)*Sheet2!C$22)</f>
        <v>3.9057627161300057</v>
      </c>
      <c r="B147" s="8" cm="1">
        <f t="array" aca="1" ref="B147" ca="1">[1]!UNIFORM_INV(RAND(),Sheet2!D$21-SQRT(3)*Sheet2!D$22,Sheet2!D$21+SQRT(3)*Sheet2!D$22)</f>
        <v>6.8815853190764962</v>
      </c>
      <c r="C147" s="8" cm="1">
        <f t="array" aca="1" ref="C147" ca="1">[1]!UNIFORM_INV(RAND(),Sheet2!E$21-SQRT(3)*Sheet2!E$22,Sheet2!E$21+SQRT(3)*Sheet2!E$22)</f>
        <v>18.618424388086858</v>
      </c>
      <c r="D147" s="8" cm="1">
        <f t="array" aca="1" ref="D147" ca="1">[1]!UNIFORM_INV(RAND(),Sheet2!F$21-SQRT(3)*Sheet2!F$22,Sheet2!F$21+SQRT(3)*Sheet2!F$22)</f>
        <v>6.8479944839141043</v>
      </c>
      <c r="E147" s="8" cm="1">
        <f t="array" aca="1" ref="E147" ca="1">[1]!UNIFORM_INV(RAND(),Sheet2!G$21-SQRT(3)*Sheet2!G$22,Sheet2!G$21+SQRT(3)*Sheet2!G$22)</f>
        <v>44.464757767659883</v>
      </c>
      <c r="F147" s="8" cm="1">
        <f t="array" aca="1" ref="F147" ca="1">[1]!UNIFORM_INV(RAND(),Sheet2!H$21-SQRT(3)*Sheet2!H$22,Sheet2!H$21+SQRT(3)*Sheet2!H$22)</f>
        <v>25.194227552851778</v>
      </c>
      <c r="G147" s="8" cm="1">
        <f t="array" aca="1" ref="G147" ca="1">[1]!UNIFORM_INV(RAND(),Sheet2!I$21-SQRT(3)*Sheet2!I$22,Sheet2!I$21+SQRT(3)*Sheet2!I$22)</f>
        <v>10.785986278704103</v>
      </c>
      <c r="H147" s="8" cm="1">
        <f t="array" aca="1" ref="H147" ca="1">[1]!UNIFORM_INV(RAND(),Sheet2!J$21-SQRT(3)*Sheet2!J$22,Sheet2!J$21+SQRT(3)*Sheet2!J$22)</f>
        <v>28.000462451770062</v>
      </c>
      <c r="I147" s="8" cm="1">
        <f t="array" aca="1" ref="I147" ca="1">[1]!UNIFORM_INV(RAND(),Sheet2!K$21-SQRT(3)*Sheet2!K$22,Sheet2!K$21+SQRT(3)*Sheet2!K$22)</f>
        <v>18.178512849611845</v>
      </c>
      <c r="J147" s="8" cm="1">
        <f t="array" aca="1" ref="J147" ca="1">[1]!UNIFORM_INV(RAND(),Sheet2!L$21-SQRT(3)*Sheet2!L$22,Sheet2!L$21+SQRT(3)*Sheet2!L$22)</f>
        <v>28.813622310644796</v>
      </c>
      <c r="K147" s="8" cm="1">
        <f t="array" aca="1" ref="K147" ca="1">[1]!UNIFORM_INV(RAND(),Sheet2!M$21-SQRT(3)*Sheet2!M$22,Sheet2!M$21+SQRT(3)*Sheet2!M$22)</f>
        <v>16.105777792605128</v>
      </c>
      <c r="L147" s="8" cm="1">
        <f t="array" aca="1" ref="L147" ca="1">[1]!UNIFORM_INV(RAND(),Sheet2!N$21-SQRT(3)*Sheet2!N$22,Sheet2!N$21+SQRT(3)*Sheet2!N$22)</f>
        <v>8.407944261634352</v>
      </c>
      <c r="M147" s="8" cm="1">
        <f t="array" aca="1" ref="M147" ca="1">[1]!UNIFORM_INV(RAND(),Sheet2!O$21-SQRT(3)*Sheet2!O$22,Sheet2!O$21+SQRT(3)*Sheet2!O$22)</f>
        <v>7.1106862169645986</v>
      </c>
      <c r="N147" s="8" cm="1">
        <f t="array" aca="1" ref="N147" ca="1">[1]!UNIFORM_INV(RAND(),Sheet2!P$21-SQRT(3)*Sheet2!P$22,Sheet2!P$21+SQRT(3)*Sheet2!P$22)</f>
        <v>17.161249118448044</v>
      </c>
      <c r="O147" s="8" cm="1">
        <f t="array" aca="1" ref="O147" ca="1">[1]!UNIFORM_INV(RAND(),Sheet2!Q$21-SQRT(3)*Sheet2!Q$22,Sheet2!Q$21+SQRT(3)*Sheet2!Q$22)</f>
        <v>22.385612535679428</v>
      </c>
      <c r="P147" s="8" cm="1">
        <f t="array" aca="1" ref="P147" ca="1">[1]!UNIFORM_INV(RAND(),Sheet2!R$21-SQRT(3)*Sheet2!R$22,Sheet2!R$21+SQRT(3)*Sheet2!R$22)</f>
        <v>4.6259738949297757</v>
      </c>
      <c r="Q147" s="8" cm="1">
        <f t="array" aca="1" ref="Q147" ca="1">[1]!UNIFORM_INV(RAND(),Sheet2!S$21-SQRT(3)*Sheet2!S$22,Sheet2!S$21+SQRT(3)*Sheet2!S$22)</f>
        <v>5.5738702514813072</v>
      </c>
      <c r="R147" s="8" cm="1">
        <f t="array" aca="1" ref="R147" ca="1">[1]!UNIFORM_INV(RAND(),Sheet2!T$21-SQRT(3)*Sheet2!T$22,Sheet2!T$21+SQRT(3)*Sheet2!T$22)</f>
        <v>9.3059760123359823</v>
      </c>
      <c r="S147" s="8" cm="1">
        <f t="array" aca="1" ref="S147" ca="1">[1]!UNIFORM_INV(RAND(),Sheet2!U$21-SQRT(3)*Sheet2!U$22,Sheet2!U$21+SQRT(3)*Sheet2!U$22)</f>
        <v>22.740175309140579</v>
      </c>
      <c r="T147" s="8" cm="1">
        <f t="array" aca="1" ref="T147" ca="1">[1]!UNIFORM_INV(RAND(),Sheet2!V$21-SQRT(3)*Sheet2!V$22,Sheet2!V$21+SQRT(3)*Sheet2!V$22)</f>
        <v>22.218833250568082</v>
      </c>
      <c r="U147" s="8" cm="1">
        <f t="array" aca="1" ref="U147" ca="1">[1]!UNIFORM_INV(RAND(),Sheet2!W$21-SQRT(3)*Sheet2!W$22,Sheet2!W$21+SQRT(3)*Sheet2!W$22)</f>
        <v>30.766541534617495</v>
      </c>
      <c r="V147" s="8" cm="1">
        <f t="array" aca="1" ref="V147" ca="1">[1]!UNIFORM_INV(RAND(),Sheet2!X$21-SQRT(3)*Sheet2!X$22,Sheet2!X$21+SQRT(3)*Sheet2!X$22)</f>
        <v>17.927937496179208</v>
      </c>
      <c r="W147" s="8" cm="1">
        <f t="array" aca="1" ref="W147" ca="1">[1]!UNIFORM_INV(RAND(),Sheet2!Y$21-SQRT(3)*Sheet2!Y$22,Sheet2!Y$21+SQRT(3)*Sheet2!Y$22)</f>
        <v>14.978400488469498</v>
      </c>
      <c r="X147" s="8" cm="1">
        <f t="array" aca="1" ref="X147" ca="1">[1]!UNIFORM_INV(RAND(),Sheet2!Z$21-SQRT(3)*Sheet2!Z$22,Sheet2!Z$21+SQRT(3)*Sheet2!Z$22)</f>
        <v>10.87114622024807</v>
      </c>
      <c r="AX147" s="7">
        <f ca="1">Sheet2!C$21+('RNG HERE'!A147-'RNG HERE'!Y$122)*Sheet2!C$22/'RNG HERE'!Y$123</f>
        <v>4.211904130135208</v>
      </c>
      <c r="AY147" s="7">
        <f ca="1">Sheet2!D$21+('RNG HERE'!B147-'RNG HERE'!Z$122)*Sheet2!D$22/'RNG HERE'!Z$123</f>
        <v>7.126721987184709</v>
      </c>
      <c r="AZ147" s="7">
        <f ca="1">Sheet2!E$21+('RNG HERE'!C147-'RNG HERE'!AA$122)*Sheet2!E$22/'RNG HERE'!AA$123</f>
        <v>19.566866057172817</v>
      </c>
      <c r="BA147" s="7">
        <f ca="1">Sheet2!F$21+('RNG HERE'!D147-'RNG HERE'!AB$122)*Sheet2!F$22/'RNG HERE'!AB$123</f>
        <v>7.4822861873175572</v>
      </c>
      <c r="BB147" s="7">
        <f ca="1">Sheet2!G$21+('RNG HERE'!E147-'RNG HERE'!AC$122)*Sheet2!G$22/'RNG HERE'!AC$123</f>
        <v>43.612132507347702</v>
      </c>
      <c r="BC147" s="7">
        <f ca="1">Sheet2!H$21+('RNG HERE'!F147-'RNG HERE'!AD$122)*Sheet2!H$22/'RNG HERE'!AD$123</f>
        <v>25.517804366567251</v>
      </c>
      <c r="BD147" s="7">
        <f ca="1">Sheet2!I$21+('RNG HERE'!G147-'RNG HERE'!AE$122)*Sheet2!I$22/'RNG HERE'!AE$123</f>
        <v>10.799278615261526</v>
      </c>
      <c r="BE147" s="7">
        <f ca="1">Sheet2!J$21+('RNG HERE'!H147-'RNG HERE'!AF$122)*Sheet2!J$22/'RNG HERE'!AF$123</f>
        <v>28.209847101131025</v>
      </c>
      <c r="BF147" s="7">
        <f ca="1">Sheet2!K$21+('RNG HERE'!I147-'RNG HERE'!AG$122)*Sheet2!K$22/'RNG HERE'!AG$123</f>
        <v>18.409163329108399</v>
      </c>
      <c r="BG147" s="7">
        <f ca="1">Sheet2!L$21+('RNG HERE'!J147-'RNG HERE'!AH$122)*Sheet2!L$22/'RNG HERE'!AH$123</f>
        <v>28.652898788546068</v>
      </c>
      <c r="BH147" s="7">
        <f ca="1">Sheet2!M$21+('RNG HERE'!K147-'RNG HERE'!AI$122)*Sheet2!M$22/'RNG HERE'!AI$123</f>
        <v>16.155399280814429</v>
      </c>
      <c r="BI147" s="7">
        <f ca="1">Sheet2!N$21+('RNG HERE'!L147-'RNG HERE'!AJ$122)*Sheet2!N$22/'RNG HERE'!AJ$123</f>
        <v>8.1598619642957289</v>
      </c>
      <c r="BJ147" s="7">
        <f ca="1">Sheet2!O$21+('RNG HERE'!M147-'RNG HERE'!AK$122)*Sheet2!O$22/'RNG HERE'!AK$123</f>
        <v>7.1843095728937998</v>
      </c>
      <c r="BK147" s="7">
        <f ca="1">Sheet2!P$21+('RNG HERE'!N147-'RNG HERE'!AL$122)*Sheet2!P$22/'RNG HERE'!AL$123</f>
        <v>17.665559159815476</v>
      </c>
      <c r="BL147" s="7">
        <f ca="1">Sheet2!Q$21+('RNG HERE'!O147-'RNG HERE'!AM$122)*Sheet2!Q$22/'RNG HERE'!AM$123</f>
        <v>22.185199261153013</v>
      </c>
      <c r="BM147" s="7">
        <f ca="1">Sheet2!R$21+('RNG HERE'!P147-'RNG HERE'!AN$122)*Sheet2!R$22/'RNG HERE'!AN$123</f>
        <v>4.7963632267099223</v>
      </c>
      <c r="BN147" s="7">
        <f ca="1">Sheet2!S$21+('RNG HERE'!Q147-'RNG HERE'!AO$122)*Sheet2!S$22/'RNG HERE'!AO$123</f>
        <v>5.591715623553096</v>
      </c>
      <c r="BO147" s="7">
        <f ca="1">Sheet2!T$21+('RNG HERE'!R147-'RNG HERE'!AP$122)*Sheet2!T$22/'RNG HERE'!AP$123</f>
        <v>9.2391905935202843</v>
      </c>
      <c r="BP147" s="7">
        <f ca="1">Sheet2!U$21+('RNG HERE'!S147-'RNG HERE'!AQ$122)*Sheet2!U$22/'RNG HERE'!AQ$123</f>
        <v>22.568509824790475</v>
      </c>
      <c r="BQ147" s="7">
        <f ca="1">Sheet2!V$21+('RNG HERE'!T147-'RNG HERE'!AR$122)*Sheet2!V$22/'RNG HERE'!AR$123</f>
        <v>22.139981776524891</v>
      </c>
      <c r="BR147" s="7">
        <f ca="1">Sheet2!W$21+('RNG HERE'!U147-'RNG HERE'!AS$122)*Sheet2!W$22/'RNG HERE'!AS$123</f>
        <v>30.933044127631987</v>
      </c>
      <c r="BS147" s="7">
        <f ca="1">Sheet2!X$21+('RNG HERE'!V147-'RNG HERE'!AT$122)*Sheet2!X$22/'RNG HERE'!AT$123</f>
        <v>18.319615918211582</v>
      </c>
      <c r="BT147" s="7">
        <f ca="1">Sheet2!Y$21+('RNG HERE'!W147-'RNG HERE'!AU$122)*Sheet2!Y$22/'RNG HERE'!AU$123</f>
        <v>15.030875834808031</v>
      </c>
      <c r="BU147" s="7">
        <f ca="1">Sheet2!Z$21+('RNG HERE'!X147-'RNG HERE'!AV$122)*Sheet2!Z$22/'RNG HERE'!AV$123</f>
        <v>10.889006648715883</v>
      </c>
    </row>
    <row r="148" spans="1:73" x14ac:dyDescent="0.3">
      <c r="A148" s="8" cm="1">
        <f t="array" aca="1" ref="A148" ca="1">[1]!UNIFORM_INV(RAND(),Sheet2!C$21-SQRT(3)*Sheet2!C$22,Sheet2!C$21+SQRT(3)*Sheet2!C$22)</f>
        <v>4.468143749270296</v>
      </c>
      <c r="B148" s="8" cm="1">
        <f t="array" aca="1" ref="B148" ca="1">[1]!UNIFORM_INV(RAND(),Sheet2!D$21-SQRT(3)*Sheet2!D$22,Sheet2!D$21+SQRT(3)*Sheet2!D$22)</f>
        <v>9.5152649431244214</v>
      </c>
      <c r="C148" s="8" cm="1">
        <f t="array" aca="1" ref="C148" ca="1">[1]!UNIFORM_INV(RAND(),Sheet2!E$21-SQRT(3)*Sheet2!E$22,Sheet2!E$21+SQRT(3)*Sheet2!E$22)</f>
        <v>19.645119499273388</v>
      </c>
      <c r="D148" s="8" cm="1">
        <f t="array" aca="1" ref="D148" ca="1">[1]!UNIFORM_INV(RAND(),Sheet2!F$21-SQRT(3)*Sheet2!F$22,Sheet2!F$21+SQRT(3)*Sheet2!F$22)</f>
        <v>0.7955353481177565</v>
      </c>
      <c r="E148" s="8" cm="1">
        <f t="array" aca="1" ref="E148" ca="1">[1]!UNIFORM_INV(RAND(),Sheet2!G$21-SQRT(3)*Sheet2!G$22,Sheet2!G$21+SQRT(3)*Sheet2!G$22)</f>
        <v>47.600744120247619</v>
      </c>
      <c r="F148" s="8" cm="1">
        <f t="array" aca="1" ref="F148" ca="1">[1]!UNIFORM_INV(RAND(),Sheet2!H$21-SQRT(3)*Sheet2!H$22,Sheet2!H$21+SQRT(3)*Sheet2!H$22)</f>
        <v>13.0193161494518</v>
      </c>
      <c r="G148" s="8" cm="1">
        <f t="array" aca="1" ref="G148" ca="1">[1]!UNIFORM_INV(RAND(),Sheet2!I$21-SQRT(3)*Sheet2!I$22,Sheet2!I$21+SQRT(3)*Sheet2!I$22)</f>
        <v>9.9320387245182786</v>
      </c>
      <c r="H148" s="8" cm="1">
        <f t="array" aca="1" ref="H148" ca="1">[1]!UNIFORM_INV(RAND(),Sheet2!J$21-SQRT(3)*Sheet2!J$22,Sheet2!J$21+SQRT(3)*Sheet2!J$22)</f>
        <v>27.029695451111756</v>
      </c>
      <c r="I148" s="8" cm="1">
        <f t="array" aca="1" ref="I148" ca="1">[1]!UNIFORM_INV(RAND(),Sheet2!K$21-SQRT(3)*Sheet2!K$22,Sheet2!K$21+SQRT(3)*Sheet2!K$22)</f>
        <v>18.515908548560017</v>
      </c>
      <c r="J148" s="8" cm="1">
        <f t="array" aca="1" ref="J148" ca="1">[1]!UNIFORM_INV(RAND(),Sheet2!L$21-SQRT(3)*Sheet2!L$22,Sheet2!L$21+SQRT(3)*Sheet2!L$22)</f>
        <v>24.991199389737254</v>
      </c>
      <c r="K148" s="8" cm="1">
        <f t="array" aca="1" ref="K148" ca="1">[1]!UNIFORM_INV(RAND(),Sheet2!M$21-SQRT(3)*Sheet2!M$22,Sheet2!M$21+SQRT(3)*Sheet2!M$22)</f>
        <v>17.3445295590776</v>
      </c>
      <c r="L148" s="8" cm="1">
        <f t="array" aca="1" ref="L148" ca="1">[1]!UNIFORM_INV(RAND(),Sheet2!N$21-SQRT(3)*Sheet2!N$22,Sheet2!N$21+SQRT(3)*Sheet2!N$22)</f>
        <v>8.6367254135102698</v>
      </c>
      <c r="M148" s="8" cm="1">
        <f t="array" aca="1" ref="M148" ca="1">[1]!UNIFORM_INV(RAND(),Sheet2!O$21-SQRT(3)*Sheet2!O$22,Sheet2!O$21+SQRT(3)*Sheet2!O$22)</f>
        <v>6.9312985957245852</v>
      </c>
      <c r="N148" s="8" cm="1">
        <f t="array" aca="1" ref="N148" ca="1">[1]!UNIFORM_INV(RAND(),Sheet2!P$21-SQRT(3)*Sheet2!P$22,Sheet2!P$21+SQRT(3)*Sheet2!P$22)</f>
        <v>18.787708241974077</v>
      </c>
      <c r="O148" s="8" cm="1">
        <f t="array" aca="1" ref="O148" ca="1">[1]!UNIFORM_INV(RAND(),Sheet2!Q$21-SQRT(3)*Sheet2!Q$22,Sheet2!Q$21+SQRT(3)*Sheet2!Q$22)</f>
        <v>19.678023899782403</v>
      </c>
      <c r="P148" s="8" cm="1">
        <f t="array" aca="1" ref="P148" ca="1">[1]!UNIFORM_INV(RAND(),Sheet2!R$21-SQRT(3)*Sheet2!R$22,Sheet2!R$21+SQRT(3)*Sheet2!R$22)</f>
        <v>4.766501725917287</v>
      </c>
      <c r="Q148" s="8" cm="1">
        <f t="array" aca="1" ref="Q148" ca="1">[1]!UNIFORM_INV(RAND(),Sheet2!S$21-SQRT(3)*Sheet2!S$22,Sheet2!S$21+SQRT(3)*Sheet2!S$22)</f>
        <v>4.3602214665523897</v>
      </c>
      <c r="R148" s="8" cm="1">
        <f t="array" aca="1" ref="R148" ca="1">[1]!UNIFORM_INV(RAND(),Sheet2!T$21-SQRT(3)*Sheet2!T$22,Sheet2!T$21+SQRT(3)*Sheet2!T$22)</f>
        <v>9.6851119059178483</v>
      </c>
      <c r="S148" s="8" cm="1">
        <f t="array" aca="1" ref="S148" ca="1">[1]!UNIFORM_INV(RAND(),Sheet2!U$21-SQRT(3)*Sheet2!U$22,Sheet2!U$21+SQRT(3)*Sheet2!U$22)</f>
        <v>24.663337934506949</v>
      </c>
      <c r="T148" s="8" cm="1">
        <f t="array" aca="1" ref="T148" ca="1">[1]!UNIFORM_INV(RAND(),Sheet2!V$21-SQRT(3)*Sheet2!V$22,Sheet2!V$21+SQRT(3)*Sheet2!V$22)</f>
        <v>24.05968346117907</v>
      </c>
      <c r="U148" s="8" cm="1">
        <f t="array" aca="1" ref="U148" ca="1">[1]!UNIFORM_INV(RAND(),Sheet2!W$21-SQRT(3)*Sheet2!W$22,Sheet2!W$21+SQRT(3)*Sheet2!W$22)</f>
        <v>32.257665047765002</v>
      </c>
      <c r="V148" s="8" cm="1">
        <f t="array" aca="1" ref="V148" ca="1">[1]!UNIFORM_INV(RAND(),Sheet2!X$21-SQRT(3)*Sheet2!X$22,Sheet2!X$21+SQRT(3)*Sheet2!X$22)</f>
        <v>18.632525050505976</v>
      </c>
      <c r="W148" s="8" cm="1">
        <f t="array" aca="1" ref="W148" ca="1">[1]!UNIFORM_INV(RAND(),Sheet2!Y$21-SQRT(3)*Sheet2!Y$22,Sheet2!Y$21+SQRT(3)*Sheet2!Y$22)</f>
        <v>14.669100493512369</v>
      </c>
      <c r="X148" s="8" cm="1">
        <f t="array" aca="1" ref="X148" ca="1">[1]!UNIFORM_INV(RAND(),Sheet2!Z$21-SQRT(3)*Sheet2!Z$22,Sheet2!Z$21+SQRT(3)*Sheet2!Z$22)</f>
        <v>10.082701114936892</v>
      </c>
      <c r="AX148" s="7">
        <f ca="1">Sheet2!C$21+('RNG HERE'!A148-'RNG HERE'!Y$122)*Sheet2!C$22/'RNG HERE'!Y$123</f>
        <v>4.7509841442122092</v>
      </c>
      <c r="AY148" s="7">
        <f ca="1">Sheet2!D$21+('RNG HERE'!B148-'RNG HERE'!Z$122)*Sheet2!D$22/'RNG HERE'!Z$123</f>
        <v>9.7088849443797649</v>
      </c>
      <c r="AZ148" s="7">
        <f ca="1">Sheet2!E$21+('RNG HERE'!C148-'RNG HERE'!AA$122)*Sheet2!E$22/'RNG HERE'!AA$123</f>
        <v>20.586346755238758</v>
      </c>
      <c r="BA148" s="7">
        <f ca="1">Sheet2!F$21+('RNG HERE'!D148-'RNG HERE'!AB$122)*Sheet2!F$22/'RNG HERE'!AB$123</f>
        <v>0.90904945330488118</v>
      </c>
      <c r="BB148" s="7">
        <f ca="1">Sheet2!G$21+('RNG HERE'!E148-'RNG HERE'!AC$122)*Sheet2!G$22/'RNG HERE'!AC$123</f>
        <v>46.962454870976998</v>
      </c>
      <c r="BC148" s="7">
        <f ca="1">Sheet2!H$21+('RNG HERE'!F148-'RNG HERE'!AD$122)*Sheet2!H$22/'RNG HERE'!AD$123</f>
        <v>13.041570803673739</v>
      </c>
      <c r="BD148" s="7">
        <f ca="1">Sheet2!I$21+('RNG HERE'!G148-'RNG HERE'!AE$122)*Sheet2!I$22/'RNG HERE'!AE$123</f>
        <v>9.9540044386675124</v>
      </c>
      <c r="BE148" s="7">
        <f ca="1">Sheet2!J$21+('RNG HERE'!H148-'RNG HERE'!AF$122)*Sheet2!J$22/'RNG HERE'!AF$123</f>
        <v>27.149691607244304</v>
      </c>
      <c r="BF148" s="7">
        <f ca="1">Sheet2!K$21+('RNG HERE'!I148-'RNG HERE'!AG$122)*Sheet2!K$22/'RNG HERE'!AG$123</f>
        <v>18.737323263693604</v>
      </c>
      <c r="BG148" s="7">
        <f ca="1">Sheet2!L$21+('RNG HERE'!J148-'RNG HERE'!AH$122)*Sheet2!L$22/'RNG HERE'!AH$123</f>
        <v>24.587615246505138</v>
      </c>
      <c r="BH148" s="7">
        <f ca="1">Sheet2!M$21+('RNG HERE'!K148-'RNG HERE'!AI$122)*Sheet2!M$22/'RNG HERE'!AI$123</f>
        <v>17.486902249574307</v>
      </c>
      <c r="BI148" s="7">
        <f ca="1">Sheet2!N$21+('RNG HERE'!L148-'RNG HERE'!AJ$122)*Sheet2!N$22/'RNG HERE'!AJ$123</f>
        <v>8.3747989773768285</v>
      </c>
      <c r="BJ148" s="7">
        <f ca="1">Sheet2!O$21+('RNG HERE'!M148-'RNG HERE'!AK$122)*Sheet2!O$22/'RNG HERE'!AK$123</f>
        <v>6.999172953340878</v>
      </c>
      <c r="BK148" s="7">
        <f ca="1">Sheet2!P$21+('RNG HERE'!N148-'RNG HERE'!AL$122)*Sheet2!P$22/'RNG HERE'!AL$123</f>
        <v>19.420605701249304</v>
      </c>
      <c r="BL148" s="7">
        <f ca="1">Sheet2!Q$21+('RNG HERE'!O148-'RNG HERE'!AM$122)*Sheet2!Q$22/'RNG HERE'!AM$123</f>
        <v>19.275050342062567</v>
      </c>
      <c r="BM148" s="7">
        <f ca="1">Sheet2!R$21+('RNG HERE'!P148-'RNG HERE'!AN$122)*Sheet2!R$22/'RNG HERE'!AN$123</f>
        <v>4.9246269796007542</v>
      </c>
      <c r="BN148" s="7">
        <f ca="1">Sheet2!S$21+('RNG HERE'!Q148-'RNG HERE'!AO$122)*Sheet2!S$22/'RNG HERE'!AO$123</f>
        <v>4.1999532178882735</v>
      </c>
      <c r="BO148" s="7">
        <f ca="1">Sheet2!T$21+('RNG HERE'!R148-'RNG HERE'!AP$122)*Sheet2!T$22/'RNG HERE'!AP$123</f>
        <v>9.6722047227624888</v>
      </c>
      <c r="BP148" s="7">
        <f ca="1">Sheet2!U$21+('RNG HERE'!S148-'RNG HERE'!AQ$122)*Sheet2!U$22/'RNG HERE'!AQ$123</f>
        <v>24.340116943229777</v>
      </c>
      <c r="BQ148" s="7">
        <f ca="1">Sheet2!V$21+('RNG HERE'!T148-'RNG HERE'!AR$122)*Sheet2!V$22/'RNG HERE'!AR$123</f>
        <v>24.008823424454544</v>
      </c>
      <c r="BR148" s="7">
        <f ca="1">Sheet2!W$21+('RNG HERE'!U148-'RNG HERE'!AS$122)*Sheet2!W$22/'RNG HERE'!AS$123</f>
        <v>32.333981663613862</v>
      </c>
      <c r="BS148" s="7">
        <f ca="1">Sheet2!X$21+('RNG HERE'!V148-'RNG HERE'!AT$122)*Sheet2!X$22/'RNG HERE'!AT$123</f>
        <v>18.993283884137018</v>
      </c>
      <c r="BT148" s="7">
        <f ca="1">Sheet2!Y$21+('RNG HERE'!W148-'RNG HERE'!AU$122)*Sheet2!Y$22/'RNG HERE'!AU$123</f>
        <v>14.698928658882698</v>
      </c>
      <c r="BU148" s="7">
        <f ca="1">Sheet2!Z$21+('RNG HERE'!X148-'RNG HERE'!AV$122)*Sheet2!Z$22/'RNG HERE'!AV$123</f>
        <v>10.051985495998236</v>
      </c>
    </row>
    <row r="149" spans="1:73" x14ac:dyDescent="0.3">
      <c r="A149" s="8" cm="1">
        <f t="array" aca="1" ref="A149" ca="1">[1]!UNIFORM_INV(RAND(),Sheet2!C$21-SQRT(3)*Sheet2!C$22,Sheet2!C$21+SQRT(3)*Sheet2!C$22)</f>
        <v>4.4154990222565127</v>
      </c>
      <c r="B149" s="8" cm="1">
        <f t="array" aca="1" ref="B149" ca="1">[1]!UNIFORM_INV(RAND(),Sheet2!D$21-SQRT(3)*Sheet2!D$22,Sheet2!D$21+SQRT(3)*Sheet2!D$22)</f>
        <v>9.1223652213207149</v>
      </c>
      <c r="C149" s="8" cm="1">
        <f t="array" aca="1" ref="C149" ca="1">[1]!UNIFORM_INV(RAND(),Sheet2!E$21-SQRT(3)*Sheet2!E$22,Sheet2!E$21+SQRT(3)*Sheet2!E$22)</f>
        <v>19.529313870093443</v>
      </c>
      <c r="D149" s="8" cm="1">
        <f t="array" aca="1" ref="D149" ca="1">[1]!UNIFORM_INV(RAND(),Sheet2!F$21-SQRT(3)*Sheet2!F$22,Sheet2!F$21+SQRT(3)*Sheet2!F$22)</f>
        <v>1.4456853693690606</v>
      </c>
      <c r="E149" s="8" cm="1">
        <f t="array" aca="1" ref="E149" ca="1">[1]!UNIFORM_INV(RAND(),Sheet2!G$21-SQRT(3)*Sheet2!G$22,Sheet2!G$21+SQRT(3)*Sheet2!G$22)</f>
        <v>35.109219417847505</v>
      </c>
      <c r="F149" s="8" cm="1">
        <f t="array" aca="1" ref="F149" ca="1">[1]!UNIFORM_INV(RAND(),Sheet2!H$21-SQRT(3)*Sheet2!H$22,Sheet2!H$21+SQRT(3)*Sheet2!H$22)</f>
        <v>14.825299386161163</v>
      </c>
      <c r="G149" s="8" cm="1">
        <f t="array" aca="1" ref="G149" ca="1">[1]!UNIFORM_INV(RAND(),Sheet2!I$21-SQRT(3)*Sheet2!I$22,Sheet2!I$21+SQRT(3)*Sheet2!I$22)</f>
        <v>9.3990837319183242</v>
      </c>
      <c r="H149" s="8" cm="1">
        <f t="array" aca="1" ref="H149" ca="1">[1]!UNIFORM_INV(RAND(),Sheet2!J$21-SQRT(3)*Sheet2!J$22,Sheet2!J$21+SQRT(3)*Sheet2!J$22)</f>
        <v>30.256753200923011</v>
      </c>
      <c r="I149" s="8" cm="1">
        <f t="array" aca="1" ref="I149" ca="1">[1]!UNIFORM_INV(RAND(),Sheet2!K$21-SQRT(3)*Sheet2!K$22,Sheet2!K$21+SQRT(3)*Sheet2!K$22)</f>
        <v>16.718999749887935</v>
      </c>
      <c r="J149" s="8" cm="1">
        <f t="array" aca="1" ref="J149" ca="1">[1]!UNIFORM_INV(RAND(),Sheet2!L$21-SQRT(3)*Sheet2!L$22,Sheet2!L$21+SQRT(3)*Sheet2!L$22)</f>
        <v>23.828912704771874</v>
      </c>
      <c r="K149" s="8" cm="1">
        <f t="array" aca="1" ref="K149" ca="1">[1]!UNIFORM_INV(RAND(),Sheet2!M$21-SQRT(3)*Sheet2!M$22,Sheet2!M$21+SQRT(3)*Sheet2!M$22)</f>
        <v>16.177128423688828</v>
      </c>
      <c r="L149" s="8" cm="1">
        <f t="array" aca="1" ref="L149" ca="1">[1]!UNIFORM_INV(RAND(),Sheet2!N$21-SQRT(3)*Sheet2!N$22,Sheet2!N$21+SQRT(3)*Sheet2!N$22)</f>
        <v>7.2397366042347295</v>
      </c>
      <c r="M149" s="8" cm="1">
        <f t="array" aca="1" ref="M149" ca="1">[1]!UNIFORM_INV(RAND(),Sheet2!O$21-SQRT(3)*Sheet2!O$22,Sheet2!O$21+SQRT(3)*Sheet2!O$22)</f>
        <v>7.0611823882055482</v>
      </c>
      <c r="N149" s="8" cm="1">
        <f t="array" aca="1" ref="N149" ca="1">[1]!UNIFORM_INV(RAND(),Sheet2!P$21-SQRT(3)*Sheet2!P$22,Sheet2!P$21+SQRT(3)*Sheet2!P$22)</f>
        <v>18.447106724579758</v>
      </c>
      <c r="O149" s="8" cm="1">
        <f t="array" aca="1" ref="O149" ca="1">[1]!UNIFORM_INV(RAND(),Sheet2!Q$21-SQRT(3)*Sheet2!Q$22,Sheet2!Q$21+SQRT(3)*Sheet2!Q$22)</f>
        <v>22.455417155803058</v>
      </c>
      <c r="P149" s="8" cm="1">
        <f t="array" aca="1" ref="P149" ca="1">[1]!UNIFORM_INV(RAND(),Sheet2!R$21-SQRT(3)*Sheet2!R$22,Sheet2!R$21+SQRT(3)*Sheet2!R$22)</f>
        <v>5.0015002950250338</v>
      </c>
      <c r="Q149" s="8" cm="1">
        <f t="array" aca="1" ref="Q149" ca="1">[1]!UNIFORM_INV(RAND(),Sheet2!S$21-SQRT(3)*Sheet2!S$22,Sheet2!S$21+SQRT(3)*Sheet2!S$22)</f>
        <v>6.2995792781745692</v>
      </c>
      <c r="R149" s="8" cm="1">
        <f t="array" aca="1" ref="R149" ca="1">[1]!UNIFORM_INV(RAND(),Sheet2!T$21-SQRT(3)*Sheet2!T$22,Sheet2!T$21+SQRT(3)*Sheet2!T$22)</f>
        <v>9.0856646271373158</v>
      </c>
      <c r="S149" s="8" cm="1">
        <f t="array" aca="1" ref="S149" ca="1">[1]!UNIFORM_INV(RAND(),Sheet2!U$21-SQRT(3)*Sheet2!U$22,Sheet2!U$21+SQRT(3)*Sheet2!U$22)</f>
        <v>23.342693590863131</v>
      </c>
      <c r="T149" s="8" cm="1">
        <f t="array" aca="1" ref="T149" ca="1">[1]!UNIFORM_INV(RAND(),Sheet2!V$21-SQRT(3)*Sheet2!V$22,Sheet2!V$21+SQRT(3)*Sheet2!V$22)</f>
        <v>20.544841787334398</v>
      </c>
      <c r="U149" s="8" cm="1">
        <f t="array" aca="1" ref="U149" ca="1">[1]!UNIFORM_INV(RAND(),Sheet2!W$21-SQRT(3)*Sheet2!W$22,Sheet2!W$21+SQRT(3)*Sheet2!W$22)</f>
        <v>33.499538607106025</v>
      </c>
      <c r="V149" s="8" cm="1">
        <f t="array" aca="1" ref="V149" ca="1">[1]!UNIFORM_INV(RAND(),Sheet2!X$21-SQRT(3)*Sheet2!X$22,Sheet2!X$21+SQRT(3)*Sheet2!X$22)</f>
        <v>20.462303455391829</v>
      </c>
      <c r="W149" s="8" cm="1">
        <f t="array" aca="1" ref="W149" ca="1">[1]!UNIFORM_INV(RAND(),Sheet2!Y$21-SQRT(3)*Sheet2!Y$22,Sheet2!Y$21+SQRT(3)*Sheet2!Y$22)</f>
        <v>13.002777167672292</v>
      </c>
      <c r="X149" s="8" cm="1">
        <f t="array" aca="1" ref="X149" ca="1">[1]!UNIFORM_INV(RAND(),Sheet2!Z$21-SQRT(3)*Sheet2!Z$22,Sheet2!Z$21+SQRT(3)*Sheet2!Z$22)</f>
        <v>10.08758800012038</v>
      </c>
      <c r="AX149" s="7">
        <f ca="1">Sheet2!C$21+('RNG HERE'!A149-'RNG HERE'!Y$122)*Sheet2!C$22/'RNG HERE'!Y$123</f>
        <v>4.7005206354747253</v>
      </c>
      <c r="AY149" s="7">
        <f ca="1">Sheet2!D$21+('RNG HERE'!B149-'RNG HERE'!Z$122)*Sheet2!D$22/'RNG HERE'!Z$123</f>
        <v>9.3236706235982361</v>
      </c>
      <c r="AZ149" s="7">
        <f ca="1">Sheet2!E$21+('RNG HERE'!C149-'RNG HERE'!AA$122)*Sheet2!E$22/'RNG HERE'!AA$123</f>
        <v>20.471354872653581</v>
      </c>
      <c r="BA149" s="7">
        <f ca="1">Sheet2!F$21+('RNG HERE'!D149-'RNG HERE'!AB$122)*Sheet2!F$22/'RNG HERE'!AB$123</f>
        <v>1.6151409619666572</v>
      </c>
      <c r="BB149" s="7">
        <f ca="1">Sheet2!G$21+('RNG HERE'!E149-'RNG HERE'!AC$122)*Sheet2!G$22/'RNG HERE'!AC$123</f>
        <v>33.617168935103962</v>
      </c>
      <c r="BC149" s="7">
        <f ca="1">Sheet2!H$21+('RNG HERE'!F149-'RNG HERE'!AD$122)*Sheet2!H$22/'RNG HERE'!AD$123</f>
        <v>14.892251102305245</v>
      </c>
      <c r="BD149" s="7">
        <f ca="1">Sheet2!I$21+('RNG HERE'!G149-'RNG HERE'!AE$122)*Sheet2!I$22/'RNG HERE'!AE$123</f>
        <v>9.4264625652545639</v>
      </c>
      <c r="BE149" s="7">
        <f ca="1">Sheet2!J$21+('RNG HERE'!H149-'RNG HERE'!AF$122)*Sheet2!J$22/'RNG HERE'!AF$123</f>
        <v>30.673897724914269</v>
      </c>
      <c r="BF149" s="7">
        <f ca="1">Sheet2!K$21+('RNG HERE'!I149-'RNG HERE'!AG$122)*Sheet2!K$22/'RNG HERE'!AG$123</f>
        <v>16.98960248460212</v>
      </c>
      <c r="BG149" s="7">
        <f ca="1">Sheet2!L$21+('RNG HERE'!J149-'RNG HERE'!AH$122)*Sheet2!L$22/'RNG HERE'!AH$123</f>
        <v>23.351481770620364</v>
      </c>
      <c r="BH149" s="7">
        <f ca="1">Sheet2!M$21+('RNG HERE'!K149-'RNG HERE'!AI$122)*Sheet2!M$22/'RNG HERE'!AI$123</f>
        <v>16.232092271034233</v>
      </c>
      <c r="BI149" s="7">
        <f ca="1">Sheet2!N$21+('RNG HERE'!L149-'RNG HERE'!AJ$122)*Sheet2!N$22/'RNG HERE'!AJ$123</f>
        <v>7.0623455715287022</v>
      </c>
      <c r="BJ149" s="7">
        <f ca="1">Sheet2!O$21+('RNG HERE'!M149-'RNG HERE'!AK$122)*Sheet2!O$22/'RNG HERE'!AK$123</f>
        <v>7.1332192498936697</v>
      </c>
      <c r="BK149" s="7">
        <f ca="1">Sheet2!P$21+('RNG HERE'!N149-'RNG HERE'!AL$122)*Sheet2!P$22/'RNG HERE'!AL$123</f>
        <v>19.053076320114847</v>
      </c>
      <c r="BL149" s="7">
        <f ca="1">Sheet2!Q$21+('RNG HERE'!O149-'RNG HERE'!AM$122)*Sheet2!Q$22/'RNG HERE'!AM$123</f>
        <v>22.260226108698117</v>
      </c>
      <c r="BM149" s="7">
        <f ca="1">Sheet2!R$21+('RNG HERE'!P149-'RNG HERE'!AN$122)*Sheet2!R$22/'RNG HERE'!AN$123</f>
        <v>5.1391168652406574</v>
      </c>
      <c r="BN149" s="7">
        <f ca="1">Sheet2!S$21+('RNG HERE'!Q149-'RNG HERE'!AO$122)*Sheet2!S$22/'RNG HERE'!AO$123</f>
        <v>6.4239288250539293</v>
      </c>
      <c r="BO149" s="7">
        <f ca="1">Sheet2!T$21+('RNG HERE'!R149-'RNG HERE'!AP$122)*Sheet2!T$22/'RNG HERE'!AP$123</f>
        <v>8.9875712025871888</v>
      </c>
      <c r="BP149" s="7">
        <f ca="1">Sheet2!U$21+('RNG HERE'!S149-'RNG HERE'!AQ$122)*Sheet2!U$22/'RNG HERE'!AQ$123</f>
        <v>23.123546441460448</v>
      </c>
      <c r="BQ149" s="7">
        <f ca="1">Sheet2!V$21+('RNG HERE'!T149-'RNG HERE'!AR$122)*Sheet2!V$22/'RNG HERE'!AR$123</f>
        <v>20.440536081955607</v>
      </c>
      <c r="BR149" s="7">
        <f ca="1">Sheet2!W$21+('RNG HERE'!U149-'RNG HERE'!AS$122)*Sheet2!W$22/'RNG HERE'!AS$123</f>
        <v>33.500744355560066</v>
      </c>
      <c r="BS149" s="7">
        <f ca="1">Sheet2!X$21+('RNG HERE'!V149-'RNG HERE'!AT$122)*Sheet2!X$22/'RNG HERE'!AT$123</f>
        <v>20.742765674645728</v>
      </c>
      <c r="BT149" s="7">
        <f ca="1">Sheet2!Y$21+('RNG HERE'!W149-'RNG HERE'!AU$122)*Sheet2!Y$22/'RNG HERE'!AU$123</f>
        <v>12.910595871267272</v>
      </c>
      <c r="BU149" s="7">
        <f ca="1">Sheet2!Z$21+('RNG HERE'!X149-'RNG HERE'!AV$122)*Sheet2!Z$22/'RNG HERE'!AV$123</f>
        <v>10.057173461833687</v>
      </c>
    </row>
    <row r="150" spans="1:73" x14ac:dyDescent="0.3">
      <c r="A150" s="8" cm="1">
        <f t="array" aca="1" ref="A150" ca="1">[1]!UNIFORM_INV(RAND(),Sheet2!C$21-SQRT(3)*Sheet2!C$22,Sheet2!C$21+SQRT(3)*Sheet2!C$22)</f>
        <v>5.438538941329476</v>
      </c>
      <c r="B150" s="8" cm="1">
        <f t="array" aca="1" ref="B150" ca="1">[1]!UNIFORM_INV(RAND(),Sheet2!D$21-SQRT(3)*Sheet2!D$22,Sheet2!D$21+SQRT(3)*Sheet2!D$22)</f>
        <v>8.0517914181135719</v>
      </c>
      <c r="C150" s="8" cm="1">
        <f t="array" aca="1" ref="C150" ca="1">[1]!UNIFORM_INV(RAND(),Sheet2!E$21-SQRT(3)*Sheet2!E$22,Sheet2!E$21+SQRT(3)*Sheet2!E$22)</f>
        <v>18.994742117475642</v>
      </c>
      <c r="D150" s="8" cm="1">
        <f t="array" aca="1" ref="D150" ca="1">[1]!UNIFORM_INV(RAND(),Sheet2!F$21-SQRT(3)*Sheet2!F$22,Sheet2!F$21+SQRT(3)*Sheet2!F$22)</f>
        <v>8.2592515846584984</v>
      </c>
      <c r="E150" s="8" cm="1">
        <f t="array" aca="1" ref="E150" ca="1">[1]!UNIFORM_INV(RAND(),Sheet2!G$21-SQRT(3)*Sheet2!G$22,Sheet2!G$21+SQRT(3)*Sheet2!G$22)</f>
        <v>44.867857505650171</v>
      </c>
      <c r="F150" s="8" cm="1">
        <f t="array" aca="1" ref="F150" ca="1">[1]!UNIFORM_INV(RAND(),Sheet2!H$21-SQRT(3)*Sheet2!H$22,Sheet2!H$21+SQRT(3)*Sheet2!H$22)</f>
        <v>20.546916745395876</v>
      </c>
      <c r="G150" s="8" cm="1">
        <f t="array" aca="1" ref="G150" ca="1">[1]!UNIFORM_INV(RAND(),Sheet2!I$21-SQRT(3)*Sheet2!I$22,Sheet2!I$21+SQRT(3)*Sheet2!I$22)</f>
        <v>9.339647464546367</v>
      </c>
      <c r="H150" s="8" cm="1">
        <f t="array" aca="1" ref="H150" ca="1">[1]!UNIFORM_INV(RAND(),Sheet2!J$21-SQRT(3)*Sheet2!J$22,Sheet2!J$21+SQRT(3)*Sheet2!J$22)</f>
        <v>30.169634772221006</v>
      </c>
      <c r="I150" s="8" cm="1">
        <f t="array" aca="1" ref="I150" ca="1">[1]!UNIFORM_INV(RAND(),Sheet2!K$21-SQRT(3)*Sheet2!K$22,Sheet2!K$21+SQRT(3)*Sheet2!K$22)</f>
        <v>20.806680368768745</v>
      </c>
      <c r="J150" s="8" cm="1">
        <f t="array" aca="1" ref="J150" ca="1">[1]!UNIFORM_INV(RAND(),Sheet2!L$21-SQRT(3)*Sheet2!L$22,Sheet2!L$21+SQRT(3)*Sheet2!L$22)</f>
        <v>23.831738772190121</v>
      </c>
      <c r="K150" s="8" cm="1">
        <f t="array" aca="1" ref="K150" ca="1">[1]!UNIFORM_INV(RAND(),Sheet2!M$21-SQRT(3)*Sheet2!M$22,Sheet2!M$21+SQRT(3)*Sheet2!M$22)</f>
        <v>15.974004149549144</v>
      </c>
      <c r="L150" s="8" cm="1">
        <f t="array" aca="1" ref="L150" ca="1">[1]!UNIFORM_INV(RAND(),Sheet2!N$21-SQRT(3)*Sheet2!N$22,Sheet2!N$21+SQRT(3)*Sheet2!N$22)</f>
        <v>8.4476535834193829</v>
      </c>
      <c r="M150" s="8" cm="1">
        <f t="array" aca="1" ref="M150" ca="1">[1]!UNIFORM_INV(RAND(),Sheet2!O$21-SQRT(3)*Sheet2!O$22,Sheet2!O$21+SQRT(3)*Sheet2!O$22)</f>
        <v>8.1655414220434288</v>
      </c>
      <c r="N150" s="8" cm="1">
        <f t="array" aca="1" ref="N150" ca="1">[1]!UNIFORM_INV(RAND(),Sheet2!P$21-SQRT(3)*Sheet2!P$22,Sheet2!P$21+SQRT(3)*Sheet2!P$22)</f>
        <v>18.786152222989784</v>
      </c>
      <c r="O150" s="8" cm="1">
        <f t="array" aca="1" ref="O150" ca="1">[1]!UNIFORM_INV(RAND(),Sheet2!Q$21-SQRT(3)*Sheet2!Q$22,Sheet2!Q$21+SQRT(3)*Sheet2!Q$22)</f>
        <v>22.065616368512103</v>
      </c>
      <c r="P150" s="8" cm="1">
        <f t="array" aca="1" ref="P150" ca="1">[1]!UNIFORM_INV(RAND(),Sheet2!R$21-SQRT(3)*Sheet2!R$22,Sheet2!R$21+SQRT(3)*Sheet2!R$22)</f>
        <v>5.6382505513006764</v>
      </c>
      <c r="Q150" s="8" cm="1">
        <f t="array" aca="1" ref="Q150" ca="1">[1]!UNIFORM_INV(RAND(),Sheet2!S$21-SQRT(3)*Sheet2!S$22,Sheet2!S$21+SQRT(3)*Sheet2!S$22)</f>
        <v>5.1776745116731053</v>
      </c>
      <c r="R150" s="8" cm="1">
        <f t="array" aca="1" ref="R150" ca="1">[1]!UNIFORM_INV(RAND(),Sheet2!T$21-SQRT(3)*Sheet2!T$22,Sheet2!T$21+SQRT(3)*Sheet2!T$22)</f>
        <v>9.7336418656520998</v>
      </c>
      <c r="S150" s="8" cm="1">
        <f t="array" aca="1" ref="S150" ca="1">[1]!UNIFORM_INV(RAND(),Sheet2!U$21-SQRT(3)*Sheet2!U$22,Sheet2!U$21+SQRT(3)*Sheet2!U$22)</f>
        <v>25.208634733336407</v>
      </c>
      <c r="T150" s="8" cm="1">
        <f t="array" aca="1" ref="T150" ca="1">[1]!UNIFORM_INV(RAND(),Sheet2!V$21-SQRT(3)*Sheet2!V$22,Sheet2!V$21+SQRT(3)*Sheet2!V$22)</f>
        <v>23.462981466273785</v>
      </c>
      <c r="U150" s="8" cm="1">
        <f t="array" aca="1" ref="U150" ca="1">[1]!UNIFORM_INV(RAND(),Sheet2!W$21-SQRT(3)*Sheet2!W$22,Sheet2!W$21+SQRT(3)*Sheet2!W$22)</f>
        <v>34.593579168237873</v>
      </c>
      <c r="V150" s="8" cm="1">
        <f t="array" aca="1" ref="V150" ca="1">[1]!UNIFORM_INV(RAND(),Sheet2!X$21-SQRT(3)*Sheet2!X$22,Sheet2!X$21+SQRT(3)*Sheet2!X$22)</f>
        <v>20.352968410552783</v>
      </c>
      <c r="W150" s="8" cm="1">
        <f t="array" aca="1" ref="W150" ca="1">[1]!UNIFORM_INV(RAND(),Sheet2!Y$21-SQRT(3)*Sheet2!Y$22,Sheet2!Y$21+SQRT(3)*Sheet2!Y$22)</f>
        <v>14.029779022171617</v>
      </c>
      <c r="X150" s="8" cm="1">
        <f t="array" aca="1" ref="X150" ca="1">[1]!UNIFORM_INV(RAND(),Sheet2!Z$21-SQRT(3)*Sheet2!Z$22,Sheet2!Z$21+SQRT(3)*Sheet2!Z$22)</f>
        <v>10.786756058539616</v>
      </c>
      <c r="AX150" s="7">
        <f ca="1">Sheet2!C$21+('RNG HERE'!A150-'RNG HERE'!Y$122)*Sheet2!C$22/'RNG HERE'!Y$123</f>
        <v>5.6811731494751587</v>
      </c>
      <c r="AY150" s="7">
        <f ca="1">Sheet2!D$21+('RNG HERE'!B150-'RNG HERE'!Z$122)*Sheet2!D$22/'RNG HERE'!Z$123</f>
        <v>8.2740380136393679</v>
      </c>
      <c r="AZ150" s="7">
        <f ca="1">Sheet2!E$21+('RNG HERE'!C150-'RNG HERE'!AA$122)*Sheet2!E$22/'RNG HERE'!AA$123</f>
        <v>19.94053946544345</v>
      </c>
      <c r="BA150" s="7">
        <f ca="1">Sheet2!F$21+('RNG HERE'!D150-'RNG HERE'!AB$122)*Sheet2!F$22/'RNG HERE'!AB$123</f>
        <v>9.014973448415228</v>
      </c>
      <c r="BB150" s="7">
        <f ca="1">Sheet2!G$21+('RNG HERE'!E150-'RNG HERE'!AC$122)*Sheet2!G$22/'RNG HERE'!AC$123</f>
        <v>44.042782999766956</v>
      </c>
      <c r="BC150" s="7">
        <f ca="1">Sheet2!H$21+('RNG HERE'!F150-'RNG HERE'!AD$122)*Sheet2!H$22/'RNG HERE'!AD$123</f>
        <v>20.755475249577763</v>
      </c>
      <c r="BD150" s="7">
        <f ca="1">Sheet2!I$21+('RNG HERE'!G150-'RNG HERE'!AE$122)*Sheet2!I$22/'RNG HERE'!AE$123</f>
        <v>9.367629980376968</v>
      </c>
      <c r="BE150" s="7">
        <f ca="1">Sheet2!J$21+('RNG HERE'!H150-'RNG HERE'!AF$122)*Sheet2!J$22/'RNG HERE'!AF$123</f>
        <v>30.578757407263815</v>
      </c>
      <c r="BF150" s="7">
        <f ca="1">Sheet2!K$21+('RNG HERE'!I150-'RNG HERE'!AG$122)*Sheet2!K$22/'RNG HERE'!AG$123</f>
        <v>20.965388212395901</v>
      </c>
      <c r="BG150" s="7">
        <f ca="1">Sheet2!L$21+('RNG HERE'!J150-'RNG HERE'!AH$122)*Sheet2!L$22/'RNG HERE'!AH$123</f>
        <v>23.354487394435893</v>
      </c>
      <c r="BH150" s="7">
        <f ca="1">Sheet2!M$21+('RNG HERE'!K150-'RNG HERE'!AI$122)*Sheet2!M$22/'RNG HERE'!AI$123</f>
        <v>16.013759122001186</v>
      </c>
      <c r="BI150" s="7">
        <f ca="1">Sheet2!N$21+('RNG HERE'!L150-'RNG HERE'!AJ$122)*Sheet2!N$22/'RNG HERE'!AJ$123</f>
        <v>8.1971683723890845</v>
      </c>
      <c r="BJ150" s="7">
        <f ca="1">Sheet2!O$21+('RNG HERE'!M150-'RNG HERE'!AK$122)*Sheet2!O$22/'RNG HERE'!AK$123</f>
        <v>8.2729706824851075</v>
      </c>
      <c r="BK150" s="7">
        <f ca="1">Sheet2!P$21+('RNG HERE'!N150-'RNG HERE'!AL$122)*Sheet2!P$22/'RNG HERE'!AL$123</f>
        <v>19.418926663825438</v>
      </c>
      <c r="BL150" s="7">
        <f ca="1">Sheet2!Q$21+('RNG HERE'!O150-'RNG HERE'!AM$122)*Sheet2!Q$22/'RNG HERE'!AM$123</f>
        <v>21.841263521562144</v>
      </c>
      <c r="BM150" s="7">
        <f ca="1">Sheet2!R$21+('RNG HERE'!P150-'RNG HERE'!AN$122)*Sheet2!R$22/'RNG HERE'!AN$123</f>
        <v>5.720296955691003</v>
      </c>
      <c r="BN150" s="7">
        <f ca="1">Sheet2!S$21+('RNG HERE'!Q150-'RNG HERE'!AO$122)*Sheet2!S$22/'RNG HERE'!AO$123</f>
        <v>5.1373746784650054</v>
      </c>
      <c r="BO150" s="7">
        <f ca="1">Sheet2!T$21+('RNG HERE'!R150-'RNG HERE'!AP$122)*Sheet2!T$22/'RNG HERE'!AP$123</f>
        <v>9.727631177002829</v>
      </c>
      <c r="BP150" s="7">
        <f ca="1">Sheet2!U$21+('RNG HERE'!S150-'RNG HERE'!AQ$122)*Sheet2!U$22/'RNG HERE'!AQ$123</f>
        <v>24.842441436086638</v>
      </c>
      <c r="BQ150" s="7">
        <f ca="1">Sheet2!V$21+('RNG HERE'!T150-'RNG HERE'!AR$122)*Sheet2!V$22/'RNG HERE'!AR$123</f>
        <v>23.403048151130388</v>
      </c>
      <c r="BR150" s="7">
        <f ca="1">Sheet2!W$21+('RNG HERE'!U150-'RNG HERE'!AS$122)*Sheet2!W$22/'RNG HERE'!AS$123</f>
        <v>34.52861526931224</v>
      </c>
      <c r="BS150" s="7">
        <f ca="1">Sheet2!X$21+('RNG HERE'!V150-'RNG HERE'!AT$122)*Sheet2!X$22/'RNG HERE'!AT$123</f>
        <v>20.638228606386743</v>
      </c>
      <c r="BT150" s="7">
        <f ca="1">Sheet2!Y$21+('RNG HERE'!W150-'RNG HERE'!AU$122)*Sheet2!Y$22/'RNG HERE'!AU$123</f>
        <v>14.012795582969115</v>
      </c>
      <c r="BU150" s="7">
        <f ca="1">Sheet2!Z$21+('RNG HERE'!X150-'RNG HERE'!AV$122)*Sheet2!Z$22/'RNG HERE'!AV$123</f>
        <v>10.799417215088338</v>
      </c>
    </row>
    <row r="151" spans="1:73" x14ac:dyDescent="0.3">
      <c r="A151" s="8" cm="1">
        <f t="array" aca="1" ref="A151" ca="1">[1]!UNIFORM_INV(RAND(),Sheet2!C$21-SQRT(3)*Sheet2!C$22,Sheet2!C$21+SQRT(3)*Sheet2!C$22)</f>
        <v>3.7272323454036096</v>
      </c>
      <c r="B151" s="8" cm="1">
        <f t="array" aca="1" ref="B151" ca="1">[1]!UNIFORM_INV(RAND(),Sheet2!D$21-SQRT(3)*Sheet2!D$22,Sheet2!D$21+SQRT(3)*Sheet2!D$22)</f>
        <v>6.7065817937416723</v>
      </c>
      <c r="C151" s="8" cm="1">
        <f t="array" aca="1" ref="C151" ca="1">[1]!UNIFORM_INV(RAND(),Sheet2!E$21-SQRT(3)*Sheet2!E$22,Sheet2!E$21+SQRT(3)*Sheet2!E$22)</f>
        <v>20.53136473555282</v>
      </c>
      <c r="D151" s="8" cm="1">
        <f t="array" aca="1" ref="D151" ca="1">[1]!UNIFORM_INV(RAND(),Sheet2!F$21-SQRT(3)*Sheet2!F$22,Sheet2!F$21+SQRT(3)*Sheet2!F$22)</f>
        <v>6.4891801444246191</v>
      </c>
      <c r="E151" s="8" cm="1">
        <f t="array" aca="1" ref="E151" ca="1">[1]!UNIFORM_INV(RAND(),Sheet2!G$21-SQRT(3)*Sheet2!G$22,Sheet2!G$21+SQRT(3)*Sheet2!G$22)</f>
        <v>43.777255072439466</v>
      </c>
      <c r="F151" s="8" cm="1">
        <f t="array" aca="1" ref="F151" ca="1">[1]!UNIFORM_INV(RAND(),Sheet2!H$21-SQRT(3)*Sheet2!H$22,Sheet2!H$21+SQRT(3)*Sheet2!H$22)</f>
        <v>27.136860564084095</v>
      </c>
      <c r="G151" s="8" cm="1">
        <f t="array" aca="1" ref="G151" ca="1">[1]!UNIFORM_INV(RAND(),Sheet2!I$21-SQRT(3)*Sheet2!I$22,Sheet2!I$21+SQRT(3)*Sheet2!I$22)</f>
        <v>10.409513535146568</v>
      </c>
      <c r="H151" s="8" cm="1">
        <f t="array" aca="1" ref="H151" ca="1">[1]!UNIFORM_INV(RAND(),Sheet2!J$21-SQRT(3)*Sheet2!J$22,Sheet2!J$21+SQRT(3)*Sheet2!J$22)</f>
        <v>30.60126280837628</v>
      </c>
      <c r="I151" s="8" cm="1">
        <f t="array" aca="1" ref="I151" ca="1">[1]!UNIFORM_INV(RAND(),Sheet2!K$21-SQRT(3)*Sheet2!K$22,Sheet2!K$21+SQRT(3)*Sheet2!K$22)</f>
        <v>17.07745601504709</v>
      </c>
      <c r="J151" s="8" cm="1">
        <f t="array" aca="1" ref="J151" ca="1">[1]!UNIFORM_INV(RAND(),Sheet2!L$21-SQRT(3)*Sheet2!L$22,Sheet2!L$21+SQRT(3)*Sheet2!L$22)</f>
        <v>29.29610236630398</v>
      </c>
      <c r="K151" s="8" cm="1">
        <f t="array" aca="1" ref="K151" ca="1">[1]!UNIFORM_INV(RAND(),Sheet2!M$21-SQRT(3)*Sheet2!M$22,Sheet2!M$21+SQRT(3)*Sheet2!M$22)</f>
        <v>13.962858574685104</v>
      </c>
      <c r="L151" s="8" cm="1">
        <f t="array" aca="1" ref="L151" ca="1">[1]!UNIFORM_INV(RAND(),Sheet2!N$21-SQRT(3)*Sheet2!N$22,Sheet2!N$21+SQRT(3)*Sheet2!N$22)</f>
        <v>8.3992499856150484</v>
      </c>
      <c r="M151" s="8" cm="1">
        <f t="array" aca="1" ref="M151" ca="1">[1]!UNIFORM_INV(RAND(),Sheet2!O$21-SQRT(3)*Sheet2!O$22,Sheet2!O$21+SQRT(3)*Sheet2!O$22)</f>
        <v>8.7225330406324613</v>
      </c>
      <c r="N151" s="8" cm="1">
        <f t="array" aca="1" ref="N151" ca="1">[1]!UNIFORM_INV(RAND(),Sheet2!P$21-SQRT(3)*Sheet2!P$22,Sheet2!P$21+SQRT(3)*Sheet2!P$22)</f>
        <v>16.477210927624995</v>
      </c>
      <c r="O151" s="8" cm="1">
        <f t="array" aca="1" ref="O151" ca="1">[1]!UNIFORM_INV(RAND(),Sheet2!Q$21-SQRT(3)*Sheet2!Q$22,Sheet2!Q$21+SQRT(3)*Sheet2!Q$22)</f>
        <v>22.912208544861734</v>
      </c>
      <c r="P151" s="8" cm="1">
        <f t="array" aca="1" ref="P151" ca="1">[1]!UNIFORM_INV(RAND(),Sheet2!R$21-SQRT(3)*Sheet2!R$22,Sheet2!R$21+SQRT(3)*Sheet2!R$22)</f>
        <v>9.024183806114598</v>
      </c>
      <c r="Q151" s="8" cm="1">
        <f t="array" aca="1" ref="Q151" ca="1">[1]!UNIFORM_INV(RAND(),Sheet2!S$21-SQRT(3)*Sheet2!S$22,Sheet2!S$21+SQRT(3)*Sheet2!S$22)</f>
        <v>5.2765552503423656</v>
      </c>
      <c r="R151" s="8" cm="1">
        <f t="array" aca="1" ref="R151" ca="1">[1]!UNIFORM_INV(RAND(),Sheet2!T$21-SQRT(3)*Sheet2!T$22,Sheet2!T$21+SQRT(3)*Sheet2!T$22)</f>
        <v>9.2688212867582447</v>
      </c>
      <c r="S151" s="8" cm="1">
        <f t="array" aca="1" ref="S151" ca="1">[1]!UNIFORM_INV(RAND(),Sheet2!U$21-SQRT(3)*Sheet2!U$22,Sheet2!U$21+SQRT(3)*Sheet2!U$22)</f>
        <v>24.695014134377296</v>
      </c>
      <c r="T151" s="8" cm="1">
        <f t="array" aca="1" ref="T151" ca="1">[1]!UNIFORM_INV(RAND(),Sheet2!V$21-SQRT(3)*Sheet2!V$22,Sheet2!V$21+SQRT(3)*Sheet2!V$22)</f>
        <v>21.948270019131158</v>
      </c>
      <c r="U151" s="8" cm="1">
        <f t="array" aca="1" ref="U151" ca="1">[1]!UNIFORM_INV(RAND(),Sheet2!W$21-SQRT(3)*Sheet2!W$22,Sheet2!W$21+SQRT(3)*Sheet2!W$22)</f>
        <v>33.967986317699747</v>
      </c>
      <c r="V151" s="8" cm="1">
        <f t="array" aca="1" ref="V151" ca="1">[1]!UNIFORM_INV(RAND(),Sheet2!X$21-SQRT(3)*Sheet2!X$22,Sheet2!X$21+SQRT(3)*Sheet2!X$22)</f>
        <v>22.130393208891192</v>
      </c>
      <c r="W151" s="8" cm="1">
        <f t="array" aca="1" ref="W151" ca="1">[1]!UNIFORM_INV(RAND(),Sheet2!Y$21-SQRT(3)*Sheet2!Y$22,Sheet2!Y$21+SQRT(3)*Sheet2!Y$22)</f>
        <v>13.527710647381427</v>
      </c>
      <c r="X151" s="8" cm="1">
        <f t="array" aca="1" ref="X151" ca="1">[1]!UNIFORM_INV(RAND(),Sheet2!Z$21-SQRT(3)*Sheet2!Z$22,Sheet2!Z$21+SQRT(3)*Sheet2!Z$22)</f>
        <v>11.357858986337448</v>
      </c>
      <c r="AX151" s="7">
        <f ca="1">Sheet2!C$21+('RNG HERE'!A151-'RNG HERE'!Y$122)*Sheet2!C$22/'RNG HERE'!Y$123</f>
        <v>4.0407707719795294</v>
      </c>
      <c r="AY151" s="7">
        <f ca="1">Sheet2!D$21+('RNG HERE'!B151-'RNG HERE'!Z$122)*Sheet2!D$22/'RNG HERE'!Z$123</f>
        <v>6.9551416566190705</v>
      </c>
      <c r="AZ151" s="7">
        <f ca="1">Sheet2!E$21+('RNG HERE'!C151-'RNG HERE'!AA$122)*Sheet2!E$22/'RNG HERE'!AA$123</f>
        <v>21.466364495944273</v>
      </c>
      <c r="BA151" s="7">
        <f ca="1">Sheet2!F$21+('RNG HERE'!D151-'RNG HERE'!AB$122)*Sheet2!F$22/'RNG HERE'!AB$123</f>
        <v>7.0925980384008032</v>
      </c>
      <c r="BB151" s="7">
        <f ca="1">Sheet2!G$21+('RNG HERE'!E151-'RNG HERE'!AC$122)*Sheet2!G$22/'RNG HERE'!AC$123</f>
        <v>42.877640900599573</v>
      </c>
      <c r="BC151" s="7">
        <f ca="1">Sheet2!H$21+('RNG HERE'!F151-'RNG HERE'!AD$122)*Sheet2!H$22/'RNG HERE'!AD$123</f>
        <v>27.508516444221726</v>
      </c>
      <c r="BD151" s="7">
        <f ca="1">Sheet2!I$21+('RNG HERE'!G151-'RNG HERE'!AE$122)*Sheet2!I$22/'RNG HERE'!AE$123</f>
        <v>10.426629631420726</v>
      </c>
      <c r="BE151" s="7">
        <f ca="1">Sheet2!J$21+('RNG HERE'!H151-'RNG HERE'!AF$122)*Sheet2!J$22/'RNG HERE'!AF$123</f>
        <v>31.05012987206252</v>
      </c>
      <c r="BF151" s="7">
        <f ca="1">Sheet2!K$21+('RNG HERE'!I151-'RNG HERE'!AG$122)*Sheet2!K$22/'RNG HERE'!AG$123</f>
        <v>17.338246480044269</v>
      </c>
      <c r="BG151" s="7">
        <f ca="1">Sheet2!L$21+('RNG HERE'!J151-'RNG HERE'!AH$122)*Sheet2!L$22/'RNG HERE'!AH$123</f>
        <v>29.166033590795681</v>
      </c>
      <c r="BH151" s="7">
        <f ca="1">Sheet2!M$21+('RNG HERE'!K151-'RNG HERE'!AI$122)*Sheet2!M$22/'RNG HERE'!AI$123</f>
        <v>13.852029568092803</v>
      </c>
      <c r="BI151" s="7">
        <f ca="1">Sheet2!N$21+('RNG HERE'!L151-'RNG HERE'!AJ$122)*Sheet2!N$22/'RNG HERE'!AJ$123</f>
        <v>8.1516938013890865</v>
      </c>
      <c r="BJ151" s="7">
        <f ca="1">Sheet2!O$21+('RNG HERE'!M151-'RNG HERE'!AK$122)*Sheet2!O$22/'RNG HERE'!AK$123</f>
        <v>8.8478127182514097</v>
      </c>
      <c r="BK151" s="7">
        <f ca="1">Sheet2!P$21+('RNG HERE'!N151-'RNG HERE'!AL$122)*Sheet2!P$22/'RNG HERE'!AL$123</f>
        <v>16.927441094843751</v>
      </c>
      <c r="BL151" s="7">
        <f ca="1">Sheet2!Q$21+('RNG HERE'!O151-'RNG HERE'!AM$122)*Sheet2!Q$22/'RNG HERE'!AM$123</f>
        <v>22.751191002513504</v>
      </c>
      <c r="BM151" s="7">
        <f ca="1">Sheet2!R$21+('RNG HERE'!P151-'RNG HERE'!AN$122)*Sheet2!R$22/'RNG HERE'!AN$123</f>
        <v>8.8107346522558725</v>
      </c>
      <c r="BN151" s="7">
        <f ca="1">Sheet2!S$21+('RNG HERE'!Q151-'RNG HERE'!AO$122)*Sheet2!S$22/'RNG HERE'!AO$123</f>
        <v>5.250767034172183</v>
      </c>
      <c r="BO151" s="7">
        <f ca="1">Sheet2!T$21+('RNG HERE'!R151-'RNG HERE'!AP$122)*Sheet2!T$22/'RNG HERE'!AP$123</f>
        <v>9.1967558849748041</v>
      </c>
      <c r="BP151" s="7">
        <f ca="1">Sheet2!U$21+('RNG HERE'!S151-'RNG HERE'!AQ$122)*Sheet2!U$22/'RNG HERE'!AQ$123</f>
        <v>24.369296889031148</v>
      </c>
      <c r="BQ151" s="7">
        <f ca="1">Sheet2!V$21+('RNG HERE'!T151-'RNG HERE'!AR$122)*Sheet2!V$22/'RNG HERE'!AR$123</f>
        <v>21.865304438633327</v>
      </c>
      <c r="BR151" s="7">
        <f ca="1">Sheet2!W$21+('RNG HERE'!U151-'RNG HERE'!AS$122)*Sheet2!W$22/'RNG HERE'!AS$123</f>
        <v>33.940859460465262</v>
      </c>
      <c r="BS151" s="7">
        <f ca="1">Sheet2!X$21+('RNG HERE'!V151-'RNG HERE'!AT$122)*Sheet2!X$22/'RNG HERE'!AT$123</f>
        <v>22.337654236500487</v>
      </c>
      <c r="BT151" s="7">
        <f ca="1">Sheet2!Y$21+('RNG HERE'!W151-'RNG HERE'!AU$122)*Sheet2!Y$22/'RNG HERE'!AU$123</f>
        <v>13.473965379767449</v>
      </c>
      <c r="BU151" s="7">
        <f ca="1">Sheet2!Z$21+('RNG HERE'!X151-'RNG HERE'!AV$122)*Sheet2!Z$22/'RNG HERE'!AV$123</f>
        <v>11.405705754043881</v>
      </c>
    </row>
  </sheetData>
  <mergeCells count="2">
    <mergeCell ref="AJ9:AS23"/>
    <mergeCell ref="Z9:AH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5D01-C3FE-49C7-AC7B-C1E056621B36}">
  <dimension ref="B1:AY22"/>
  <sheetViews>
    <sheetView workbookViewId="0">
      <selection activeCell="AA16" sqref="AA16"/>
    </sheetView>
  </sheetViews>
  <sheetFormatPr defaultRowHeight="14.4" x14ac:dyDescent="0.3"/>
  <cols>
    <col min="13" max="13" width="22" customWidth="1"/>
    <col min="14" max="14" width="23.33203125" customWidth="1"/>
  </cols>
  <sheetData>
    <row r="1" spans="2:51" x14ac:dyDescent="0.3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</row>
    <row r="2" spans="2:51" x14ac:dyDescent="0.3">
      <c r="B2" t="s">
        <v>18</v>
      </c>
      <c r="C2">
        <v>24.1</v>
      </c>
      <c r="D2">
        <v>1.1000000000000001</v>
      </c>
      <c r="E2">
        <v>21.7</v>
      </c>
      <c r="F2">
        <v>1.2</v>
      </c>
      <c r="G2">
        <v>24.7</v>
      </c>
      <c r="H2">
        <v>1.5</v>
      </c>
      <c r="I2">
        <v>21.5</v>
      </c>
      <c r="J2">
        <v>0.6</v>
      </c>
      <c r="K2">
        <v>8</v>
      </c>
      <c r="L2">
        <v>0.6</v>
      </c>
      <c r="M2">
        <v>8.5</v>
      </c>
      <c r="N2">
        <v>1</v>
      </c>
      <c r="O2">
        <v>6.1</v>
      </c>
      <c r="P2">
        <v>1.2</v>
      </c>
      <c r="Q2">
        <v>22.1</v>
      </c>
      <c r="R2">
        <v>2.2999999999999998</v>
      </c>
      <c r="S2">
        <v>13.3</v>
      </c>
      <c r="T2">
        <v>1.3</v>
      </c>
      <c r="U2">
        <v>9.6999999999999993</v>
      </c>
      <c r="V2">
        <v>1</v>
      </c>
      <c r="W2">
        <v>3.8</v>
      </c>
      <c r="X2">
        <v>0.7</v>
      </c>
      <c r="Y2">
        <v>12.7</v>
      </c>
      <c r="Z2">
        <v>1.3</v>
      </c>
      <c r="AA2">
        <v>23.7</v>
      </c>
      <c r="AB2">
        <v>1.1000000000000001</v>
      </c>
      <c r="AC2">
        <v>12</v>
      </c>
      <c r="AD2">
        <v>0.7</v>
      </c>
      <c r="AE2">
        <v>19.8</v>
      </c>
      <c r="AF2">
        <v>0.8</v>
      </c>
      <c r="AG2">
        <v>28.4</v>
      </c>
      <c r="AH2">
        <v>1.5</v>
      </c>
      <c r="AI2">
        <v>19.5</v>
      </c>
      <c r="AJ2">
        <v>1.6</v>
      </c>
      <c r="AK2">
        <v>20.3</v>
      </c>
      <c r="AL2">
        <v>1</v>
      </c>
      <c r="AM2">
        <v>3.2</v>
      </c>
      <c r="AN2">
        <v>0.5</v>
      </c>
      <c r="AO2">
        <v>6.8</v>
      </c>
      <c r="AP2">
        <v>1.8</v>
      </c>
      <c r="AQ2">
        <v>18.7</v>
      </c>
      <c r="AR2">
        <v>1.3</v>
      </c>
      <c r="AS2">
        <v>21.3</v>
      </c>
      <c r="AT2">
        <v>2.1</v>
      </c>
      <c r="AU2">
        <v>19.399999999999999</v>
      </c>
      <c r="AV2">
        <v>1.8</v>
      </c>
      <c r="AW2">
        <v>28.8</v>
      </c>
      <c r="AX2">
        <v>2.5</v>
      </c>
    </row>
    <row r="3" spans="2:51" x14ac:dyDescent="0.3">
      <c r="B3" t="s">
        <v>19</v>
      </c>
      <c r="C3">
        <v>22.1</v>
      </c>
      <c r="D3">
        <v>1.3</v>
      </c>
      <c r="E3">
        <v>21.5</v>
      </c>
      <c r="F3">
        <v>1.1000000000000001</v>
      </c>
      <c r="G3">
        <v>26.4</v>
      </c>
      <c r="H3">
        <v>1.6</v>
      </c>
      <c r="I3">
        <v>21.8</v>
      </c>
      <c r="J3">
        <v>1.2</v>
      </c>
      <c r="K3">
        <v>8.1999999999999993</v>
      </c>
      <c r="L3">
        <v>0.5</v>
      </c>
      <c r="M3">
        <v>8.3000000000000007</v>
      </c>
      <c r="N3">
        <v>0.7</v>
      </c>
      <c r="O3">
        <v>4.9000000000000004</v>
      </c>
      <c r="P3">
        <v>1</v>
      </c>
      <c r="Q3">
        <v>23</v>
      </c>
      <c r="R3">
        <v>2.2999999999999998</v>
      </c>
      <c r="S3">
        <v>9.4</v>
      </c>
      <c r="T3">
        <v>1.1000000000000001</v>
      </c>
      <c r="U3">
        <v>9.23</v>
      </c>
      <c r="V3">
        <v>1</v>
      </c>
      <c r="W3">
        <v>3.8</v>
      </c>
      <c r="X3">
        <v>0.7</v>
      </c>
      <c r="Y3">
        <v>17.7</v>
      </c>
      <c r="Z3">
        <v>1.6</v>
      </c>
      <c r="AA3">
        <v>23.9</v>
      </c>
      <c r="AB3">
        <v>0.8</v>
      </c>
      <c r="AC3">
        <v>12.7</v>
      </c>
      <c r="AD3">
        <v>0.7</v>
      </c>
      <c r="AE3">
        <v>22.2</v>
      </c>
      <c r="AF3">
        <v>0.9</v>
      </c>
      <c r="AG3">
        <v>24.7</v>
      </c>
      <c r="AH3">
        <v>1.6</v>
      </c>
      <c r="AI3">
        <v>23.3</v>
      </c>
      <c r="AJ3">
        <v>1.6</v>
      </c>
      <c r="AK3">
        <v>17.100000000000001</v>
      </c>
      <c r="AL3">
        <v>0.7</v>
      </c>
      <c r="AM3">
        <v>4.5999999999999996</v>
      </c>
      <c r="AN3">
        <v>1.2</v>
      </c>
      <c r="AO3">
        <v>9.1</v>
      </c>
      <c r="AP3">
        <v>1.9</v>
      </c>
      <c r="AQ3">
        <v>17.399999999999999</v>
      </c>
      <c r="AR3">
        <v>1.7</v>
      </c>
      <c r="AS3">
        <v>16.5</v>
      </c>
      <c r="AT3">
        <v>2.4</v>
      </c>
      <c r="AU3">
        <v>21.7</v>
      </c>
      <c r="AV3">
        <v>4</v>
      </c>
      <c r="AW3">
        <v>30.6</v>
      </c>
      <c r="AX3">
        <v>3.2</v>
      </c>
    </row>
    <row r="4" spans="2:51" x14ac:dyDescent="0.3">
      <c r="B4" t="s">
        <v>20</v>
      </c>
      <c r="C4">
        <v>21.1</v>
      </c>
      <c r="D4">
        <v>1.1000000000000001</v>
      </c>
      <c r="E4">
        <v>19.100000000000001</v>
      </c>
      <c r="F4">
        <v>1.6</v>
      </c>
      <c r="G4">
        <v>28.1</v>
      </c>
      <c r="H4">
        <v>1.5</v>
      </c>
      <c r="I4">
        <v>21.9</v>
      </c>
      <c r="J4">
        <v>1.8</v>
      </c>
      <c r="K4">
        <v>9.8000000000000007</v>
      </c>
      <c r="L4">
        <v>0.9</v>
      </c>
      <c r="M4">
        <v>17</v>
      </c>
      <c r="N4">
        <v>2.2999999999999998</v>
      </c>
      <c r="O4">
        <v>4</v>
      </c>
      <c r="P4">
        <v>1.3</v>
      </c>
      <c r="Q4">
        <v>17.899999999999999</v>
      </c>
      <c r="R4">
        <v>2.4</v>
      </c>
      <c r="S4">
        <v>10.9</v>
      </c>
      <c r="T4">
        <v>1.7</v>
      </c>
      <c r="U4">
        <v>10.9</v>
      </c>
      <c r="V4">
        <v>0.8</v>
      </c>
      <c r="W4">
        <v>4.3</v>
      </c>
      <c r="X4">
        <v>0.6</v>
      </c>
      <c r="Y4">
        <v>13.5</v>
      </c>
      <c r="Z4">
        <v>1.6</v>
      </c>
      <c r="AA4">
        <v>21.6</v>
      </c>
      <c r="AB4">
        <v>1.3</v>
      </c>
      <c r="AC4">
        <v>10.199999999999999</v>
      </c>
      <c r="AD4">
        <v>0.9</v>
      </c>
      <c r="AE4">
        <v>25.3</v>
      </c>
      <c r="AF4">
        <v>1.8</v>
      </c>
      <c r="AG4">
        <v>21.2</v>
      </c>
      <c r="AH4">
        <v>2.2000000000000002</v>
      </c>
      <c r="AI4">
        <v>25.3</v>
      </c>
      <c r="AJ4">
        <v>2.5</v>
      </c>
      <c r="AK4">
        <v>18</v>
      </c>
      <c r="AL4">
        <v>1.7</v>
      </c>
      <c r="AM4">
        <v>5.7</v>
      </c>
      <c r="AN4">
        <v>0.9</v>
      </c>
      <c r="AO4">
        <v>5.0999999999999996</v>
      </c>
      <c r="AP4">
        <v>0.7</v>
      </c>
      <c r="AQ4">
        <v>27.2</v>
      </c>
      <c r="AR4">
        <v>1.2</v>
      </c>
      <c r="AS4">
        <v>3.5</v>
      </c>
      <c r="AT4">
        <v>3.3</v>
      </c>
      <c r="AU4">
        <v>34.4</v>
      </c>
      <c r="AV4">
        <v>6.4</v>
      </c>
      <c r="AW4">
        <v>21.1</v>
      </c>
      <c r="AX4">
        <v>4.2</v>
      </c>
    </row>
    <row r="5" spans="2:51" x14ac:dyDescent="0.3">
      <c r="B5" t="s">
        <v>21</v>
      </c>
      <c r="C5">
        <v>23.4</v>
      </c>
      <c r="D5">
        <v>1.7</v>
      </c>
      <c r="E5">
        <v>21.6</v>
      </c>
      <c r="F5">
        <v>1.2</v>
      </c>
      <c r="G5">
        <v>23.8</v>
      </c>
      <c r="H5">
        <v>1.1000000000000001</v>
      </c>
      <c r="I5">
        <v>24.1</v>
      </c>
      <c r="J5">
        <v>1.3</v>
      </c>
      <c r="K5">
        <v>7.1</v>
      </c>
      <c r="L5">
        <v>0.7</v>
      </c>
      <c r="M5">
        <v>7.4</v>
      </c>
      <c r="N5">
        <v>2.2999999999999998</v>
      </c>
      <c r="O5">
        <v>4.8</v>
      </c>
      <c r="P5">
        <v>1.5</v>
      </c>
      <c r="Q5">
        <v>25.1</v>
      </c>
      <c r="R5">
        <v>1.5</v>
      </c>
      <c r="S5">
        <v>10.6</v>
      </c>
      <c r="T5">
        <v>1.1000000000000001</v>
      </c>
      <c r="U5">
        <v>6.9</v>
      </c>
      <c r="V5">
        <v>1.3</v>
      </c>
      <c r="W5">
        <v>2.9</v>
      </c>
      <c r="X5">
        <v>0.9</v>
      </c>
      <c r="Y5">
        <v>24.8</v>
      </c>
      <c r="Z5">
        <v>4.0999999999999996</v>
      </c>
      <c r="AA5">
        <v>17.5</v>
      </c>
      <c r="AB5">
        <v>2.2000000000000002</v>
      </c>
      <c r="AC5">
        <v>11.9</v>
      </c>
      <c r="AD5">
        <v>0.7</v>
      </c>
      <c r="AE5">
        <v>25.1</v>
      </c>
      <c r="AF5">
        <v>1.8</v>
      </c>
      <c r="AG5">
        <v>22.6</v>
      </c>
      <c r="AH5">
        <v>1.8</v>
      </c>
      <c r="AI5">
        <v>23</v>
      </c>
      <c r="AJ5">
        <v>1.6</v>
      </c>
      <c r="AK5">
        <v>17.3</v>
      </c>
      <c r="AL5">
        <v>0.8</v>
      </c>
      <c r="AM5">
        <v>3.7</v>
      </c>
      <c r="AN5">
        <v>1.2</v>
      </c>
      <c r="AO5">
        <v>10</v>
      </c>
      <c r="AP5">
        <v>4.4000000000000004</v>
      </c>
      <c r="AQ5">
        <v>22.4</v>
      </c>
      <c r="AR5">
        <v>1.7</v>
      </c>
      <c r="AS5">
        <v>16.899999999999999</v>
      </c>
      <c r="AT5">
        <v>2.1</v>
      </c>
      <c r="AU5">
        <v>17.399999999999999</v>
      </c>
      <c r="AV5">
        <v>2.8</v>
      </c>
      <c r="AW5">
        <v>29.7</v>
      </c>
      <c r="AX5">
        <v>4.7</v>
      </c>
    </row>
    <row r="6" spans="2:51" x14ac:dyDescent="0.3">
      <c r="B6" t="s">
        <v>22</v>
      </c>
      <c r="C6">
        <v>22.2</v>
      </c>
      <c r="D6">
        <v>1.3</v>
      </c>
      <c r="E6">
        <v>14.3</v>
      </c>
      <c r="F6">
        <v>0.8</v>
      </c>
      <c r="G6">
        <v>32.6</v>
      </c>
      <c r="H6">
        <v>1.2</v>
      </c>
      <c r="I6">
        <v>20.2</v>
      </c>
      <c r="J6">
        <v>1.4</v>
      </c>
      <c r="K6">
        <v>10.7</v>
      </c>
      <c r="L6">
        <v>0.6</v>
      </c>
      <c r="M6">
        <v>7.8</v>
      </c>
      <c r="N6">
        <v>0.6</v>
      </c>
      <c r="O6">
        <v>8.1999999999999993</v>
      </c>
      <c r="P6">
        <v>0.9</v>
      </c>
      <c r="Q6">
        <v>18.8</v>
      </c>
      <c r="R6">
        <v>1.8</v>
      </c>
      <c r="S6">
        <v>21.6</v>
      </c>
      <c r="T6">
        <v>2.1</v>
      </c>
      <c r="U6">
        <v>5.8</v>
      </c>
      <c r="V6">
        <v>1.9</v>
      </c>
      <c r="W6">
        <v>5.4</v>
      </c>
      <c r="X6">
        <v>0.9</v>
      </c>
      <c r="Y6">
        <v>8.9</v>
      </c>
      <c r="Z6">
        <v>0.7</v>
      </c>
      <c r="AA6">
        <v>23.4</v>
      </c>
      <c r="AB6">
        <v>1.4</v>
      </c>
      <c r="AC6">
        <v>10</v>
      </c>
      <c r="AD6">
        <v>0.5</v>
      </c>
      <c r="AE6">
        <v>28.8</v>
      </c>
      <c r="AF6">
        <v>1.3</v>
      </c>
      <c r="AG6">
        <v>18.8</v>
      </c>
      <c r="AH6">
        <v>1.3</v>
      </c>
      <c r="AI6">
        <v>26.2</v>
      </c>
      <c r="AJ6">
        <v>2.2000000000000002</v>
      </c>
      <c r="AK6">
        <v>16.3</v>
      </c>
      <c r="AL6">
        <v>1.8</v>
      </c>
      <c r="AM6">
        <v>5.0999999999999996</v>
      </c>
      <c r="AN6">
        <v>1</v>
      </c>
      <c r="AO6">
        <v>7.5</v>
      </c>
      <c r="AP6">
        <v>1.2</v>
      </c>
      <c r="AQ6">
        <v>22.2</v>
      </c>
      <c r="AR6">
        <v>2.2999999999999998</v>
      </c>
      <c r="AS6">
        <v>5.0999999999999996</v>
      </c>
      <c r="AT6">
        <v>3.9</v>
      </c>
      <c r="AU6">
        <v>38.799999999999997</v>
      </c>
      <c r="AV6">
        <v>7.8</v>
      </c>
      <c r="AW6">
        <v>21.3</v>
      </c>
      <c r="AX6">
        <v>4.9000000000000004</v>
      </c>
    </row>
    <row r="12" spans="2:51" x14ac:dyDescent="0.3"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  <c r="R12" t="s">
        <v>76</v>
      </c>
      <c r="S12" t="s">
        <v>77</v>
      </c>
      <c r="T12" t="s">
        <v>78</v>
      </c>
      <c r="U12" t="s">
        <v>79</v>
      </c>
      <c r="V12" t="s">
        <v>80</v>
      </c>
      <c r="W12" t="s">
        <v>81</v>
      </c>
      <c r="X12" t="s">
        <v>82</v>
      </c>
      <c r="Y12" t="s">
        <v>83</v>
      </c>
      <c r="Z12" t="s">
        <v>84</v>
      </c>
      <c r="AA12" t="s">
        <v>87</v>
      </c>
      <c r="AB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66</v>
      </c>
      <c r="AH12" t="s">
        <v>67</v>
      </c>
      <c r="AI12" t="s">
        <v>68</v>
      </c>
      <c r="AJ12" t="s">
        <v>69</v>
      </c>
      <c r="AK12" t="s">
        <v>70</v>
      </c>
      <c r="AL12" t="s">
        <v>71</v>
      </c>
      <c r="AM12" t="s">
        <v>72</v>
      </c>
      <c r="AN12" t="s">
        <v>73</v>
      </c>
      <c r="AO12" t="s">
        <v>74</v>
      </c>
      <c r="AP12" t="s">
        <v>75</v>
      </c>
      <c r="AQ12" t="s">
        <v>76</v>
      </c>
      <c r="AR12" t="s">
        <v>77</v>
      </c>
      <c r="AS12" t="s">
        <v>78</v>
      </c>
      <c r="AT12" t="s">
        <v>79</v>
      </c>
      <c r="AU12" t="s">
        <v>80</v>
      </c>
      <c r="AV12" t="s">
        <v>81</v>
      </c>
      <c r="AW12" t="s">
        <v>82</v>
      </c>
      <c r="AX12" t="s">
        <v>83</v>
      </c>
      <c r="AY12" t="s">
        <v>84</v>
      </c>
    </row>
    <row r="13" spans="2:51" x14ac:dyDescent="0.3">
      <c r="B13" t="s">
        <v>18</v>
      </c>
      <c r="C13">
        <v>3.2</v>
      </c>
      <c r="D13">
        <v>6.8</v>
      </c>
      <c r="E13">
        <v>18.7</v>
      </c>
      <c r="F13">
        <v>21.3</v>
      </c>
      <c r="G13">
        <v>19.399999999999999</v>
      </c>
      <c r="H13">
        <v>28.8</v>
      </c>
      <c r="I13">
        <v>12</v>
      </c>
      <c r="J13">
        <v>19.8</v>
      </c>
      <c r="K13">
        <v>28.4</v>
      </c>
      <c r="L13">
        <v>19.5</v>
      </c>
      <c r="M13">
        <v>20.3</v>
      </c>
      <c r="N13">
        <v>8.5</v>
      </c>
      <c r="O13">
        <v>6.1</v>
      </c>
      <c r="P13">
        <v>22.1</v>
      </c>
      <c r="Q13">
        <v>13.3</v>
      </c>
      <c r="R13">
        <v>9.6999999999999993</v>
      </c>
      <c r="S13">
        <v>3.8</v>
      </c>
      <c r="T13">
        <v>12.7</v>
      </c>
      <c r="U13">
        <v>23.7</v>
      </c>
      <c r="V13">
        <v>24.1</v>
      </c>
      <c r="W13">
        <v>24.7</v>
      </c>
      <c r="X13">
        <v>21.5</v>
      </c>
      <c r="Y13">
        <v>21.7</v>
      </c>
      <c r="Z13">
        <v>8</v>
      </c>
      <c r="AA13">
        <f>SQRT(SUMSQ(C13:Z13))</f>
        <v>89.414260607578697</v>
      </c>
      <c r="AB13">
        <f>C13/$AA13</f>
        <v>3.5788474660033931E-2</v>
      </c>
      <c r="AC13">
        <f t="shared" ref="AC13:AY21" si="0">D13/$AA13</f>
        <v>7.6050508652572096E-2</v>
      </c>
      <c r="AD13">
        <f t="shared" si="0"/>
        <v>0.20913889879457326</v>
      </c>
      <c r="AE13">
        <f t="shared" si="0"/>
        <v>0.23821703445585082</v>
      </c>
      <c r="AF13">
        <f t="shared" si="0"/>
        <v>0.21696762762645566</v>
      </c>
      <c r="AG13">
        <f t="shared" si="0"/>
        <v>0.32209627194030538</v>
      </c>
      <c r="AH13">
        <f t="shared" si="0"/>
        <v>0.13420677997512723</v>
      </c>
      <c r="AI13">
        <f t="shared" si="0"/>
        <v>0.22144118695895992</v>
      </c>
      <c r="AJ13">
        <f t="shared" si="0"/>
        <v>0.31762271260780112</v>
      </c>
      <c r="AK13">
        <f t="shared" si="0"/>
        <v>0.21808601745958175</v>
      </c>
      <c r="AL13">
        <f t="shared" si="0"/>
        <v>0.22703313612459022</v>
      </c>
      <c r="AM13">
        <f t="shared" si="0"/>
        <v>9.5063135815715114E-2</v>
      </c>
      <c r="AN13">
        <f t="shared" si="0"/>
        <v>6.8221779820689665E-2</v>
      </c>
      <c r="AO13">
        <f t="shared" si="0"/>
        <v>0.24716415312085932</v>
      </c>
      <c r="AP13">
        <f t="shared" si="0"/>
        <v>0.14874584780576602</v>
      </c>
      <c r="AQ13">
        <f t="shared" si="0"/>
        <v>0.10848381381322783</v>
      </c>
      <c r="AR13">
        <f t="shared" si="0"/>
        <v>4.249881365879029E-2</v>
      </c>
      <c r="AS13">
        <f t="shared" si="0"/>
        <v>0.14203550880700963</v>
      </c>
      <c r="AT13">
        <f t="shared" si="0"/>
        <v>0.26505839045087626</v>
      </c>
      <c r="AU13">
        <f t="shared" si="0"/>
        <v>0.26953194978338052</v>
      </c>
      <c r="AV13">
        <f t="shared" si="0"/>
        <v>0.27624228878213686</v>
      </c>
      <c r="AW13">
        <f t="shared" si="0"/>
        <v>0.24045381412210295</v>
      </c>
      <c r="AX13">
        <f t="shared" si="0"/>
        <v>0.24269059378835506</v>
      </c>
      <c r="AY13">
        <f t="shared" si="0"/>
        <v>8.9471186650084814E-2</v>
      </c>
    </row>
    <row r="14" spans="2:51" x14ac:dyDescent="0.3">
      <c r="B14" t="s">
        <v>18</v>
      </c>
      <c r="C14">
        <v>0.5</v>
      </c>
      <c r="D14">
        <v>1.8</v>
      </c>
      <c r="E14">
        <v>1.3</v>
      </c>
      <c r="F14">
        <v>2.1</v>
      </c>
      <c r="G14">
        <v>1.8</v>
      </c>
      <c r="H14">
        <v>2.5</v>
      </c>
      <c r="I14">
        <v>0.7</v>
      </c>
      <c r="J14">
        <v>0.8</v>
      </c>
      <c r="K14">
        <v>1.5</v>
      </c>
      <c r="L14">
        <v>1.6</v>
      </c>
      <c r="M14">
        <v>1</v>
      </c>
      <c r="N14">
        <v>1</v>
      </c>
      <c r="O14">
        <v>1.2</v>
      </c>
      <c r="P14">
        <v>2.2999999999999998</v>
      </c>
      <c r="Q14">
        <v>1.3</v>
      </c>
      <c r="R14">
        <v>1</v>
      </c>
      <c r="S14">
        <v>0.7</v>
      </c>
      <c r="T14">
        <v>1.3</v>
      </c>
      <c r="U14">
        <v>1.1000000000000001</v>
      </c>
      <c r="V14">
        <v>1.1000000000000001</v>
      </c>
      <c r="W14">
        <v>1.5</v>
      </c>
      <c r="X14">
        <v>0.6</v>
      </c>
      <c r="Y14">
        <v>1.2</v>
      </c>
      <c r="Z14">
        <v>0.6</v>
      </c>
    </row>
    <row r="15" spans="2:51" x14ac:dyDescent="0.3">
      <c r="B15" t="s">
        <v>19</v>
      </c>
      <c r="C15">
        <v>4.5999999999999996</v>
      </c>
      <c r="D15">
        <v>9.1</v>
      </c>
      <c r="E15">
        <v>17.399999999999999</v>
      </c>
      <c r="F15">
        <v>16.5</v>
      </c>
      <c r="G15">
        <v>21.7</v>
      </c>
      <c r="H15">
        <v>30.6</v>
      </c>
      <c r="I15">
        <v>12.7</v>
      </c>
      <c r="J15">
        <v>22.2</v>
      </c>
      <c r="K15">
        <v>24.7</v>
      </c>
      <c r="L15">
        <v>23.3</v>
      </c>
      <c r="M15">
        <v>17.100000000000001</v>
      </c>
      <c r="N15">
        <v>8.3000000000000007</v>
      </c>
      <c r="O15">
        <v>4.9000000000000004</v>
      </c>
      <c r="P15">
        <v>23</v>
      </c>
      <c r="Q15">
        <v>9.4</v>
      </c>
      <c r="R15">
        <v>9.23</v>
      </c>
      <c r="S15">
        <v>3.8</v>
      </c>
      <c r="T15">
        <v>17.7</v>
      </c>
      <c r="U15">
        <v>23.9</v>
      </c>
      <c r="V15">
        <v>22.1</v>
      </c>
      <c r="W15">
        <v>26.4</v>
      </c>
      <c r="X15">
        <v>21.8</v>
      </c>
      <c r="Y15">
        <v>21.5</v>
      </c>
      <c r="Z15">
        <v>8.1999999999999993</v>
      </c>
      <c r="AA15">
        <f t="shared" ref="AA15:AA21" si="1">SQRT(SUMSQ(C15:Z15))</f>
        <v>89.834530666108563</v>
      </c>
      <c r="AB15">
        <f t="shared" ref="AB15:AB21" si="2">C15/$AA15</f>
        <v>5.1205254437149517E-2</v>
      </c>
      <c r="AC15">
        <f t="shared" si="0"/>
        <v>0.10129735116914361</v>
      </c>
      <c r="AD15">
        <f t="shared" si="0"/>
        <v>0.1936894406970438</v>
      </c>
      <c r="AE15">
        <f t="shared" si="0"/>
        <v>0.183671021350645</v>
      </c>
      <c r="AF15">
        <f t="shared" si="0"/>
        <v>0.24155522201872706</v>
      </c>
      <c r="AG15">
        <f t="shared" si="0"/>
        <v>0.34062625777755984</v>
      </c>
      <c r="AH15">
        <f t="shared" si="0"/>
        <v>0.14137102855473888</v>
      </c>
      <c r="AI15">
        <f t="shared" si="0"/>
        <v>0.24712101054450419</v>
      </c>
      <c r="AJ15">
        <f t="shared" si="0"/>
        <v>0.27494995317338977</v>
      </c>
      <c r="AK15">
        <f t="shared" si="0"/>
        <v>0.25936574530121387</v>
      </c>
      <c r="AL15">
        <f t="shared" si="0"/>
        <v>0.19034996758157757</v>
      </c>
      <c r="AM15">
        <f t="shared" si="0"/>
        <v>9.239208952790022E-2</v>
      </c>
      <c r="AN15">
        <f t="shared" si="0"/>
        <v>5.4544727552615795E-2</v>
      </c>
      <c r="AO15">
        <f t="shared" si="0"/>
        <v>0.25602627218574758</v>
      </c>
      <c r="AP15">
        <f t="shared" si="0"/>
        <v>0.10463682428460989</v>
      </c>
      <c r="AQ15">
        <f t="shared" si="0"/>
        <v>0.10274445618584567</v>
      </c>
      <c r="AR15">
        <f t="shared" si="0"/>
        <v>4.229999279590612E-2</v>
      </c>
      <c r="AS15">
        <f t="shared" si="0"/>
        <v>0.19702891381251009</v>
      </c>
      <c r="AT15">
        <f t="shared" si="0"/>
        <v>0.26604469153214638</v>
      </c>
      <c r="AU15">
        <f t="shared" si="0"/>
        <v>0.24600785283934878</v>
      </c>
      <c r="AV15">
        <f t="shared" si="0"/>
        <v>0.29387363416103202</v>
      </c>
      <c r="AW15">
        <f t="shared" si="0"/>
        <v>0.2426683797238825</v>
      </c>
      <c r="AX15">
        <f t="shared" si="0"/>
        <v>0.23932890660841624</v>
      </c>
      <c r="AY15">
        <f t="shared" si="0"/>
        <v>9.1278931822744783E-2</v>
      </c>
    </row>
    <row r="16" spans="2:51" x14ac:dyDescent="0.3">
      <c r="B16" t="s">
        <v>19</v>
      </c>
      <c r="C16">
        <v>1.2</v>
      </c>
      <c r="D16">
        <v>1.9</v>
      </c>
      <c r="E16">
        <v>1.7</v>
      </c>
      <c r="F16">
        <v>2.4</v>
      </c>
      <c r="G16">
        <v>4</v>
      </c>
      <c r="H16">
        <v>3.2</v>
      </c>
      <c r="I16">
        <v>0.7</v>
      </c>
      <c r="J16">
        <v>0.9</v>
      </c>
      <c r="K16">
        <v>1.6</v>
      </c>
      <c r="L16">
        <v>1.6</v>
      </c>
      <c r="M16">
        <v>0.7</v>
      </c>
      <c r="N16">
        <v>0.7</v>
      </c>
      <c r="O16">
        <v>1</v>
      </c>
      <c r="P16">
        <v>2.2999999999999998</v>
      </c>
      <c r="Q16">
        <v>1.1000000000000001</v>
      </c>
      <c r="R16">
        <v>1</v>
      </c>
      <c r="S16">
        <v>0.7</v>
      </c>
      <c r="T16">
        <v>1.6</v>
      </c>
      <c r="U16">
        <v>0.8</v>
      </c>
      <c r="V16">
        <v>1.3</v>
      </c>
      <c r="W16">
        <v>1.6</v>
      </c>
      <c r="X16">
        <v>1.2</v>
      </c>
      <c r="Y16">
        <v>1.1000000000000001</v>
      </c>
      <c r="Z16">
        <v>0.5</v>
      </c>
    </row>
    <row r="17" spans="2:51" x14ac:dyDescent="0.3">
      <c r="B17" t="s">
        <v>20</v>
      </c>
      <c r="C17">
        <v>5.7</v>
      </c>
      <c r="D17">
        <v>5.0999999999999996</v>
      </c>
      <c r="E17">
        <v>27.2</v>
      </c>
      <c r="F17">
        <v>3.5</v>
      </c>
      <c r="G17">
        <v>34.4</v>
      </c>
      <c r="H17">
        <v>21.1</v>
      </c>
      <c r="I17">
        <v>10.199999999999999</v>
      </c>
      <c r="J17">
        <v>25.3</v>
      </c>
      <c r="K17">
        <v>21.2</v>
      </c>
      <c r="L17">
        <v>25.3</v>
      </c>
      <c r="M17">
        <v>18</v>
      </c>
      <c r="N17">
        <v>17</v>
      </c>
      <c r="O17">
        <v>4</v>
      </c>
      <c r="P17">
        <v>17.899999999999999</v>
      </c>
      <c r="Q17">
        <v>10.9</v>
      </c>
      <c r="R17">
        <v>10.9</v>
      </c>
      <c r="S17">
        <v>4.3</v>
      </c>
      <c r="T17">
        <v>13.5</v>
      </c>
      <c r="U17">
        <v>21.6</v>
      </c>
      <c r="V17">
        <v>21.1</v>
      </c>
      <c r="W17">
        <v>28.1</v>
      </c>
      <c r="X17">
        <v>21.9</v>
      </c>
      <c r="Y17">
        <v>19.100000000000001</v>
      </c>
      <c r="Z17">
        <v>9.8000000000000007</v>
      </c>
      <c r="AA17">
        <f t="shared" si="1"/>
        <v>91.117671173049644</v>
      </c>
      <c r="AB17">
        <f t="shared" si="2"/>
        <v>6.2556471501281297E-2</v>
      </c>
      <c r="AC17">
        <f t="shared" si="0"/>
        <v>5.5971579764304308E-2</v>
      </c>
      <c r="AD17">
        <f t="shared" si="0"/>
        <v>0.29851509207628968</v>
      </c>
      <c r="AE17">
        <f t="shared" si="0"/>
        <v>3.8411868465699037E-2</v>
      </c>
      <c r="AF17">
        <f t="shared" si="0"/>
        <v>0.37753379292001338</v>
      </c>
      <c r="AG17">
        <f t="shared" si="0"/>
        <v>0.23156869275035707</v>
      </c>
      <c r="AH17">
        <f t="shared" si="0"/>
        <v>0.11194315952860862</v>
      </c>
      <c r="AI17">
        <f t="shared" si="0"/>
        <v>0.27766293490919591</v>
      </c>
      <c r="AJ17">
        <f t="shared" si="0"/>
        <v>0.2326661747065199</v>
      </c>
      <c r="AK17">
        <f t="shared" si="0"/>
        <v>0.27766293490919591</v>
      </c>
      <c r="AL17">
        <f t="shared" si="0"/>
        <v>0.19754675210930933</v>
      </c>
      <c r="AM17">
        <f t="shared" si="0"/>
        <v>0.18657193254768104</v>
      </c>
      <c r="AN17">
        <f t="shared" si="0"/>
        <v>4.3899278246513185E-2</v>
      </c>
      <c r="AO17">
        <f t="shared" si="0"/>
        <v>0.1964492701531465</v>
      </c>
      <c r="AP17">
        <f t="shared" si="0"/>
        <v>0.11962553322174845</v>
      </c>
      <c r="AQ17">
        <f t="shared" si="0"/>
        <v>0.11962553322174845</v>
      </c>
      <c r="AR17">
        <f t="shared" si="0"/>
        <v>4.7191724115001672E-2</v>
      </c>
      <c r="AS17">
        <f t="shared" si="0"/>
        <v>0.14816006408198201</v>
      </c>
      <c r="AT17">
        <f t="shared" si="0"/>
        <v>0.23705610253117124</v>
      </c>
      <c r="AU17">
        <f t="shared" si="0"/>
        <v>0.23156869275035707</v>
      </c>
      <c r="AV17">
        <f t="shared" si="0"/>
        <v>0.30839242968175518</v>
      </c>
      <c r="AW17">
        <f t="shared" si="0"/>
        <v>0.24034854839965969</v>
      </c>
      <c r="AX17">
        <f t="shared" si="0"/>
        <v>0.20961905362710048</v>
      </c>
      <c r="AY17">
        <f t="shared" si="0"/>
        <v>0.10755323170395732</v>
      </c>
    </row>
    <row r="18" spans="2:51" x14ac:dyDescent="0.3">
      <c r="B18" t="s">
        <v>20</v>
      </c>
      <c r="C18">
        <v>0.9</v>
      </c>
      <c r="D18">
        <v>0.7</v>
      </c>
      <c r="E18">
        <v>1.2</v>
      </c>
      <c r="F18">
        <v>3.3</v>
      </c>
      <c r="G18">
        <v>6.4</v>
      </c>
      <c r="H18">
        <v>4.2</v>
      </c>
      <c r="I18">
        <v>0.9</v>
      </c>
      <c r="J18">
        <v>1.8</v>
      </c>
      <c r="K18">
        <v>2.2000000000000002</v>
      </c>
      <c r="L18">
        <v>2.5</v>
      </c>
      <c r="M18">
        <v>1.7</v>
      </c>
      <c r="N18">
        <v>2.2999999999999998</v>
      </c>
      <c r="O18">
        <v>1.3</v>
      </c>
      <c r="P18">
        <v>2.4</v>
      </c>
      <c r="Q18">
        <v>1.7</v>
      </c>
      <c r="R18">
        <v>0.8</v>
      </c>
      <c r="S18">
        <v>0.6</v>
      </c>
      <c r="T18">
        <v>1.6</v>
      </c>
      <c r="U18">
        <v>1.3</v>
      </c>
      <c r="V18">
        <v>1.1000000000000001</v>
      </c>
      <c r="W18">
        <v>1.5</v>
      </c>
      <c r="X18">
        <v>1.8</v>
      </c>
      <c r="Y18">
        <v>1.6</v>
      </c>
      <c r="Z18">
        <v>0.9</v>
      </c>
    </row>
    <row r="19" spans="2:51" x14ac:dyDescent="0.3">
      <c r="B19" t="s">
        <v>21</v>
      </c>
      <c r="C19">
        <v>3.7</v>
      </c>
      <c r="D19">
        <v>10</v>
      </c>
      <c r="E19">
        <v>22.4</v>
      </c>
      <c r="F19">
        <v>16.899999999999999</v>
      </c>
      <c r="G19">
        <v>17.399999999999999</v>
      </c>
      <c r="H19">
        <v>29.7</v>
      </c>
      <c r="I19">
        <v>11.9</v>
      </c>
      <c r="J19">
        <v>25.1</v>
      </c>
      <c r="K19">
        <v>22.6</v>
      </c>
      <c r="L19">
        <v>23</v>
      </c>
      <c r="M19">
        <v>17.3</v>
      </c>
      <c r="N19">
        <v>7.4</v>
      </c>
      <c r="O19">
        <v>4.8</v>
      </c>
      <c r="P19">
        <v>25.1</v>
      </c>
      <c r="Q19">
        <v>10.6</v>
      </c>
      <c r="R19">
        <v>6.9</v>
      </c>
      <c r="S19">
        <v>2.9</v>
      </c>
      <c r="T19">
        <v>24.8</v>
      </c>
      <c r="U19">
        <v>17.5</v>
      </c>
      <c r="V19">
        <v>23.4</v>
      </c>
      <c r="W19">
        <v>23.8</v>
      </c>
      <c r="X19">
        <v>24.1</v>
      </c>
      <c r="Y19">
        <v>21.6</v>
      </c>
      <c r="Z19">
        <v>7.1</v>
      </c>
      <c r="AA19">
        <f t="shared" si="1"/>
        <v>90.586091647669633</v>
      </c>
      <c r="AB19">
        <f t="shared" si="2"/>
        <v>4.0845122388003856E-2</v>
      </c>
      <c r="AC19">
        <f t="shared" si="0"/>
        <v>0.11039222267028069</v>
      </c>
      <c r="AD19">
        <f t="shared" si="0"/>
        <v>0.24727857878142873</v>
      </c>
      <c r="AE19">
        <f t="shared" si="0"/>
        <v>0.18656285631277436</v>
      </c>
      <c r="AF19">
        <f t="shared" si="0"/>
        <v>0.19208246744628837</v>
      </c>
      <c r="AG19">
        <f t="shared" si="0"/>
        <v>0.32786490133073365</v>
      </c>
      <c r="AH19">
        <f t="shared" si="0"/>
        <v>0.13136674497763404</v>
      </c>
      <c r="AI19">
        <f t="shared" si="0"/>
        <v>0.27708447890240456</v>
      </c>
      <c r="AJ19">
        <f t="shared" si="0"/>
        <v>0.24948642323483439</v>
      </c>
      <c r="AK19">
        <f t="shared" si="0"/>
        <v>0.2539021121416456</v>
      </c>
      <c r="AL19">
        <f t="shared" si="0"/>
        <v>0.1909785452195856</v>
      </c>
      <c r="AM19">
        <f t="shared" si="0"/>
        <v>8.1690244776007712E-2</v>
      </c>
      <c r="AN19">
        <f t="shared" si="0"/>
        <v>5.2988266881734733E-2</v>
      </c>
      <c r="AO19">
        <f t="shared" si="0"/>
        <v>0.27708447890240456</v>
      </c>
      <c r="AP19">
        <f t="shared" si="0"/>
        <v>0.11701575603049753</v>
      </c>
      <c r="AQ19">
        <f t="shared" si="0"/>
        <v>7.6170633642493685E-2</v>
      </c>
      <c r="AR19">
        <f t="shared" si="0"/>
        <v>3.20137445743814E-2</v>
      </c>
      <c r="AS19">
        <f t="shared" si="0"/>
        <v>0.2737727122222961</v>
      </c>
      <c r="AT19">
        <f t="shared" si="0"/>
        <v>0.1931863896729912</v>
      </c>
      <c r="AU19">
        <f t="shared" si="0"/>
        <v>0.25831780104845681</v>
      </c>
      <c r="AV19">
        <f t="shared" si="0"/>
        <v>0.26273348995526807</v>
      </c>
      <c r="AW19">
        <f t="shared" si="0"/>
        <v>0.26604525663537648</v>
      </c>
      <c r="AX19">
        <f t="shared" si="0"/>
        <v>0.23844720096780631</v>
      </c>
      <c r="AY19">
        <f t="shared" si="0"/>
        <v>7.837847809589929E-2</v>
      </c>
    </row>
    <row r="20" spans="2:51" x14ac:dyDescent="0.3">
      <c r="B20" t="s">
        <v>21</v>
      </c>
      <c r="C20">
        <v>1.2</v>
      </c>
      <c r="D20">
        <v>4.4000000000000004</v>
      </c>
      <c r="E20">
        <v>1.7</v>
      </c>
      <c r="F20">
        <v>2.1</v>
      </c>
      <c r="G20">
        <v>2.8</v>
      </c>
      <c r="H20">
        <v>4.7</v>
      </c>
      <c r="I20">
        <v>0.7</v>
      </c>
      <c r="J20">
        <v>1.8</v>
      </c>
      <c r="K20">
        <v>1.8</v>
      </c>
      <c r="L20">
        <v>1.6</v>
      </c>
      <c r="M20">
        <v>0.8</v>
      </c>
      <c r="N20">
        <v>2.2999999999999998</v>
      </c>
      <c r="O20">
        <v>1.5</v>
      </c>
      <c r="P20">
        <v>1.5</v>
      </c>
      <c r="Q20">
        <v>1.1000000000000001</v>
      </c>
      <c r="R20">
        <v>1.3</v>
      </c>
      <c r="S20">
        <v>0.9</v>
      </c>
      <c r="T20">
        <v>4.0999999999999996</v>
      </c>
      <c r="U20">
        <v>2.2000000000000002</v>
      </c>
      <c r="V20">
        <v>1.7</v>
      </c>
      <c r="W20">
        <v>1.1000000000000001</v>
      </c>
      <c r="X20">
        <v>1.3</v>
      </c>
      <c r="Y20">
        <v>1.2</v>
      </c>
      <c r="Z20">
        <v>0.7</v>
      </c>
    </row>
    <row r="21" spans="2:51" x14ac:dyDescent="0.3">
      <c r="B21" t="s">
        <v>22</v>
      </c>
      <c r="C21">
        <v>5.0999999999999996</v>
      </c>
      <c r="D21">
        <v>7.5</v>
      </c>
      <c r="E21">
        <v>22.2</v>
      </c>
      <c r="F21">
        <v>5.0999999999999996</v>
      </c>
      <c r="G21">
        <v>38.799999999999997</v>
      </c>
      <c r="H21">
        <v>21.3</v>
      </c>
      <c r="I21">
        <v>10</v>
      </c>
      <c r="J21">
        <v>28.8</v>
      </c>
      <c r="K21">
        <v>18.8</v>
      </c>
      <c r="L21">
        <v>26.2</v>
      </c>
      <c r="M21">
        <v>16.3</v>
      </c>
      <c r="N21">
        <v>7.8</v>
      </c>
      <c r="O21">
        <v>8.1999999999999993</v>
      </c>
      <c r="P21">
        <v>18.8</v>
      </c>
      <c r="Q21">
        <v>21.6</v>
      </c>
      <c r="R21">
        <v>5.8</v>
      </c>
      <c r="S21">
        <v>5.4</v>
      </c>
      <c r="T21">
        <v>8.9</v>
      </c>
      <c r="U21">
        <v>23.4</v>
      </c>
      <c r="V21">
        <v>22.2</v>
      </c>
      <c r="W21">
        <v>32.6</v>
      </c>
      <c r="X21">
        <v>20.2</v>
      </c>
      <c r="Y21">
        <v>14.3</v>
      </c>
      <c r="Z21">
        <v>10.7</v>
      </c>
      <c r="AA21">
        <f t="shared" si="1"/>
        <v>93.356949393175867</v>
      </c>
      <c r="AB21">
        <f t="shared" si="2"/>
        <v>5.4629034401297558E-2</v>
      </c>
      <c r="AC21">
        <f t="shared" si="0"/>
        <v>8.0336815296025821E-2</v>
      </c>
      <c r="AD21">
        <f t="shared" si="0"/>
        <v>0.23779697327623645</v>
      </c>
      <c r="AE21">
        <f t="shared" si="0"/>
        <v>5.4629034401297558E-2</v>
      </c>
      <c r="AF21">
        <f t="shared" si="0"/>
        <v>0.4156091244647736</v>
      </c>
      <c r="AG21">
        <f t="shared" si="0"/>
        <v>0.22815655544071337</v>
      </c>
      <c r="AH21">
        <f t="shared" si="0"/>
        <v>0.10711575372803443</v>
      </c>
      <c r="AI21">
        <f t="shared" si="0"/>
        <v>0.30849337073673916</v>
      </c>
      <c r="AJ21">
        <f t="shared" si="0"/>
        <v>0.20137761700870474</v>
      </c>
      <c r="AK21">
        <f t="shared" si="0"/>
        <v>0.28064327476745021</v>
      </c>
      <c r="AL21">
        <f t="shared" si="0"/>
        <v>0.17459867857669614</v>
      </c>
      <c r="AM21">
        <f t="shared" si="0"/>
        <v>8.3550287907866852E-2</v>
      </c>
      <c r="AN21">
        <f t="shared" si="0"/>
        <v>8.7834918056988232E-2</v>
      </c>
      <c r="AO21">
        <f t="shared" si="0"/>
        <v>0.20137761700870474</v>
      </c>
      <c r="AP21">
        <f t="shared" si="0"/>
        <v>0.23137002805255438</v>
      </c>
      <c r="AQ21">
        <f t="shared" si="0"/>
        <v>6.2127137162259968E-2</v>
      </c>
      <c r="AR21">
        <f t="shared" si="0"/>
        <v>5.7842507013138596E-2</v>
      </c>
      <c r="AS21">
        <f t="shared" si="0"/>
        <v>9.5333020817950656E-2</v>
      </c>
      <c r="AT21">
        <f t="shared" si="0"/>
        <v>0.25065086372360057</v>
      </c>
      <c r="AU21">
        <f t="shared" si="0"/>
        <v>0.23779697327623645</v>
      </c>
      <c r="AV21">
        <f t="shared" si="0"/>
        <v>0.34919735715339228</v>
      </c>
      <c r="AW21">
        <f t="shared" si="0"/>
        <v>0.21637382253062956</v>
      </c>
      <c r="AX21">
        <f t="shared" si="0"/>
        <v>0.15317552783108926</v>
      </c>
      <c r="AY21">
        <f t="shared" si="0"/>
        <v>0.11461385648899684</v>
      </c>
    </row>
    <row r="22" spans="2:51" x14ac:dyDescent="0.3">
      <c r="B22" t="s">
        <v>22</v>
      </c>
      <c r="C22">
        <v>1</v>
      </c>
      <c r="D22">
        <v>1.2</v>
      </c>
      <c r="E22">
        <v>2.2999999999999998</v>
      </c>
      <c r="F22">
        <v>3.9</v>
      </c>
      <c r="G22">
        <v>7.8</v>
      </c>
      <c r="H22">
        <v>4.9000000000000004</v>
      </c>
      <c r="I22">
        <v>0.5</v>
      </c>
      <c r="J22">
        <v>1.3</v>
      </c>
      <c r="K22">
        <v>1.3</v>
      </c>
      <c r="L22">
        <v>2.2000000000000002</v>
      </c>
      <c r="M22">
        <v>1.8</v>
      </c>
      <c r="N22">
        <v>0.6</v>
      </c>
      <c r="O22">
        <v>0.9</v>
      </c>
      <c r="P22">
        <v>1.8</v>
      </c>
      <c r="Q22">
        <v>2.1</v>
      </c>
      <c r="R22">
        <v>1.9</v>
      </c>
      <c r="S22">
        <v>0.9</v>
      </c>
      <c r="T22">
        <v>0.7</v>
      </c>
      <c r="U22">
        <v>1.4</v>
      </c>
      <c r="V22">
        <v>1.3</v>
      </c>
      <c r="W22">
        <v>1.2</v>
      </c>
      <c r="X22">
        <v>1.4</v>
      </c>
      <c r="Y22">
        <v>0.8</v>
      </c>
      <c r="Z2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RNG HERE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xxxxxx</dc:creator>
  <cp:lastModifiedBy>Administrator</cp:lastModifiedBy>
  <dcterms:created xsi:type="dcterms:W3CDTF">2015-06-05T18:17:20Z</dcterms:created>
  <dcterms:modified xsi:type="dcterms:W3CDTF">2026-01-29T00:02:00Z</dcterms:modified>
</cp:coreProperties>
</file>